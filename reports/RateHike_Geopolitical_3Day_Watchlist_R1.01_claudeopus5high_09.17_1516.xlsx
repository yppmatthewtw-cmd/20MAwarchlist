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 Summary" sheetId="1" state="visible" r:id="rId1"/>
    <sheet name="3日受惠清單 Watchlist" sheetId="2" state="visible" r:id="rId2"/>
    <sheet name="迴避清單 Avoid" sheetId="3" state="visible" r:id="rId3"/>
    <sheet name="板塊資金流證據 Evidence" sheetId="4" state="visible" r:id="rId4"/>
    <sheet name="代號索引 Ticker Index" sheetId="5" state="visible" r:id="rId5"/>
    <sheet name="催化劑日程 Catalysts" sheetId="6" state="visible" r:id="rId6"/>
    <sheet name="情境矩陣 Scenarios" sheetId="7" state="visible" r:id="rId7"/>
    <sheet name="數據來源與限制 Sources" sheetId="8" state="visible" r:id="rId8"/>
  </sheets>
  <definedNames>
    <definedName name="_xlnm._FilterDatabase" localSheetId="4" hidden="1">'代號索引 Ticker Index'!$A$8:$M$501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%;[Red](0.00%);-"/>
    <numFmt numFmtId="166" formatCode="0.00&quot;x&quot;"/>
    <numFmt numFmtId="167" formatCode="+0.00;-0.00;0.00"/>
    <numFmt numFmtId="168" formatCode="$#,##0;($#,##0);-"/>
    <numFmt numFmtId="169" formatCode="+0;-0;0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9"/>
    </font>
    <font>
      <name val="Arial"/>
      <b val="1"/>
      <color rgb="002E5A88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0563C1"/>
      <sz val="10"/>
      <u val="single"/>
    </font>
    <font>
      <name val="Arial"/>
      <b val="1"/>
      <color rgb="00C00000"/>
      <sz val="10"/>
    </font>
    <font>
      <name val="Arial"/>
      <color rgb="000563C1"/>
      <sz val="9"/>
      <u val="single"/>
    </font>
  </fonts>
  <fills count="9">
    <fill>
      <patternFill/>
    </fill>
    <fill>
      <patternFill patternType="gray125"/>
    </fill>
    <fill>
      <patternFill patternType="solid">
        <fgColor rgb="002E5A88"/>
      </patternFill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2F5F9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top style="medium">
        <color rgb="001F3864"/>
      </top>
    </border>
    <border>
      <top style="medium">
        <color rgb="00B71C1C"/>
      </top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pivotButton="0" quotePrefix="0" xfId="0"/>
    <xf numFmtId="3" fontId="6" fillId="0" borderId="0" pivotButton="0" quotePrefix="0" xfId="0"/>
    <xf numFmtId="0" fontId="2" fillId="0" borderId="0" applyAlignment="1" pivotButton="0" quotePrefix="0" xfId="0">
      <alignment vertical="top" wrapText="1"/>
    </xf>
    <xf numFmtId="164" fontId="6" fillId="0" borderId="0" pivotButton="0" quotePrefix="0" xfId="0"/>
    <xf numFmtId="165" fontId="6" fillId="0" borderId="0" pivotButton="0" quotePrefix="0" xfId="0"/>
    <xf numFmtId="165" fontId="7" fillId="0" borderId="0" pivotButton="0" quotePrefix="0" xfId="0"/>
    <xf numFmtId="3" fontId="7" fillId="0" borderId="0" pivotButton="0" quotePrefix="0" xfId="0"/>
    <xf numFmtId="0" fontId="2" fillId="0" borderId="0" applyAlignment="1" pivotButton="0" quotePrefix="0" xfId="0">
      <alignment horizontal="center" vertical="center"/>
    </xf>
    <xf numFmtId="9" fontId="7" fillId="3" borderId="0" applyAlignment="1" pivotButton="0" quotePrefix="0" xfId="0">
      <alignment horizontal="center" vertical="center"/>
    </xf>
    <xf numFmtId="9" fontId="5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7" fillId="0" borderId="0" pivotButton="0" quotePrefix="0" xfId="0"/>
    <xf numFmtId="166" fontId="6" fillId="0" borderId="0" pivotButton="0" quotePrefix="0" xfId="0"/>
    <xf numFmtId="1" fontId="7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vertical="top" wrapText="1"/>
    </xf>
    <xf numFmtId="0" fontId="8" fillId="5" borderId="0" applyAlignment="1" pivotButton="0" quotePrefix="0" xfId="0">
      <alignment horizontal="center" vertical="center"/>
    </xf>
    <xf numFmtId="4" fontId="7" fillId="5" borderId="0" pivotButton="0" quotePrefix="0" xfId="0"/>
    <xf numFmtId="165" fontId="6" fillId="5" borderId="0" pivotButton="0" quotePrefix="0" xfId="0"/>
    <xf numFmtId="3" fontId="7" fillId="5" borderId="0" pivotButton="0" quotePrefix="0" xfId="0"/>
    <xf numFmtId="166" fontId="6" fillId="5" borderId="0" pivotButton="0" quotePrefix="0" xfId="0"/>
    <xf numFmtId="1" fontId="7" fillId="5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164" fontId="5" fillId="0" borderId="1" applyAlignment="1" pivotButton="0" quotePrefix="0" xfId="0">
      <alignment horizontal="center" vertical="center"/>
    </xf>
    <xf numFmtId="0" fontId="5" fillId="6" borderId="0" applyAlignment="1" pivotButton="0" quotePrefix="0" xfId="0">
      <alignment vertical="top" wrapText="1"/>
    </xf>
    <xf numFmtId="0" fontId="8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vertical="top" wrapText="1"/>
    </xf>
    <xf numFmtId="4" fontId="7" fillId="6" borderId="0" pivotButton="0" quotePrefix="0" xfId="0"/>
    <xf numFmtId="165" fontId="6" fillId="6" borderId="0" pivotButton="0" quotePrefix="0" xfId="0"/>
    <xf numFmtId="3" fontId="7" fillId="6" borderId="0" pivotButton="0" quotePrefix="0" xfId="0"/>
    <xf numFmtId="166" fontId="6" fillId="6" borderId="0" pivotButton="0" quotePrefix="0" xfId="0"/>
    <xf numFmtId="0" fontId="0" fillId="0" borderId="2" pivotButton="0" quotePrefix="0" xfId="0"/>
    <xf numFmtId="0" fontId="5" fillId="0" borderId="2" pivotButton="0" quotePrefix="0" xfId="0"/>
    <xf numFmtId="165" fontId="5" fillId="0" borderId="2" pivotButton="0" quotePrefix="0" xfId="0"/>
    <xf numFmtId="166" fontId="5" fillId="0" borderId="2" pivotButton="0" quotePrefix="0" xfId="0"/>
    <xf numFmtId="3" fontId="6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164" fontId="6" fillId="7" borderId="0" applyAlignment="1" pivotButton="0" quotePrefix="0" xfId="0">
      <alignment horizontal="center" vertical="center"/>
    </xf>
    <xf numFmtId="165" fontId="6" fillId="7" borderId="0" pivotButton="0" quotePrefix="0" xfId="0"/>
    <xf numFmtId="2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167" fontId="6" fillId="7" borderId="0" applyAlignment="1" pivotButton="0" quotePrefix="0" xfId="0">
      <alignment horizontal="center" vertical="center"/>
    </xf>
    <xf numFmtId="168" fontId="6" fillId="7" borderId="0" pivotButton="0" quotePrefix="0" xfId="0"/>
    <xf numFmtId="0" fontId="8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6" fillId="7" borderId="0" applyAlignment="1" pivotButton="0" quotePrefix="0" xfId="0">
      <alignment vertical="top" wrapText="1"/>
    </xf>
    <xf numFmtId="3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8" fontId="6" fillId="0" borderId="0" pivotButton="0" quotePrefix="0" xfId="0"/>
    <xf numFmtId="3" fontId="6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top" wrapText="1"/>
    </xf>
    <xf numFmtId="164" fontId="6" fillId="6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167" fontId="6" fillId="6" borderId="0" applyAlignment="1" pivotButton="0" quotePrefix="0" xfId="0">
      <alignment horizontal="center" vertical="center"/>
    </xf>
    <xf numFmtId="168" fontId="6" fillId="6" borderId="0" pivotButton="0" quotePrefix="0" xfId="0"/>
    <xf numFmtId="0" fontId="0" fillId="6" borderId="0" pivotButton="0" quotePrefix="0" xfId="0"/>
    <xf numFmtId="3" fontId="6" fillId="8" borderId="0" applyAlignment="1" pivotButton="0" quotePrefix="0" xfId="0">
      <alignment horizontal="center" vertical="center"/>
    </xf>
    <xf numFmtId="0" fontId="5" fillId="8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164" fontId="6" fillId="8" borderId="0" applyAlignment="1" pivotButton="0" quotePrefix="0" xfId="0">
      <alignment horizontal="center" vertical="center"/>
    </xf>
    <xf numFmtId="165" fontId="6" fillId="8" borderId="0" pivotButton="0" quotePrefix="0" xfId="0"/>
    <xf numFmtId="0" fontId="9" fillId="8" borderId="0" pivotButton="0" quotePrefix="0" xfId="0"/>
    <xf numFmtId="2" fontId="6" fillId="8" borderId="0" applyAlignment="1" pivotButton="0" quotePrefix="0" xfId="0">
      <alignment horizontal="center" vertical="center"/>
    </xf>
    <xf numFmtId="166" fontId="6" fillId="8" borderId="0" applyAlignment="1" pivotButton="0" quotePrefix="0" xfId="0">
      <alignment horizontal="center" vertical="center"/>
    </xf>
    <xf numFmtId="167" fontId="6" fillId="8" borderId="0" applyAlignment="1" pivotButton="0" quotePrefix="0" xfId="0">
      <alignment horizontal="center" vertical="center"/>
    </xf>
    <xf numFmtId="168" fontId="6" fillId="8" borderId="0" pivotButton="0" quotePrefix="0" xfId="0"/>
    <xf numFmtId="0" fontId="8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9" fillId="8" borderId="0" applyAlignment="1" pivotButton="0" quotePrefix="0" xfId="0">
      <alignment vertical="top" wrapText="1"/>
    </xf>
    <xf numFmtId="0" fontId="5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4" fontId="7" fillId="7" borderId="0" pivotButton="0" quotePrefix="0" xfId="0"/>
    <xf numFmtId="3" fontId="7" fillId="7" borderId="0" pivotButton="0" quotePrefix="0" xfId="0"/>
    <xf numFmtId="166" fontId="6" fillId="7" borderId="0" pivotButton="0" quotePrefix="0" xfId="0"/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8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applyAlignment="1" pivotButton="0" quotePrefix="0" xfId="0">
      <alignment vertical="top" wrapText="1"/>
    </xf>
    <xf numFmtId="169" fontId="7" fillId="7" borderId="0" applyAlignment="1" pivotButton="0" quotePrefix="0" xfId="0">
      <alignment horizontal="center" vertical="center"/>
    </xf>
    <xf numFmtId="167" fontId="5" fillId="7" borderId="0" applyAlignment="1" pivotButton="0" quotePrefix="0" xfId="0">
      <alignment horizontal="center" vertical="center"/>
    </xf>
    <xf numFmtId="169" fontId="7" fillId="6" borderId="0" applyAlignment="1" pivotButton="0" quotePrefix="0" xfId="0">
      <alignment horizontal="center" vertical="center"/>
    </xf>
    <xf numFmtId="167" fontId="5" fillId="6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vlo" TargetMode="External" Id="rId1" /><Relationship Type="http://schemas.openxmlformats.org/officeDocument/2006/relationships/hyperlink" Target="https://www.tradingview.com/chart/Q1c5VWwD/?symbol=pbf" TargetMode="External" Id="rId2" /><Relationship Type="http://schemas.openxmlformats.org/officeDocument/2006/relationships/hyperlink" Target="https://www.tradingview.com/chart/Q1c5VWwD/?symbol=dino" TargetMode="External" Id="rId3" /><Relationship Type="http://schemas.openxmlformats.org/officeDocument/2006/relationships/hyperlink" Target="https://www.tradingview.com/chart/Q1c5VWwD/?symbol=mpc" TargetMode="External" Id="rId4" /><Relationship Type="http://schemas.openxmlformats.org/officeDocument/2006/relationships/hyperlink" Target="https://www.tradingview.com/chart/Q1c5VWwD/?symbol=psx" TargetMode="External" Id="rId5" /><Relationship Type="http://schemas.openxmlformats.org/officeDocument/2006/relationships/hyperlink" Target="https://www.tradingview.com/chart/Q1c5VWwD/?symbol=thc" TargetMode="External" Id="rId6" /><Relationship Type="http://schemas.openxmlformats.org/officeDocument/2006/relationships/hyperlink" Target="https://www.tradingview.com/chart/Q1c5VWwD/?symbol=uhs" TargetMode="External" Id="rId7" /><Relationship Type="http://schemas.openxmlformats.org/officeDocument/2006/relationships/hyperlink" Target="https://www.tradingview.com/chart/Q1c5VWwD/?symbol=hca" TargetMode="External" Id="rId8" /><Relationship Type="http://schemas.openxmlformats.org/officeDocument/2006/relationships/hyperlink" Target="https://www.tradingview.com/chart/Q1c5VWwD/?symbol=ehc" TargetMode="External" Id="rId9" /><Relationship Type="http://schemas.openxmlformats.org/officeDocument/2006/relationships/hyperlink" Target="https://www.tradingview.com/chart/Q1c5VWwD/?symbol=a" TargetMode="External" Id="rId10" /><Relationship Type="http://schemas.openxmlformats.org/officeDocument/2006/relationships/hyperlink" Target="https://www.tradingview.com/chart/Q1c5VWwD/?symbol=tmo" TargetMode="External" Id="rId11" /><Relationship Type="http://schemas.openxmlformats.org/officeDocument/2006/relationships/hyperlink" Target="https://www.tradingview.com/chart/Q1c5VWwD/?symbol=gev" TargetMode="External" Id="rId12" /><Relationship Type="http://schemas.openxmlformats.org/officeDocument/2006/relationships/hyperlink" Target="https://www.tradingview.com/chart/Q1c5VWwD/?symbol=etn" TargetMode="External" Id="rId13" /><Relationship Type="http://schemas.openxmlformats.org/officeDocument/2006/relationships/hyperlink" Target="https://www.tradingview.com/chart/Q1c5VWwD/?symbol=pwr" TargetMode="External" Id="rId14" /><Relationship Type="http://schemas.openxmlformats.org/officeDocument/2006/relationships/hyperlink" Target="https://www.tradingview.com/chart/Q1c5VWwD/?symbol=trv" TargetMode="External" Id="rId15" /><Relationship Type="http://schemas.openxmlformats.org/officeDocument/2006/relationships/hyperlink" Target="https://www.tradingview.com/chart/Q1c5VWwD/?symbol=rnr" TargetMode="External" Id="rId16" /><Relationship Type="http://schemas.openxmlformats.org/officeDocument/2006/relationships/hyperlink" Target="https://www.tradingview.com/chart/Q1c5VWwD/?symbol=aig" TargetMode="External" Id="rId17" /><Relationship Type="http://schemas.openxmlformats.org/officeDocument/2006/relationships/hyperlink" Target="https://www.tradingview.com/chart/Q1c5VWwD/?symbol=cb" TargetMode="External" Id="rId18" /><Relationship Type="http://schemas.openxmlformats.org/officeDocument/2006/relationships/hyperlink" Target="https://www.tradingview.com/chart/Q1c5VWwD/?symbol=snps" TargetMode="External" Id="rId19" /><Relationship Type="http://schemas.openxmlformats.org/officeDocument/2006/relationships/hyperlink" Target="https://www.tradingview.com/chart/Q1c5VWwD/?symbol=cdns" TargetMode="External" Id="rId20" /><Relationship Type="http://schemas.openxmlformats.org/officeDocument/2006/relationships/hyperlink" Target="https://www.tradingview.com/chart/Q1c5VWwD/?symbol=cohr" TargetMode="External" Id="rId21" /><Relationship Type="http://schemas.openxmlformats.org/officeDocument/2006/relationships/hyperlink" Target="https://www.tradingview.com/chart/Q1c5VWwD/?symbol=lite" TargetMode="External" Id="rId22" /><Relationship Type="http://schemas.openxmlformats.org/officeDocument/2006/relationships/hyperlink" Target="https://www.tradingview.com/chart/Q1c5VWwD/?symbol=crdo" TargetMode="External" Id="rId23" /><Relationship Type="http://schemas.openxmlformats.org/officeDocument/2006/relationships/hyperlink" Target="https://www.tradingview.com/chart/Q1c5VWwD/?symbol=nue" TargetMode="External" Id="rId24" /><Relationship Type="http://schemas.openxmlformats.org/officeDocument/2006/relationships/hyperlink" Target="https://www.tradingview.com/chart/Q1c5VWwD/?symbol=clf" TargetMode="External" Id="rId2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fang" TargetMode="External" Id="rId1" /><Relationship Type="http://schemas.openxmlformats.org/officeDocument/2006/relationships/hyperlink" Target="https://www.tradingview.com/chart/Q1c5VWwD/?symbol=oxy" TargetMode="External" Id="rId2" /><Relationship Type="http://schemas.openxmlformats.org/officeDocument/2006/relationships/hyperlink" Target="https://www.tradingview.com/chart/Q1c5VWwD/?symbol=cop" TargetMode="External" Id="rId3" /><Relationship Type="http://schemas.openxmlformats.org/officeDocument/2006/relationships/hyperlink" Target="https://www.tradingview.com/chart/Q1c5VWwD/?symbol=eog" TargetMode="External" Id="rId4" /><Relationship Type="http://schemas.openxmlformats.org/officeDocument/2006/relationships/hyperlink" Target="https://www.tradingview.com/chart/Q1c5VWwD/?symbol=dvn" TargetMode="External" Id="rId5" /><Relationship Type="http://schemas.openxmlformats.org/officeDocument/2006/relationships/hyperlink" Target="https://www.tradingview.com/chart/Q1c5VWwD/?symbol=slb" TargetMode="External" Id="rId6" /><Relationship Type="http://schemas.openxmlformats.org/officeDocument/2006/relationships/hyperlink" Target="https://www.tradingview.com/chart/Q1c5VWwD/?symbol=hal" TargetMode="External" Id="rId7" /><Relationship Type="http://schemas.openxmlformats.org/officeDocument/2006/relationships/hyperlink" Target="https://www.tradingview.com/chart/Q1c5VWwD/?symbol=rig" TargetMode="External" Id="rId8" /><Relationship Type="http://schemas.openxmlformats.org/officeDocument/2006/relationships/hyperlink" Target="https://www.tradingview.com/chart/Q1c5VWwD/?symbol=xom" TargetMode="External" Id="rId9" /><Relationship Type="http://schemas.openxmlformats.org/officeDocument/2006/relationships/hyperlink" Target="https://www.tradingview.com/chart/Q1c5VWwD/?symbol=cvx" TargetMode="External" Id="rId10" /><Relationship Type="http://schemas.openxmlformats.org/officeDocument/2006/relationships/hyperlink" Target="https://www.tradingview.com/chart/Q1c5VWwD/?symbol=usb" TargetMode="External" Id="rId11" /><Relationship Type="http://schemas.openxmlformats.org/officeDocument/2006/relationships/hyperlink" Target="https://www.tradingview.com/chart/Q1c5VWwD/?symbol=pnc" TargetMode="External" Id="rId12" /><Relationship Type="http://schemas.openxmlformats.org/officeDocument/2006/relationships/hyperlink" Target="https://www.tradingview.com/chart/Q1c5VWwD/?symbol=zion" TargetMode="External" Id="rId13" /><Relationship Type="http://schemas.openxmlformats.org/officeDocument/2006/relationships/hyperlink" Target="https://www.tradingview.com/chart/Q1c5VWwD/?symbol=gs" TargetMode="External" Id="rId14" /><Relationship Type="http://schemas.openxmlformats.org/officeDocument/2006/relationships/hyperlink" Target="https://www.tradingview.com/chart/Q1c5VWwD/?symbol=ms" TargetMode="External" Id="rId15" /><Relationship Type="http://schemas.openxmlformats.org/officeDocument/2006/relationships/hyperlink" Target="https://www.tradingview.com/chart/Q1c5VWwD/?symbol=oklo" TargetMode="External" Id="rId16" /><Relationship Type="http://schemas.openxmlformats.org/officeDocument/2006/relationships/hyperlink" Target="https://www.tradingview.com/chart/Q1c5VWwD/?symbol=ccj" TargetMode="External" Id="rId17" /><Relationship Type="http://schemas.openxmlformats.org/officeDocument/2006/relationships/hyperlink" Target="https://www.tradingview.com/chart/Q1c5VWwD/?symbol=mp" TargetMode="External" Id="rId18" /><Relationship Type="http://schemas.openxmlformats.org/officeDocument/2006/relationships/hyperlink" Target="https://www.tradingview.com/chart/Q1c5VWwD/?symbol=dhi" TargetMode="External" Id="rId19" /><Relationship Type="http://schemas.openxmlformats.org/officeDocument/2006/relationships/hyperlink" Target="https://www.tradingview.com/chart/Q1c5VWwD/?symbol=len" TargetMode="External" Id="rId20" /><Relationship Type="http://schemas.openxmlformats.org/officeDocument/2006/relationships/hyperlink" Target="https://www.tradingview.com/chart/Q1c5VWwD/?symbol=coin" TargetMode="External" Id="rId21" /><Relationship Type="http://schemas.openxmlformats.org/officeDocument/2006/relationships/hyperlink" Target="https://www.tradingview.com/chart/Q1c5VWwD/?symbol=fdx" TargetMode="External" Id="rId22" /><Relationship Type="http://schemas.openxmlformats.org/officeDocument/2006/relationships/hyperlink" Target="https://www.tradingview.com/chart/Q1c5VWwD/?symbol=ups" TargetMode="External" Id="rId23" /><Relationship Type="http://schemas.openxmlformats.org/officeDocument/2006/relationships/hyperlink" Target="https://www.tradingview.com/chart/Q1c5VWwD/?symbol=t" TargetMode="External" Id="rId24" /><Relationship Type="http://schemas.openxmlformats.org/officeDocument/2006/relationships/hyperlink" Target="https://www.tradingview.com/chart/Q1c5VWwD/?symbol=vz" TargetMode="External" Id="rId25" /><Relationship Type="http://schemas.openxmlformats.org/officeDocument/2006/relationships/hyperlink" Target="https://www.tradingview.com/chart/Q1c5VWwD/?symbol=nee" TargetMode="External" Id="rId2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tmo" TargetMode="External" Id="rId1" /><Relationship Type="http://schemas.openxmlformats.org/officeDocument/2006/relationships/hyperlink" Target="https://www.tradingview.com/chart/Q1c5VWwD/?symbol=dhr" TargetMode="External" Id="rId2" /><Relationship Type="http://schemas.openxmlformats.org/officeDocument/2006/relationships/hyperlink" Target="https://www.tradingview.com/chart/Q1c5VWwD/?symbol=a" TargetMode="External" Id="rId3" /><Relationship Type="http://schemas.openxmlformats.org/officeDocument/2006/relationships/hyperlink" Target="https://www.tradingview.com/chart/Q1c5VWwD/?symbol=ilmn" TargetMode="External" Id="rId4" /><Relationship Type="http://schemas.openxmlformats.org/officeDocument/2006/relationships/hyperlink" Target="https://www.tradingview.com/chart/Q1c5VWwD/?symbol=panw" TargetMode="External" Id="rId5" /><Relationship Type="http://schemas.openxmlformats.org/officeDocument/2006/relationships/hyperlink" Target="https://www.tradingview.com/chart/Q1c5VWwD/?symbol=crwd" TargetMode="External" Id="rId6" /><Relationship Type="http://schemas.openxmlformats.org/officeDocument/2006/relationships/hyperlink" Target="https://www.tradingview.com/chart/Q1c5VWwD/?symbol=zs" TargetMode="External" Id="rId7" /><Relationship Type="http://schemas.openxmlformats.org/officeDocument/2006/relationships/hyperlink" Target="https://www.tradingview.com/chart/Q1c5VWwD/?symbol=ftnt" TargetMode="External" Id="rId8" /><Relationship Type="http://schemas.openxmlformats.org/officeDocument/2006/relationships/hyperlink" Target="https://www.tradingview.com/chart/Q1c5VWwD/?symbol=s" TargetMode="External" Id="rId9" /><Relationship Type="http://schemas.openxmlformats.org/officeDocument/2006/relationships/hyperlink" Target="https://www.tradingview.com/chart/Q1c5VWwD/?symbol=hca" TargetMode="External" Id="rId10" /><Relationship Type="http://schemas.openxmlformats.org/officeDocument/2006/relationships/hyperlink" Target="https://www.tradingview.com/chart/Q1c5VWwD/?symbol=thc" TargetMode="External" Id="rId11" /><Relationship Type="http://schemas.openxmlformats.org/officeDocument/2006/relationships/hyperlink" Target="https://www.tradingview.com/chart/Q1c5VWwD/?symbol=uhs" TargetMode="External" Id="rId12" /><Relationship Type="http://schemas.openxmlformats.org/officeDocument/2006/relationships/hyperlink" Target="https://www.tradingview.com/chart/Q1c5VWwD/?symbol=ehc" TargetMode="External" Id="rId13" /><Relationship Type="http://schemas.openxmlformats.org/officeDocument/2006/relationships/hyperlink" Target="https://www.tradingview.com/chart/Q1c5VWwD/?symbol=mpc" TargetMode="External" Id="rId14" /><Relationship Type="http://schemas.openxmlformats.org/officeDocument/2006/relationships/hyperlink" Target="https://www.tradingview.com/chart/Q1c5VWwD/?symbol=psx" TargetMode="External" Id="rId15" /><Relationship Type="http://schemas.openxmlformats.org/officeDocument/2006/relationships/hyperlink" Target="https://www.tradingview.com/chart/Q1c5VWwD/?symbol=vlo" TargetMode="External" Id="rId16" /><Relationship Type="http://schemas.openxmlformats.org/officeDocument/2006/relationships/hyperlink" Target="https://www.tradingview.com/chart/Q1c5VWwD/?symbol=dino" TargetMode="External" Id="rId17" /><Relationship Type="http://schemas.openxmlformats.org/officeDocument/2006/relationships/hyperlink" Target="https://www.tradingview.com/chart/Q1c5VWwD/?symbol=aapl" TargetMode="External" Id="rId18" /><Relationship Type="http://schemas.openxmlformats.org/officeDocument/2006/relationships/hyperlink" Target="https://www.tradingview.com/chart/Q1c5VWwD/?symbol=dell" TargetMode="External" Id="rId19" /><Relationship Type="http://schemas.openxmlformats.org/officeDocument/2006/relationships/hyperlink" Target="https://www.tradingview.com/chart/Q1c5VWwD/?symbol=flex" TargetMode="External" Id="rId20" /><Relationship Type="http://schemas.openxmlformats.org/officeDocument/2006/relationships/hyperlink" Target="https://www.tradingview.com/chart/Q1c5VWwD/?symbol=jbl" TargetMode="External" Id="rId21" /><Relationship Type="http://schemas.openxmlformats.org/officeDocument/2006/relationships/hyperlink" Target="https://www.tradingview.com/chart/Q1c5VWwD/?symbol=aph" TargetMode="External" Id="rId22" /><Relationship Type="http://schemas.openxmlformats.org/officeDocument/2006/relationships/hyperlink" Target="https://www.tradingview.com/chart/Q1c5VWwD/?symbol=tel" TargetMode="External" Id="rId23" /><Relationship Type="http://schemas.openxmlformats.org/officeDocument/2006/relationships/hyperlink" Target="https://www.tradingview.com/chart/Q1c5VWwD/?symbol=cb" TargetMode="External" Id="rId24" /><Relationship Type="http://schemas.openxmlformats.org/officeDocument/2006/relationships/hyperlink" Target="https://www.tradingview.com/chart/Q1c5VWwD/?symbol=trv" TargetMode="External" Id="rId25" /><Relationship Type="http://schemas.openxmlformats.org/officeDocument/2006/relationships/hyperlink" Target="https://www.tradingview.com/chart/Q1c5VWwD/?symbol=pgr" TargetMode="External" Id="rId26" /><Relationship Type="http://schemas.openxmlformats.org/officeDocument/2006/relationships/hyperlink" Target="https://www.tradingview.com/chart/Q1c5VWwD/?symbol=aig" TargetMode="External" Id="rId27" /><Relationship Type="http://schemas.openxmlformats.org/officeDocument/2006/relationships/hyperlink" Target="https://www.tradingview.com/chart/Q1c5VWwD/?symbol=rnr" TargetMode="External" Id="rId28" /><Relationship Type="http://schemas.openxmlformats.org/officeDocument/2006/relationships/hyperlink" Target="https://www.tradingview.com/chart/Q1c5VWwD/?symbol=avav" TargetMode="External" Id="rId29" /><Relationship Type="http://schemas.openxmlformats.org/officeDocument/2006/relationships/hyperlink" Target="https://www.tradingview.com/chart/Q1c5VWwD/?symbol=ktos" TargetMode="External" Id="rId30" /><Relationship Type="http://schemas.openxmlformats.org/officeDocument/2006/relationships/hyperlink" Target="https://www.tradingview.com/chart/Q1c5VWwD/?symbol=rcat" TargetMode="External" Id="rId31" /><Relationship Type="http://schemas.openxmlformats.org/officeDocument/2006/relationships/hyperlink" Target="https://www.tradingview.com/chart/Q1c5VWwD/?symbol=onds" TargetMode="External" Id="rId32" /><Relationship Type="http://schemas.openxmlformats.org/officeDocument/2006/relationships/hyperlink" Target="https://www.tradingview.com/chart/Q1c5VWwD/?symbol=pltr" TargetMode="External" Id="rId33" /><Relationship Type="http://schemas.openxmlformats.org/officeDocument/2006/relationships/hyperlink" Target="https://www.tradingview.com/chart/Q1c5VWwD/?symbol=snow" TargetMode="External" Id="rId34" /><Relationship Type="http://schemas.openxmlformats.org/officeDocument/2006/relationships/hyperlink" Target="https://www.tradingview.com/chart/Q1c5VWwD/?symbol=mdb" TargetMode="External" Id="rId35" /><Relationship Type="http://schemas.openxmlformats.org/officeDocument/2006/relationships/hyperlink" Target="https://www.tradingview.com/chart/Q1c5VWwD/?symbol=ddog" TargetMode="External" Id="rId36" /><Relationship Type="http://schemas.openxmlformats.org/officeDocument/2006/relationships/hyperlink" Target="https://www.tradingview.com/chart/Q1c5VWwD/?symbol=googl" TargetMode="External" Id="rId37" /><Relationship Type="http://schemas.openxmlformats.org/officeDocument/2006/relationships/hyperlink" Target="https://www.tradingview.com/chart/Q1c5VWwD/?symbol=meta" TargetMode="External" Id="rId38" /><Relationship Type="http://schemas.openxmlformats.org/officeDocument/2006/relationships/hyperlink" Target="https://www.tradingview.com/chart/Q1c5VWwD/?symbol=pins" TargetMode="External" Id="rId39" /><Relationship Type="http://schemas.openxmlformats.org/officeDocument/2006/relationships/hyperlink" Target="https://www.tradingview.com/chart/Q1c5VWwD/?symbol=snap" TargetMode="External" Id="rId40" /><Relationship Type="http://schemas.openxmlformats.org/officeDocument/2006/relationships/hyperlink" Target="https://www.tradingview.com/chart/Q1c5VWwD/?symbol=rddt" TargetMode="External" Id="rId41" /><Relationship Type="http://schemas.openxmlformats.org/officeDocument/2006/relationships/hyperlink" Target="https://www.tradingview.com/chart/Q1c5VWwD/?symbol=mtch" TargetMode="External" Id="rId42" /><Relationship Type="http://schemas.openxmlformats.org/officeDocument/2006/relationships/hyperlink" Target="https://www.tradingview.com/chart/Q1c5VWwD/?symbol=nue" TargetMode="External" Id="rId43" /><Relationship Type="http://schemas.openxmlformats.org/officeDocument/2006/relationships/hyperlink" Target="https://www.tradingview.com/chart/Q1c5VWwD/?symbol=stld" TargetMode="External" Id="rId44" /><Relationship Type="http://schemas.openxmlformats.org/officeDocument/2006/relationships/hyperlink" Target="https://www.tradingview.com/chart/Q1c5VWwD/?symbol=clf" TargetMode="External" Id="rId45" /><Relationship Type="http://schemas.openxmlformats.org/officeDocument/2006/relationships/hyperlink" Target="https://www.tradingview.com/chart/Q1c5VWwD/?symbol=rs" TargetMode="External" Id="rId46" /><Relationship Type="http://schemas.openxmlformats.org/officeDocument/2006/relationships/hyperlink" Target="https://www.tradingview.com/chart/Q1c5VWwD/?symbol=met" TargetMode="External" Id="rId47" /><Relationship Type="http://schemas.openxmlformats.org/officeDocument/2006/relationships/hyperlink" Target="https://www.tradingview.com/chart/Q1c5VWwD/?symbol=pru" TargetMode="External" Id="rId48" /><Relationship Type="http://schemas.openxmlformats.org/officeDocument/2006/relationships/hyperlink" Target="https://www.tradingview.com/chart/Q1c5VWwD/?symbol=afl" TargetMode="External" Id="rId49" /><Relationship Type="http://schemas.openxmlformats.org/officeDocument/2006/relationships/hyperlink" Target="https://www.tradingview.com/chart/Q1c5VWwD/?symbol=lnc" TargetMode="External" Id="rId50" /><Relationship Type="http://schemas.openxmlformats.org/officeDocument/2006/relationships/hyperlink" Target="https://www.tradingview.com/chart/Q1c5VWwD/?symbol=eqh" TargetMode="External" Id="rId51" /><Relationship Type="http://schemas.openxmlformats.org/officeDocument/2006/relationships/hyperlink" Target="https://www.tradingview.com/chart/Q1c5VWwD/?symbol=abt" TargetMode="External" Id="rId52" /><Relationship Type="http://schemas.openxmlformats.org/officeDocument/2006/relationships/hyperlink" Target="https://www.tradingview.com/chart/Q1c5VWwD/?symbol=mdt" TargetMode="External" Id="rId53" /><Relationship Type="http://schemas.openxmlformats.org/officeDocument/2006/relationships/hyperlink" Target="https://www.tradingview.com/chart/Q1c5VWwD/?symbol=syk" TargetMode="External" Id="rId54" /><Relationship Type="http://schemas.openxmlformats.org/officeDocument/2006/relationships/hyperlink" Target="https://www.tradingview.com/chart/Q1c5VWwD/?symbol=bsx" TargetMode="External" Id="rId55" /><Relationship Type="http://schemas.openxmlformats.org/officeDocument/2006/relationships/hyperlink" Target="https://www.tradingview.com/chart/Q1c5VWwD/?symbol=isrg" TargetMode="External" Id="rId56" /><Relationship Type="http://schemas.openxmlformats.org/officeDocument/2006/relationships/hyperlink" Target="https://www.tradingview.com/chart/Q1c5VWwD/?symbol=etn" TargetMode="External" Id="rId57" /><Relationship Type="http://schemas.openxmlformats.org/officeDocument/2006/relationships/hyperlink" Target="https://www.tradingview.com/chart/Q1c5VWwD/?symbol=emr" TargetMode="External" Id="rId58" /><Relationship Type="http://schemas.openxmlformats.org/officeDocument/2006/relationships/hyperlink" Target="https://www.tradingview.com/chart/Q1c5VWwD/?symbol=pwr" TargetMode="External" Id="rId59" /><Relationship Type="http://schemas.openxmlformats.org/officeDocument/2006/relationships/hyperlink" Target="https://www.tradingview.com/chart/Q1c5VWwD/?symbol=hubb" TargetMode="External" Id="rId60" /><Relationship Type="http://schemas.openxmlformats.org/officeDocument/2006/relationships/hyperlink" Target="https://www.tradingview.com/chart/Q1c5VWwD/?symbol=gev" TargetMode="External" Id="rId61" /><Relationship Type="http://schemas.openxmlformats.org/officeDocument/2006/relationships/hyperlink" Target="https://www.tradingview.com/chart/Q1c5VWwD/?symbol=pg" TargetMode="External" Id="rId62" /><Relationship Type="http://schemas.openxmlformats.org/officeDocument/2006/relationships/hyperlink" Target="https://www.tradingview.com/chart/Q1c5VWwD/?symbol=cl" TargetMode="External" Id="rId63" /><Relationship Type="http://schemas.openxmlformats.org/officeDocument/2006/relationships/hyperlink" Target="https://www.tradingview.com/chart/Q1c5VWwD/?symbol=kmb" TargetMode="External" Id="rId64" /><Relationship Type="http://schemas.openxmlformats.org/officeDocument/2006/relationships/hyperlink" Target="https://www.tradingview.com/chart/Q1c5VWwD/?symbol=chd" TargetMode="External" Id="rId65" /><Relationship Type="http://schemas.openxmlformats.org/officeDocument/2006/relationships/hyperlink" Target="https://www.tradingview.com/chart/Q1c5VWwD/?symbol=el" TargetMode="External" Id="rId66" /><Relationship Type="http://schemas.openxmlformats.org/officeDocument/2006/relationships/hyperlink" Target="https://www.tradingview.com/chart/Q1c5VWwD/?symbol=bxp" TargetMode="External" Id="rId67" /><Relationship Type="http://schemas.openxmlformats.org/officeDocument/2006/relationships/hyperlink" Target="https://www.tradingview.com/chart/Q1c5VWwD/?symbol=vno" TargetMode="External" Id="rId68" /><Relationship Type="http://schemas.openxmlformats.org/officeDocument/2006/relationships/hyperlink" Target="https://www.tradingview.com/chart/Q1c5VWwD/?symbol=slg" TargetMode="External" Id="rId69" /><Relationship Type="http://schemas.openxmlformats.org/officeDocument/2006/relationships/hyperlink" Target="https://www.tradingview.com/chart/Q1c5VWwD/?symbol=hiw" TargetMode="External" Id="rId70" /><Relationship Type="http://schemas.openxmlformats.org/officeDocument/2006/relationships/hyperlink" Target="https://www.tradingview.com/chart/Q1c5VWwD/?symbol=vrt" TargetMode="External" Id="rId71" /><Relationship Type="http://schemas.openxmlformats.org/officeDocument/2006/relationships/hyperlink" Target="https://www.tradingview.com/chart/Q1c5VWwD/?symbol=smci" TargetMode="External" Id="rId72" /><Relationship Type="http://schemas.openxmlformats.org/officeDocument/2006/relationships/hyperlink" Target="https://www.tradingview.com/chart/Q1c5VWwD/?symbol=anet" TargetMode="External" Id="rId73" /><Relationship Type="http://schemas.openxmlformats.org/officeDocument/2006/relationships/hyperlink" Target="https://www.tradingview.com/chart/Q1c5VWwD/?symbol=mod" TargetMode="External" Id="rId74" /><Relationship Type="http://schemas.openxmlformats.org/officeDocument/2006/relationships/hyperlink" Target="https://www.tradingview.com/chart/Q1c5VWwD/?symbol=cien" TargetMode="External" Id="rId75" /><Relationship Type="http://schemas.openxmlformats.org/officeDocument/2006/relationships/hyperlink" Target="https://www.tradingview.com/chart/Q1c5VWwD/?symbol=adp" TargetMode="External" Id="rId76" /><Relationship Type="http://schemas.openxmlformats.org/officeDocument/2006/relationships/hyperlink" Target="https://www.tradingview.com/chart/Q1c5VWwD/?symbol=payx" TargetMode="External" Id="rId77" /><Relationship Type="http://schemas.openxmlformats.org/officeDocument/2006/relationships/hyperlink" Target="https://www.tradingview.com/chart/Q1c5VWwD/?symbol=man" TargetMode="External" Id="rId78" /><Relationship Type="http://schemas.openxmlformats.org/officeDocument/2006/relationships/hyperlink" Target="https://www.tradingview.com/chart/Q1c5VWwD/?symbol=rhi" TargetMode="External" Id="rId79" /><Relationship Type="http://schemas.openxmlformats.org/officeDocument/2006/relationships/hyperlink" Target="https://www.tradingview.com/chart/Q1c5VWwD/?symbol=ctas" TargetMode="External" Id="rId80" /><Relationship Type="http://schemas.openxmlformats.org/officeDocument/2006/relationships/hyperlink" Target="https://www.tradingview.com/chart/Q1c5VWwD/?symbol=pld" TargetMode="External" Id="rId81" /><Relationship Type="http://schemas.openxmlformats.org/officeDocument/2006/relationships/hyperlink" Target="https://www.tradingview.com/chart/Q1c5VWwD/?symbol=egp" TargetMode="External" Id="rId82" /><Relationship Type="http://schemas.openxmlformats.org/officeDocument/2006/relationships/hyperlink" Target="https://www.tradingview.com/chart/Q1c5VWwD/?symbol=fr" TargetMode="External" Id="rId83" /><Relationship Type="http://schemas.openxmlformats.org/officeDocument/2006/relationships/hyperlink" Target="https://www.tradingview.com/chart/Q1c5VWwD/?symbol=stag" TargetMode="External" Id="rId84" /><Relationship Type="http://schemas.openxmlformats.org/officeDocument/2006/relationships/hyperlink" Target="https://www.tradingview.com/chart/Q1c5VWwD/?symbol=nflx" TargetMode="External" Id="rId85" /><Relationship Type="http://schemas.openxmlformats.org/officeDocument/2006/relationships/hyperlink" Target="https://www.tradingview.com/chart/Q1c5VWwD/?symbol=dis" TargetMode="External" Id="rId86" /><Relationship Type="http://schemas.openxmlformats.org/officeDocument/2006/relationships/hyperlink" Target="https://www.tradingview.com/chart/Q1c5VWwD/?symbol=wbd" TargetMode="External" Id="rId87" /><Relationship Type="http://schemas.openxmlformats.org/officeDocument/2006/relationships/hyperlink" Target="https://www.tradingview.com/chart/Q1c5VWwD/?symbol=roku" TargetMode="External" Id="rId88" /><Relationship Type="http://schemas.openxmlformats.org/officeDocument/2006/relationships/hyperlink" Target="https://www.tradingview.com/chart/Q1c5VWwD/?symbol=hims" TargetMode="External" Id="rId89" /><Relationship Type="http://schemas.openxmlformats.org/officeDocument/2006/relationships/hyperlink" Target="https://www.tradingview.com/chart/Q1c5VWwD/?symbol=tdoc" TargetMode="External" Id="rId90" /><Relationship Type="http://schemas.openxmlformats.org/officeDocument/2006/relationships/hyperlink" Target="https://www.tradingview.com/chart/Q1c5VWwD/?symbol=docs" TargetMode="External" Id="rId91" /><Relationship Type="http://schemas.openxmlformats.org/officeDocument/2006/relationships/hyperlink" Target="https://www.tradingview.com/chart/Q1c5VWwD/?symbol=oscr" TargetMode="External" Id="rId92" /><Relationship Type="http://schemas.openxmlformats.org/officeDocument/2006/relationships/hyperlink" Target="https://www.tradingview.com/chart/Q1c5VWwD/?symbol=eqix" TargetMode="External" Id="rId93" /><Relationship Type="http://schemas.openxmlformats.org/officeDocument/2006/relationships/hyperlink" Target="https://www.tradingview.com/chart/Q1c5VWwD/?symbol=dlr" TargetMode="External" Id="rId94" /><Relationship Type="http://schemas.openxmlformats.org/officeDocument/2006/relationships/hyperlink" Target="https://www.tradingview.com/chart/Q1c5VWwD/?symbol=lly" TargetMode="External" Id="rId95" /><Relationship Type="http://schemas.openxmlformats.org/officeDocument/2006/relationships/hyperlink" Target="https://www.tradingview.com/chart/Q1c5VWwD/?symbol=jnj" TargetMode="External" Id="rId96" /><Relationship Type="http://schemas.openxmlformats.org/officeDocument/2006/relationships/hyperlink" Target="https://www.tradingview.com/chart/Q1c5VWwD/?symbol=pfe" TargetMode="External" Id="rId97" /><Relationship Type="http://schemas.openxmlformats.org/officeDocument/2006/relationships/hyperlink" Target="https://www.tradingview.com/chart/Q1c5VWwD/?symbol=mrk" TargetMode="External" Id="rId98" /><Relationship Type="http://schemas.openxmlformats.org/officeDocument/2006/relationships/hyperlink" Target="https://www.tradingview.com/chart/Q1c5VWwD/?symbol=abbv" TargetMode="External" Id="rId99" /><Relationship Type="http://schemas.openxmlformats.org/officeDocument/2006/relationships/hyperlink" Target="https://www.tradingview.com/chart/Q1c5VWwD/?symbol=bmy" TargetMode="External" Id="rId100" /><Relationship Type="http://schemas.openxmlformats.org/officeDocument/2006/relationships/hyperlink" Target="https://www.tradingview.com/chart/Q1c5VWwD/?symbol=v" TargetMode="External" Id="rId101" /><Relationship Type="http://schemas.openxmlformats.org/officeDocument/2006/relationships/hyperlink" Target="https://www.tradingview.com/chart/Q1c5VWwD/?symbol=ma" TargetMode="External" Id="rId102" /><Relationship Type="http://schemas.openxmlformats.org/officeDocument/2006/relationships/hyperlink" Target="https://www.tradingview.com/chart/Q1c5VWwD/?symbol=pypl" TargetMode="External" Id="rId103" /><Relationship Type="http://schemas.openxmlformats.org/officeDocument/2006/relationships/hyperlink" Target="https://www.tradingview.com/chart/Q1c5VWwD/?symbol=gpn" TargetMode="External" Id="rId104" /><Relationship Type="http://schemas.openxmlformats.org/officeDocument/2006/relationships/hyperlink" Target="https://www.tradingview.com/chart/Q1c5VWwD/?symbol=tost" TargetMode="External" Id="rId105" /><Relationship Type="http://schemas.openxmlformats.org/officeDocument/2006/relationships/hyperlink" Target="https://www.tradingview.com/chart/Q1c5VWwD/?symbol=rok" TargetMode="External" Id="rId106" /><Relationship Type="http://schemas.openxmlformats.org/officeDocument/2006/relationships/hyperlink" Target="https://www.tradingview.com/chart/Q1c5VWwD/?symbol=sym" TargetMode="External" Id="rId107" /><Relationship Type="http://schemas.openxmlformats.org/officeDocument/2006/relationships/hyperlink" Target="https://www.tradingview.com/chart/Q1c5VWwD/?symbol=ndsn" TargetMode="External" Id="rId108" /><Relationship Type="http://schemas.openxmlformats.org/officeDocument/2006/relationships/hyperlink" Target="https://www.tradingview.com/chart/Q1c5VWwD/?symbol=ter" TargetMode="External" Id="rId109" /><Relationship Type="http://schemas.openxmlformats.org/officeDocument/2006/relationships/hyperlink" Target="https://www.tradingview.com/chart/Q1c5VWwD/?symbol=lmt" TargetMode="External" Id="rId110" /><Relationship Type="http://schemas.openxmlformats.org/officeDocument/2006/relationships/hyperlink" Target="https://www.tradingview.com/chart/Q1c5VWwD/?symbol=rtx" TargetMode="External" Id="rId111" /><Relationship Type="http://schemas.openxmlformats.org/officeDocument/2006/relationships/hyperlink" Target="https://www.tradingview.com/chart/Q1c5VWwD/?symbol=noc" TargetMode="External" Id="rId112" /><Relationship Type="http://schemas.openxmlformats.org/officeDocument/2006/relationships/hyperlink" Target="https://www.tradingview.com/chart/Q1c5VWwD/?symbol=gd" TargetMode="External" Id="rId113" /><Relationship Type="http://schemas.openxmlformats.org/officeDocument/2006/relationships/hyperlink" Target="https://www.tradingview.com/chart/Q1c5VWwD/?symbol=lhx" TargetMode="External" Id="rId114" /><Relationship Type="http://schemas.openxmlformats.org/officeDocument/2006/relationships/hyperlink" Target="https://www.tradingview.com/chart/Q1c5VWwD/?symbol=ba" TargetMode="External" Id="rId115" /><Relationship Type="http://schemas.openxmlformats.org/officeDocument/2006/relationships/hyperlink" Target="https://www.tradingview.com/chart/Q1c5VWwD/?symbol=lrn" TargetMode="External" Id="rId116" /><Relationship Type="http://schemas.openxmlformats.org/officeDocument/2006/relationships/hyperlink" Target="https://www.tradingview.com/chart/Q1c5VWwD/?symbol=hrb" TargetMode="External" Id="rId117" /><Relationship Type="http://schemas.openxmlformats.org/officeDocument/2006/relationships/hyperlink" Target="https://www.tradingview.com/chart/Q1c5VWwD/?symbol=sci" TargetMode="External" Id="rId118" /><Relationship Type="http://schemas.openxmlformats.org/officeDocument/2006/relationships/hyperlink" Target="https://www.tradingview.com/chart/Q1c5VWwD/?symbol=stz" TargetMode="External" Id="rId119" /><Relationship Type="http://schemas.openxmlformats.org/officeDocument/2006/relationships/hyperlink" Target="https://www.tradingview.com/chart/Q1c5VWwD/?symbol=bf.b" TargetMode="External" Id="rId120" /><Relationship Type="http://schemas.openxmlformats.org/officeDocument/2006/relationships/hyperlink" Target="https://www.tradingview.com/chart/Q1c5VWwD/?symbol=tap" TargetMode="External" Id="rId121" /><Relationship Type="http://schemas.openxmlformats.org/officeDocument/2006/relationships/hyperlink" Target="https://www.tradingview.com/chart/Q1c5VWwD/?symbol=deo" TargetMode="External" Id="rId122" /><Relationship Type="http://schemas.openxmlformats.org/officeDocument/2006/relationships/hyperlink" Target="https://www.tradingview.com/chart/Q1c5VWwD/?symbol=lyv" TargetMode="External" Id="rId123" /><Relationship Type="http://schemas.openxmlformats.org/officeDocument/2006/relationships/hyperlink" Target="https://www.tradingview.com/chart/Q1c5VWwD/?symbol=fwonk" TargetMode="External" Id="rId124" /><Relationship Type="http://schemas.openxmlformats.org/officeDocument/2006/relationships/hyperlink" Target="https://www.tradingview.com/chart/Q1c5VWwD/?symbol=nwsa" TargetMode="External" Id="rId125" /><Relationship Type="http://schemas.openxmlformats.org/officeDocument/2006/relationships/hyperlink" Target="https://www.tradingview.com/chart/Q1c5VWwD/?symbol=para" TargetMode="External" Id="rId126" /><Relationship Type="http://schemas.openxmlformats.org/officeDocument/2006/relationships/hyperlink" Target="https://www.tradingview.com/chart/Q1c5VWwD/?symbol=gis" TargetMode="External" Id="rId127" /><Relationship Type="http://schemas.openxmlformats.org/officeDocument/2006/relationships/hyperlink" Target="https://www.tradingview.com/chart/Q1c5VWwD/?symbol=khc" TargetMode="External" Id="rId128" /><Relationship Type="http://schemas.openxmlformats.org/officeDocument/2006/relationships/hyperlink" Target="https://www.tradingview.com/chart/Q1c5VWwD/?symbol=hsy" TargetMode="External" Id="rId129" /><Relationship Type="http://schemas.openxmlformats.org/officeDocument/2006/relationships/hyperlink" Target="https://www.tradingview.com/chart/Q1c5VWwD/?symbol=cag" TargetMode="External" Id="rId130" /><Relationship Type="http://schemas.openxmlformats.org/officeDocument/2006/relationships/hyperlink" Target="https://www.tradingview.com/chart/Q1c5VWwD/?symbol=pm" TargetMode="External" Id="rId131" /><Relationship Type="http://schemas.openxmlformats.org/officeDocument/2006/relationships/hyperlink" Target="https://www.tradingview.com/chart/Q1c5VWwD/?symbol=mo" TargetMode="External" Id="rId132" /><Relationship Type="http://schemas.openxmlformats.org/officeDocument/2006/relationships/hyperlink" Target="https://www.tradingview.com/chart/Q1c5VWwD/?symbol=tpb" TargetMode="External" Id="rId133" /><Relationship Type="http://schemas.openxmlformats.org/officeDocument/2006/relationships/hyperlink" Target="https://www.tradingview.com/chart/Q1c5VWwD/?symbol=acn" TargetMode="External" Id="rId134" /><Relationship Type="http://schemas.openxmlformats.org/officeDocument/2006/relationships/hyperlink" Target="https://www.tradingview.com/chart/Q1c5VWwD/?symbol=ibm" TargetMode="External" Id="rId135" /><Relationship Type="http://schemas.openxmlformats.org/officeDocument/2006/relationships/hyperlink" Target="https://www.tradingview.com/chart/Q1c5VWwD/?symbol=infy" TargetMode="External" Id="rId136" /><Relationship Type="http://schemas.openxmlformats.org/officeDocument/2006/relationships/hyperlink" Target="https://www.tradingview.com/chart/Q1c5VWwD/?symbol=ctsh" TargetMode="External" Id="rId137" /><Relationship Type="http://schemas.openxmlformats.org/officeDocument/2006/relationships/hyperlink" Target="https://www.tradingview.com/chart/Q1c5VWwD/?symbol=epam" TargetMode="External" Id="rId138" /><Relationship Type="http://schemas.openxmlformats.org/officeDocument/2006/relationships/hyperlink" Target="https://www.tradingview.com/chart/Q1c5VWwD/?symbol=t" TargetMode="External" Id="rId139" /><Relationship Type="http://schemas.openxmlformats.org/officeDocument/2006/relationships/hyperlink" Target="https://www.tradingview.com/chart/Q1c5VWwD/?symbol=vz" TargetMode="External" Id="rId140" /><Relationship Type="http://schemas.openxmlformats.org/officeDocument/2006/relationships/hyperlink" Target="https://www.tradingview.com/chart/Q1c5VWwD/?symbol=tmus" TargetMode="External" Id="rId141" /><Relationship Type="http://schemas.openxmlformats.org/officeDocument/2006/relationships/hyperlink" Target="https://www.tradingview.com/chart/Q1c5VWwD/?symbol=cohr" TargetMode="External" Id="rId142" /><Relationship Type="http://schemas.openxmlformats.org/officeDocument/2006/relationships/hyperlink" Target="https://www.tradingview.com/chart/Q1c5VWwD/?symbol=lite" TargetMode="External" Id="rId143" /><Relationship Type="http://schemas.openxmlformats.org/officeDocument/2006/relationships/hyperlink" Target="https://www.tradingview.com/chart/Q1c5VWwD/?symbol=aaoi" TargetMode="External" Id="rId144" /><Relationship Type="http://schemas.openxmlformats.org/officeDocument/2006/relationships/hyperlink" Target="https://www.tradingview.com/chart/Q1c5VWwD/?symbol=crdo" TargetMode="External" Id="rId145" /><Relationship Type="http://schemas.openxmlformats.org/officeDocument/2006/relationships/hyperlink" Target="https://www.tradingview.com/chart/Q1c5VWwD/?symbol=poet" TargetMode="External" Id="rId146" /><Relationship Type="http://schemas.openxmlformats.org/officeDocument/2006/relationships/hyperlink" Target="https://www.tradingview.com/chart/Q1c5VWwD/?symbol=amzn" TargetMode="External" Id="rId147" /><Relationship Type="http://schemas.openxmlformats.org/officeDocument/2006/relationships/hyperlink" Target="https://www.tradingview.com/chart/Q1c5VWwD/?symbol=shop" TargetMode="External" Id="rId148" /><Relationship Type="http://schemas.openxmlformats.org/officeDocument/2006/relationships/hyperlink" Target="https://www.tradingview.com/chart/Q1c5VWwD/?symbol=ebay" TargetMode="External" Id="rId149" /><Relationship Type="http://schemas.openxmlformats.org/officeDocument/2006/relationships/hyperlink" Target="https://www.tradingview.com/chart/Q1c5VWwD/?symbol=chwy" TargetMode="External" Id="rId150" /><Relationship Type="http://schemas.openxmlformats.org/officeDocument/2006/relationships/hyperlink" Target="https://www.tradingview.com/chart/Q1c5VWwD/?symbol=w" TargetMode="External" Id="rId151" /><Relationship Type="http://schemas.openxmlformats.org/officeDocument/2006/relationships/hyperlink" Target="https://www.tradingview.com/chart/Q1c5VWwD/?symbol=wmt" TargetMode="External" Id="rId152" /><Relationship Type="http://schemas.openxmlformats.org/officeDocument/2006/relationships/hyperlink" Target="https://www.tradingview.com/chart/Q1c5VWwD/?symbol=cost" TargetMode="External" Id="rId153" /><Relationship Type="http://schemas.openxmlformats.org/officeDocument/2006/relationships/hyperlink" Target="https://www.tradingview.com/chart/Q1c5VWwD/?symbol=kr" TargetMode="External" Id="rId154" /><Relationship Type="http://schemas.openxmlformats.org/officeDocument/2006/relationships/hyperlink" Target="https://www.tradingview.com/chart/Q1c5VWwD/?symbol=bj" TargetMode="External" Id="rId155" /><Relationship Type="http://schemas.openxmlformats.org/officeDocument/2006/relationships/hyperlink" Target="https://www.tradingview.com/chart/Q1c5VWwD/?symbol=aci" TargetMode="External" Id="rId156" /><Relationship Type="http://schemas.openxmlformats.org/officeDocument/2006/relationships/hyperlink" Target="https://www.tradingview.com/chart/Q1c5VWwD/?symbol=snps" TargetMode="External" Id="rId157" /><Relationship Type="http://schemas.openxmlformats.org/officeDocument/2006/relationships/hyperlink" Target="https://www.tradingview.com/chart/Q1c5VWwD/?symbol=cdns" TargetMode="External" Id="rId158" /><Relationship Type="http://schemas.openxmlformats.org/officeDocument/2006/relationships/hyperlink" Target="https://www.tradingview.com/chart/Q1c5VWwD/?symbol=arm" TargetMode="External" Id="rId159" /><Relationship Type="http://schemas.openxmlformats.org/officeDocument/2006/relationships/hyperlink" Target="https://www.tradingview.com/chart/Q1c5VWwD/?symbol=tsm" TargetMode="External" Id="rId160" /><Relationship Type="http://schemas.openxmlformats.org/officeDocument/2006/relationships/hyperlink" Target="https://www.tradingview.com/chart/Q1c5VWwD/?symbol=intc" TargetMode="External" Id="rId161" /><Relationship Type="http://schemas.openxmlformats.org/officeDocument/2006/relationships/hyperlink" Target="https://www.tradingview.com/chart/Q1c5VWwD/?symbol=gfs" TargetMode="External" Id="rId162" /><Relationship Type="http://schemas.openxmlformats.org/officeDocument/2006/relationships/hyperlink" Target="https://www.tradingview.com/chart/Q1c5VWwD/?symbol=umc" TargetMode="External" Id="rId163" /><Relationship Type="http://schemas.openxmlformats.org/officeDocument/2006/relationships/hyperlink" Target="https://www.tradingview.com/chart/Q1c5VWwD/?symbol=cat" TargetMode="External" Id="rId164" /><Relationship Type="http://schemas.openxmlformats.org/officeDocument/2006/relationships/hyperlink" Target="https://www.tradingview.com/chart/Q1c5VWwD/?symbol=de" TargetMode="External" Id="rId165" /><Relationship Type="http://schemas.openxmlformats.org/officeDocument/2006/relationships/hyperlink" Target="https://www.tradingview.com/chart/Q1c5VWwD/?symbol=cmi" TargetMode="External" Id="rId166" /><Relationship Type="http://schemas.openxmlformats.org/officeDocument/2006/relationships/hyperlink" Target="https://www.tradingview.com/chart/Q1c5VWwD/?symbol=pcar" TargetMode="External" Id="rId167" /><Relationship Type="http://schemas.openxmlformats.org/officeDocument/2006/relationships/hyperlink" Target="https://www.tradingview.com/chart/Q1c5VWwD/?symbol=hon" TargetMode="External" Id="rId168" /><Relationship Type="http://schemas.openxmlformats.org/officeDocument/2006/relationships/hyperlink" Target="https://www.tradingview.com/chart/Q1c5VWwD/?symbol=rklb" TargetMode="External" Id="rId169" /><Relationship Type="http://schemas.openxmlformats.org/officeDocument/2006/relationships/hyperlink" Target="https://www.tradingview.com/chart/Q1c5VWwD/?symbol=asts" TargetMode="External" Id="rId170" /><Relationship Type="http://schemas.openxmlformats.org/officeDocument/2006/relationships/hyperlink" Target="https://www.tradingview.com/chart/Q1c5VWwD/?symbol=lunr" TargetMode="External" Id="rId171" /><Relationship Type="http://schemas.openxmlformats.org/officeDocument/2006/relationships/hyperlink" Target="https://www.tradingview.com/chart/Q1c5VWwD/?symbol=pl" TargetMode="External" Id="rId172" /><Relationship Type="http://schemas.openxmlformats.org/officeDocument/2006/relationships/hyperlink" Target="https://www.tradingview.com/chart/Q1c5VWwD/?symbol=rdw" TargetMode="External" Id="rId173" /><Relationship Type="http://schemas.openxmlformats.org/officeDocument/2006/relationships/hyperlink" Target="https://www.tradingview.com/chart/Q1c5VWwD/?symbol=mar" TargetMode="External" Id="rId174" /><Relationship Type="http://schemas.openxmlformats.org/officeDocument/2006/relationships/hyperlink" Target="https://www.tradingview.com/chart/Q1c5VWwD/?symbol=hlt" TargetMode="External" Id="rId175" /><Relationship Type="http://schemas.openxmlformats.org/officeDocument/2006/relationships/hyperlink" Target="https://www.tradingview.com/chart/Q1c5VWwD/?symbol=rcl" TargetMode="External" Id="rId176" /><Relationship Type="http://schemas.openxmlformats.org/officeDocument/2006/relationships/hyperlink" Target="https://www.tradingview.com/chart/Q1c5VWwD/?symbol=ccl" TargetMode="External" Id="rId177" /><Relationship Type="http://schemas.openxmlformats.org/officeDocument/2006/relationships/hyperlink" Target="https://www.tradingview.com/chart/Q1c5VWwD/?symbol=nclh" TargetMode="External" Id="rId178" /><Relationship Type="http://schemas.openxmlformats.org/officeDocument/2006/relationships/hyperlink" Target="https://www.tradingview.com/chart/Q1c5VWwD/?symbol=well" TargetMode="External" Id="rId179" /><Relationship Type="http://schemas.openxmlformats.org/officeDocument/2006/relationships/hyperlink" Target="https://www.tradingview.com/chart/Q1c5VWwD/?symbol=vtr" TargetMode="External" Id="rId180" /><Relationship Type="http://schemas.openxmlformats.org/officeDocument/2006/relationships/hyperlink" Target="https://www.tradingview.com/chart/Q1c5VWwD/?symbol=ohi" TargetMode="External" Id="rId181" /><Relationship Type="http://schemas.openxmlformats.org/officeDocument/2006/relationships/hyperlink" Target="https://www.tradingview.com/chart/Q1c5VWwD/?symbol=doc" TargetMode="External" Id="rId182" /><Relationship Type="http://schemas.openxmlformats.org/officeDocument/2006/relationships/hyperlink" Target="https://www.tradingview.com/chart/Q1c5VWwD/?symbol=crm" TargetMode="External" Id="rId183" /><Relationship Type="http://schemas.openxmlformats.org/officeDocument/2006/relationships/hyperlink" Target="https://www.tradingview.com/chart/Q1c5VWwD/?symbol=now" TargetMode="External" Id="rId184" /><Relationship Type="http://schemas.openxmlformats.org/officeDocument/2006/relationships/hyperlink" Target="https://www.tradingview.com/chart/Q1c5VWwD/?symbol=wday" TargetMode="External" Id="rId185" /><Relationship Type="http://schemas.openxmlformats.org/officeDocument/2006/relationships/hyperlink" Target="https://www.tradingview.com/chart/Q1c5VWwD/?symbol=adbe" TargetMode="External" Id="rId186" /><Relationship Type="http://schemas.openxmlformats.org/officeDocument/2006/relationships/hyperlink" Target="https://www.tradingview.com/chart/Q1c5VWwD/?symbol=team" TargetMode="External" Id="rId187" /><Relationship Type="http://schemas.openxmlformats.org/officeDocument/2006/relationships/hyperlink" Target="https://www.tradingview.com/chart/Q1c5VWwD/?symbol=dhi" TargetMode="External" Id="rId188" /><Relationship Type="http://schemas.openxmlformats.org/officeDocument/2006/relationships/hyperlink" Target="https://www.tradingview.com/chart/Q1c5VWwD/?symbol=len" TargetMode="External" Id="rId189" /><Relationship Type="http://schemas.openxmlformats.org/officeDocument/2006/relationships/hyperlink" Target="https://www.tradingview.com/chart/Q1c5VWwD/?symbol=phm" TargetMode="External" Id="rId190" /><Relationship Type="http://schemas.openxmlformats.org/officeDocument/2006/relationships/hyperlink" Target="https://www.tradingview.com/chart/Q1c5VWwD/?symbol=nvr" TargetMode="External" Id="rId191" /><Relationship Type="http://schemas.openxmlformats.org/officeDocument/2006/relationships/hyperlink" Target="https://www.tradingview.com/chart/Q1c5VWwD/?symbol=tol" TargetMode="External" Id="rId192" /><Relationship Type="http://schemas.openxmlformats.org/officeDocument/2006/relationships/hyperlink" Target="https://www.tradingview.com/chart/Q1c5VWwD/?symbol=cop" TargetMode="External" Id="rId193" /><Relationship Type="http://schemas.openxmlformats.org/officeDocument/2006/relationships/hyperlink" Target="https://www.tradingview.com/chart/Q1c5VWwD/?symbol=eog" TargetMode="External" Id="rId194" /><Relationship Type="http://schemas.openxmlformats.org/officeDocument/2006/relationships/hyperlink" Target="https://www.tradingview.com/chart/Q1c5VWwD/?symbol=fang" TargetMode="External" Id="rId195" /><Relationship Type="http://schemas.openxmlformats.org/officeDocument/2006/relationships/hyperlink" Target="https://www.tradingview.com/chart/Q1c5VWwD/?symbol=dvn" TargetMode="External" Id="rId196" /><Relationship Type="http://schemas.openxmlformats.org/officeDocument/2006/relationships/hyperlink" Target="https://www.tradingview.com/chart/Q1c5VWwD/?symbol=oxy" TargetMode="External" Id="rId197" /><Relationship Type="http://schemas.openxmlformats.org/officeDocument/2006/relationships/hyperlink" Target="https://www.tradingview.com/chart/Q1c5VWwD/?symbol=lin" TargetMode="External" Id="rId198" /><Relationship Type="http://schemas.openxmlformats.org/officeDocument/2006/relationships/hyperlink" Target="https://www.tradingview.com/chart/Q1c5VWwD/?symbol=apd" TargetMode="External" Id="rId199" /><Relationship Type="http://schemas.openxmlformats.org/officeDocument/2006/relationships/hyperlink" Target="https://www.tradingview.com/chart/Q1c5VWwD/?symbol=shw" TargetMode="External" Id="rId200" /><Relationship Type="http://schemas.openxmlformats.org/officeDocument/2006/relationships/hyperlink" Target="https://www.tradingview.com/chart/Q1c5VWwD/?symbol=ecl" TargetMode="External" Id="rId201" /><Relationship Type="http://schemas.openxmlformats.org/officeDocument/2006/relationships/hyperlink" Target="https://www.tradingview.com/chart/Q1c5VWwD/?symbol=alb" TargetMode="External" Id="rId202" /><Relationship Type="http://schemas.openxmlformats.org/officeDocument/2006/relationships/hyperlink" Target="https://www.tradingview.com/chart/Q1c5VWwD/?symbol=ko" TargetMode="External" Id="rId203" /><Relationship Type="http://schemas.openxmlformats.org/officeDocument/2006/relationships/hyperlink" Target="https://www.tradingview.com/chart/Q1c5VWwD/?symbol=pep" TargetMode="External" Id="rId204" /><Relationship Type="http://schemas.openxmlformats.org/officeDocument/2006/relationships/hyperlink" Target="https://www.tradingview.com/chart/Q1c5VWwD/?symbol=mnst" TargetMode="External" Id="rId205" /><Relationship Type="http://schemas.openxmlformats.org/officeDocument/2006/relationships/hyperlink" Target="https://www.tradingview.com/chart/Q1c5VWwD/?symbol=celh" TargetMode="External" Id="rId206" /><Relationship Type="http://schemas.openxmlformats.org/officeDocument/2006/relationships/hyperlink" Target="https://www.tradingview.com/chart/Q1c5VWwD/?symbol=kdp" TargetMode="External" Id="rId207" /><Relationship Type="http://schemas.openxmlformats.org/officeDocument/2006/relationships/hyperlink" Target="https://www.tradingview.com/chart/Q1c5VWwD/?symbol=msft" TargetMode="External" Id="rId208" /><Relationship Type="http://schemas.openxmlformats.org/officeDocument/2006/relationships/hyperlink" Target="https://www.tradingview.com/chart/Q1c5VWwD/?symbol=amzn" TargetMode="External" Id="rId209" /><Relationship Type="http://schemas.openxmlformats.org/officeDocument/2006/relationships/hyperlink" Target="https://www.tradingview.com/chart/Q1c5VWwD/?symbol=googl" TargetMode="External" Id="rId210" /><Relationship Type="http://schemas.openxmlformats.org/officeDocument/2006/relationships/hyperlink" Target="https://www.tradingview.com/chart/Q1c5VWwD/?symbol=nbis" TargetMode="External" Id="rId211" /><Relationship Type="http://schemas.openxmlformats.org/officeDocument/2006/relationships/hyperlink" Target="https://www.tradingview.com/chart/Q1c5VWwD/?symbol=crwv" TargetMode="External" Id="rId212" /><Relationship Type="http://schemas.openxmlformats.org/officeDocument/2006/relationships/hyperlink" Target="https://www.tradingview.com/chart/Q1c5VWwD/?symbol=dal" TargetMode="External" Id="rId213" /><Relationship Type="http://schemas.openxmlformats.org/officeDocument/2006/relationships/hyperlink" Target="https://www.tradingview.com/chart/Q1c5VWwD/?symbol=ual" TargetMode="External" Id="rId214" /><Relationship Type="http://schemas.openxmlformats.org/officeDocument/2006/relationships/hyperlink" Target="https://www.tradingview.com/chart/Q1c5VWwD/?symbol=aal" TargetMode="External" Id="rId215" /><Relationship Type="http://schemas.openxmlformats.org/officeDocument/2006/relationships/hyperlink" Target="https://www.tradingview.com/chart/Q1c5VWwD/?symbol=luv" TargetMode="External" Id="rId216" /><Relationship Type="http://schemas.openxmlformats.org/officeDocument/2006/relationships/hyperlink" Target="https://www.tradingview.com/chart/Q1c5VWwD/?symbol=legn" TargetMode="External" Id="rId217" /><Relationship Type="http://schemas.openxmlformats.org/officeDocument/2006/relationships/hyperlink" Target="https://www.tradingview.com/chart/Q1c5VWwD/?symbol=iova" TargetMode="External" Id="rId218" /><Relationship Type="http://schemas.openxmlformats.org/officeDocument/2006/relationships/hyperlink" Target="https://www.tradingview.com/chart/Q1c5VWwD/?symbol=allo" TargetMode="External" Id="rId219" /><Relationship Type="http://schemas.openxmlformats.org/officeDocument/2006/relationships/hyperlink" Target="https://www.tradingview.com/chart/Q1c5VWwD/?symbol=arvn" TargetMode="External" Id="rId220" /><Relationship Type="http://schemas.openxmlformats.org/officeDocument/2006/relationships/hyperlink" Target="https://www.tradingview.com/chart/Q1c5VWwD/?symbol=rvmd" TargetMode="External" Id="rId221" /><Relationship Type="http://schemas.openxmlformats.org/officeDocument/2006/relationships/hyperlink" Target="https://www.tradingview.com/chart/Q1c5VWwD/?symbol=nktx" TargetMode="External" Id="rId222" /><Relationship Type="http://schemas.openxmlformats.org/officeDocument/2006/relationships/hyperlink" Target="https://www.tradingview.com/chart/Q1c5VWwD/?symbol=fate" TargetMode="External" Id="rId223" /><Relationship Type="http://schemas.openxmlformats.org/officeDocument/2006/relationships/hyperlink" Target="https://www.tradingview.com/chart/Q1c5VWwD/?symbol=crvs" TargetMode="External" Id="rId224" /><Relationship Type="http://schemas.openxmlformats.org/officeDocument/2006/relationships/hyperlink" Target="https://www.tradingview.com/chart/Q1c5VWwD/?symbol=j" TargetMode="External" Id="rId225" /><Relationship Type="http://schemas.openxmlformats.org/officeDocument/2006/relationships/hyperlink" Target="https://www.tradingview.com/chart/Q1c5VWwD/?symbol=acm" TargetMode="External" Id="rId226" /><Relationship Type="http://schemas.openxmlformats.org/officeDocument/2006/relationships/hyperlink" Target="https://www.tradingview.com/chart/Q1c5VWwD/?symbol=flr" TargetMode="External" Id="rId227" /><Relationship Type="http://schemas.openxmlformats.org/officeDocument/2006/relationships/hyperlink" Target="https://www.tradingview.com/chart/Q1c5VWwD/?symbol=mtz" TargetMode="External" Id="rId228" /><Relationship Type="http://schemas.openxmlformats.org/officeDocument/2006/relationships/hyperlink" Target="https://www.tradingview.com/chart/Q1c5VWwD/?symbol=prim" TargetMode="External" Id="rId229" /><Relationship Type="http://schemas.openxmlformats.org/officeDocument/2006/relationships/hyperlink" Target="https://www.tradingview.com/chart/Q1c5VWwD/?symbol=eme" TargetMode="External" Id="rId230" /><Relationship Type="http://schemas.openxmlformats.org/officeDocument/2006/relationships/hyperlink" Target="https://www.tradingview.com/chart/Q1c5VWwD/?symbol=txn" TargetMode="External" Id="rId231" /><Relationship Type="http://schemas.openxmlformats.org/officeDocument/2006/relationships/hyperlink" Target="https://www.tradingview.com/chart/Q1c5VWwD/?symbol=adi" TargetMode="External" Id="rId232" /><Relationship Type="http://schemas.openxmlformats.org/officeDocument/2006/relationships/hyperlink" Target="https://www.tradingview.com/chart/Q1c5VWwD/?symbol=on" TargetMode="External" Id="rId233" /><Relationship Type="http://schemas.openxmlformats.org/officeDocument/2006/relationships/hyperlink" Target="https://www.tradingview.com/chart/Q1c5VWwD/?symbol=mpwr" TargetMode="External" Id="rId234" /><Relationship Type="http://schemas.openxmlformats.org/officeDocument/2006/relationships/hyperlink" Target="https://www.tradingview.com/chart/Q1c5VWwD/?symbol=nxpi" TargetMode="External" Id="rId235" /><Relationship Type="http://schemas.openxmlformats.org/officeDocument/2006/relationships/hyperlink" Target="https://www.tradingview.com/chart/Q1c5VWwD/?symbol=xom" TargetMode="External" Id="rId236" /><Relationship Type="http://schemas.openxmlformats.org/officeDocument/2006/relationships/hyperlink" Target="https://www.tradingview.com/chart/Q1c5VWwD/?symbol=cvx" TargetMode="External" Id="rId237" /><Relationship Type="http://schemas.openxmlformats.org/officeDocument/2006/relationships/hyperlink" Target="https://www.tradingview.com/chart/Q1c5VWwD/?symbol=ttwo" TargetMode="External" Id="rId238" /><Relationship Type="http://schemas.openxmlformats.org/officeDocument/2006/relationships/hyperlink" Target="https://www.tradingview.com/chart/Q1c5VWwD/?symbol=rblx" TargetMode="External" Id="rId239" /><Relationship Type="http://schemas.openxmlformats.org/officeDocument/2006/relationships/hyperlink" Target="https://www.tradingview.com/chart/Q1c5VWwD/?symbol=pltk" TargetMode="External" Id="rId240" /><Relationship Type="http://schemas.openxmlformats.org/officeDocument/2006/relationships/hyperlink" Target="https://www.tradingview.com/chart/Q1c5VWwD/?symbol=psa" TargetMode="External" Id="rId241" /><Relationship Type="http://schemas.openxmlformats.org/officeDocument/2006/relationships/hyperlink" Target="https://www.tradingview.com/chart/Q1c5VWwD/?symbol=exr" TargetMode="External" Id="rId242" /><Relationship Type="http://schemas.openxmlformats.org/officeDocument/2006/relationships/hyperlink" Target="https://www.tradingview.com/chart/Q1c5VWwD/?symbol=vici" TargetMode="External" Id="rId243" /><Relationship Type="http://schemas.openxmlformats.org/officeDocument/2006/relationships/hyperlink" Target="https://www.tradingview.com/chart/Q1c5VWwD/?symbol=glpi" TargetMode="External" Id="rId244" /><Relationship Type="http://schemas.openxmlformats.org/officeDocument/2006/relationships/hyperlink" Target="https://www.tradingview.com/chart/Q1c5VWwD/?symbol=lamr" TargetMode="External" Id="rId245" /><Relationship Type="http://schemas.openxmlformats.org/officeDocument/2006/relationships/hyperlink" Target="https://www.tradingview.com/chart/Q1c5VWwD/?symbol=amgn" TargetMode="External" Id="rId246" /><Relationship Type="http://schemas.openxmlformats.org/officeDocument/2006/relationships/hyperlink" Target="https://www.tradingview.com/chart/Q1c5VWwD/?symbol=gild" TargetMode="External" Id="rId247" /><Relationship Type="http://schemas.openxmlformats.org/officeDocument/2006/relationships/hyperlink" Target="https://www.tradingview.com/chart/Q1c5VWwD/?symbol=regn" TargetMode="External" Id="rId248" /><Relationship Type="http://schemas.openxmlformats.org/officeDocument/2006/relationships/hyperlink" Target="https://www.tradingview.com/chart/Q1c5VWwD/?symbol=vrtx" TargetMode="External" Id="rId249" /><Relationship Type="http://schemas.openxmlformats.org/officeDocument/2006/relationships/hyperlink" Target="https://www.tradingview.com/chart/Q1c5VWwD/?symbol=biib" TargetMode="External" Id="rId250" /><Relationship Type="http://schemas.openxmlformats.org/officeDocument/2006/relationships/hyperlink" Target="https://www.tradingview.com/chart/Q1c5VWwD/?symbol=nvda" TargetMode="External" Id="rId251" /><Relationship Type="http://schemas.openxmlformats.org/officeDocument/2006/relationships/hyperlink" Target="https://www.tradingview.com/chart/Q1c5VWwD/?symbol=amd" TargetMode="External" Id="rId252" /><Relationship Type="http://schemas.openxmlformats.org/officeDocument/2006/relationships/hyperlink" Target="https://www.tradingview.com/chart/Q1c5VWwD/?symbol=avgo" TargetMode="External" Id="rId253" /><Relationship Type="http://schemas.openxmlformats.org/officeDocument/2006/relationships/hyperlink" Target="https://www.tradingview.com/chart/Q1c5VWwD/?symbol=mrvl" TargetMode="External" Id="rId254" /><Relationship Type="http://schemas.openxmlformats.org/officeDocument/2006/relationships/hyperlink" Target="https://www.tradingview.com/chart/Q1c5VWwD/?symbol=amt" TargetMode="External" Id="rId255" /><Relationship Type="http://schemas.openxmlformats.org/officeDocument/2006/relationships/hyperlink" Target="https://www.tradingview.com/chart/Q1c5VWwD/?symbol=cci" TargetMode="External" Id="rId256" /><Relationship Type="http://schemas.openxmlformats.org/officeDocument/2006/relationships/hyperlink" Target="https://www.tradingview.com/chart/Q1c5VWwD/?symbol=sbac" TargetMode="External" Id="rId257" /><Relationship Type="http://schemas.openxmlformats.org/officeDocument/2006/relationships/hyperlink" Target="https://www.tradingview.com/chart/Q1c5VWwD/?symbol=vmc" TargetMode="External" Id="rId258" /><Relationship Type="http://schemas.openxmlformats.org/officeDocument/2006/relationships/hyperlink" Target="https://www.tradingview.com/chart/Q1c5VWwD/?symbol=mlm" TargetMode="External" Id="rId259" /><Relationship Type="http://schemas.openxmlformats.org/officeDocument/2006/relationships/hyperlink" Target="https://www.tradingview.com/chart/Q1c5VWwD/?symbol=crh" TargetMode="External" Id="rId260" /><Relationship Type="http://schemas.openxmlformats.org/officeDocument/2006/relationships/hyperlink" Target="https://www.tradingview.com/chart/Q1c5VWwD/?symbol=ip" TargetMode="External" Id="rId261" /><Relationship Type="http://schemas.openxmlformats.org/officeDocument/2006/relationships/hyperlink" Target="https://www.tradingview.com/chart/Q1c5VWwD/?symbol=pkg" TargetMode="External" Id="rId262" /><Relationship Type="http://schemas.openxmlformats.org/officeDocument/2006/relationships/hyperlink" Target="https://www.tradingview.com/chart/Q1c5VWwD/?symbol=awk" TargetMode="External" Id="rId263" /><Relationship Type="http://schemas.openxmlformats.org/officeDocument/2006/relationships/hyperlink" Target="https://www.tradingview.com/chart/Q1c5VWwD/?symbol=wtrg" TargetMode="External" Id="rId264" /><Relationship Type="http://schemas.openxmlformats.org/officeDocument/2006/relationships/hyperlink" Target="https://www.tradingview.com/chart/Q1c5VWwD/?symbol=cwt" TargetMode="External" Id="rId265" /><Relationship Type="http://schemas.openxmlformats.org/officeDocument/2006/relationships/hyperlink" Target="https://www.tradingview.com/chart/Q1c5VWwD/?symbol=awr" TargetMode="External" Id="rId266" /><Relationship Type="http://schemas.openxmlformats.org/officeDocument/2006/relationships/hyperlink" Target="https://www.tradingview.com/chart/Q1c5VWwD/?symbol=hto" TargetMode="External" Id="rId267" /><Relationship Type="http://schemas.openxmlformats.org/officeDocument/2006/relationships/hyperlink" Target="https://www.tradingview.com/chart/Q1c5VWwD/?symbol=dow" TargetMode="External" Id="rId268" /><Relationship Type="http://schemas.openxmlformats.org/officeDocument/2006/relationships/hyperlink" Target="https://www.tradingview.com/chart/Q1c5VWwD/?symbol=lyb" TargetMode="External" Id="rId269" /><Relationship Type="http://schemas.openxmlformats.org/officeDocument/2006/relationships/hyperlink" Target="https://www.tradingview.com/chart/Q1c5VWwD/?symbol=cf" TargetMode="External" Id="rId270" /><Relationship Type="http://schemas.openxmlformats.org/officeDocument/2006/relationships/hyperlink" Target="https://www.tradingview.com/chart/Q1c5VWwD/?symbol=mos" TargetMode="External" Id="rId271" /><Relationship Type="http://schemas.openxmlformats.org/officeDocument/2006/relationships/hyperlink" Target="https://www.tradingview.com/chart/Q1c5VWwD/?symbol=ntr" TargetMode="External" Id="rId272" /><Relationship Type="http://schemas.openxmlformats.org/officeDocument/2006/relationships/hyperlink" Target="https://www.tradingview.com/chart/Q1c5VWwD/?symbol=unp" TargetMode="External" Id="rId273" /><Relationship Type="http://schemas.openxmlformats.org/officeDocument/2006/relationships/hyperlink" Target="https://www.tradingview.com/chart/Q1c5VWwD/?symbol=csx" TargetMode="External" Id="rId274" /><Relationship Type="http://schemas.openxmlformats.org/officeDocument/2006/relationships/hyperlink" Target="https://www.tradingview.com/chart/Q1c5VWwD/?symbol=nsc" TargetMode="External" Id="rId275" /><Relationship Type="http://schemas.openxmlformats.org/officeDocument/2006/relationships/hyperlink" Target="https://www.tradingview.com/chart/Q1c5VWwD/?symbol=axp" TargetMode="External" Id="rId276" /><Relationship Type="http://schemas.openxmlformats.org/officeDocument/2006/relationships/hyperlink" Target="https://www.tradingview.com/chart/Q1c5VWwD/?symbol=cof" TargetMode="External" Id="rId277" /><Relationship Type="http://schemas.openxmlformats.org/officeDocument/2006/relationships/hyperlink" Target="https://www.tradingview.com/chart/Q1c5VWwD/?symbol=syf" TargetMode="External" Id="rId278" /><Relationship Type="http://schemas.openxmlformats.org/officeDocument/2006/relationships/hyperlink" Target="https://www.tradingview.com/chart/Q1c5VWwD/?symbol=sofi" TargetMode="External" Id="rId279" /><Relationship Type="http://schemas.openxmlformats.org/officeDocument/2006/relationships/hyperlink" Target="https://www.tradingview.com/chart/Q1c5VWwD/?symbol=afrm" TargetMode="External" Id="rId280" /><Relationship Type="http://schemas.openxmlformats.org/officeDocument/2006/relationships/hyperlink" Target="https://www.tradingview.com/chart/Q1c5VWwD/?symbol=carr" TargetMode="External" Id="rId281" /><Relationship Type="http://schemas.openxmlformats.org/officeDocument/2006/relationships/hyperlink" Target="https://www.tradingview.com/chart/Q1c5VWwD/?symbol=tt" TargetMode="External" Id="rId282" /><Relationship Type="http://schemas.openxmlformats.org/officeDocument/2006/relationships/hyperlink" Target="https://www.tradingview.com/chart/Q1c5VWwD/?symbol=jci" TargetMode="External" Id="rId283" /><Relationship Type="http://schemas.openxmlformats.org/officeDocument/2006/relationships/hyperlink" Target="https://www.tradingview.com/chart/Q1c5VWwD/?symbol=lii" TargetMode="External" Id="rId284" /><Relationship Type="http://schemas.openxmlformats.org/officeDocument/2006/relationships/hyperlink" Target="https://www.tradingview.com/chart/Q1c5VWwD/?symbol=aaon" TargetMode="External" Id="rId285" /><Relationship Type="http://schemas.openxmlformats.org/officeDocument/2006/relationships/hyperlink" Target="https://www.tradingview.com/chart/Q1c5VWwD/?symbol=gm" TargetMode="External" Id="rId286" /><Relationship Type="http://schemas.openxmlformats.org/officeDocument/2006/relationships/hyperlink" Target="https://www.tradingview.com/chart/Q1c5VWwD/?symbol=f" TargetMode="External" Id="rId287" /><Relationship Type="http://schemas.openxmlformats.org/officeDocument/2006/relationships/hyperlink" Target="https://www.tradingview.com/chart/Q1c5VWwD/?symbol=aptv" TargetMode="External" Id="rId288" /><Relationship Type="http://schemas.openxmlformats.org/officeDocument/2006/relationships/hyperlink" Target="https://www.tradingview.com/chart/Q1c5VWwD/?symbol=lea" TargetMode="External" Id="rId289" /><Relationship Type="http://schemas.openxmlformats.org/officeDocument/2006/relationships/hyperlink" Target="https://www.tradingview.com/chart/Q1c5VWwD/?symbol=mga" TargetMode="External" Id="rId290" /><Relationship Type="http://schemas.openxmlformats.org/officeDocument/2006/relationships/hyperlink" Target="https://www.tradingview.com/chart/Q1c5VWwD/?symbol=nem" TargetMode="External" Id="rId291" /><Relationship Type="http://schemas.openxmlformats.org/officeDocument/2006/relationships/hyperlink" Target="https://www.tradingview.com/chart/Q1c5VWwD/?symbol=gold" TargetMode="External" Id="rId292" /><Relationship Type="http://schemas.openxmlformats.org/officeDocument/2006/relationships/hyperlink" Target="https://www.tradingview.com/chart/Q1c5VWwD/?symbol=aem" TargetMode="External" Id="rId293" /><Relationship Type="http://schemas.openxmlformats.org/officeDocument/2006/relationships/hyperlink" Target="https://www.tradingview.com/chart/Q1c5VWwD/?symbol=au" TargetMode="External" Id="rId294" /><Relationship Type="http://schemas.openxmlformats.org/officeDocument/2006/relationships/hyperlink" Target="https://www.tradingview.com/chart/Q1c5VWwD/?symbol=kgc" TargetMode="External" Id="rId295" /><Relationship Type="http://schemas.openxmlformats.org/officeDocument/2006/relationships/hyperlink" Target="https://www.tradingview.com/chart/Q1c5VWwD/?symbol=rgld" TargetMode="External" Id="rId296" /><Relationship Type="http://schemas.openxmlformats.org/officeDocument/2006/relationships/hyperlink" Target="https://www.tradingview.com/chart/Q1c5VWwD/?symbol=fcx" TargetMode="External" Id="rId297" /><Relationship Type="http://schemas.openxmlformats.org/officeDocument/2006/relationships/hyperlink" Target="https://www.tradingview.com/chart/Q1c5VWwD/?symbol=scco" TargetMode="External" Id="rId298" /><Relationship Type="http://schemas.openxmlformats.org/officeDocument/2006/relationships/hyperlink" Target="https://www.tradingview.com/chart/Q1c5VWwD/?symbol=teck" TargetMode="External" Id="rId299" /><Relationship Type="http://schemas.openxmlformats.org/officeDocument/2006/relationships/hyperlink" Target="https://www.tradingview.com/chart/Q1c5VWwD/?symbol=hbm" TargetMode="External" Id="rId300" /><Relationship Type="http://schemas.openxmlformats.org/officeDocument/2006/relationships/hyperlink" Target="https://www.tradingview.com/chart/Q1c5VWwD/?symbol=jpm" TargetMode="External" Id="rId301" /><Relationship Type="http://schemas.openxmlformats.org/officeDocument/2006/relationships/hyperlink" Target="https://www.tradingview.com/chart/Q1c5VWwD/?symbol=bac" TargetMode="External" Id="rId302" /><Relationship Type="http://schemas.openxmlformats.org/officeDocument/2006/relationships/hyperlink" Target="https://www.tradingview.com/chart/Q1c5VWwD/?symbol=c" TargetMode="External" Id="rId303" /><Relationship Type="http://schemas.openxmlformats.org/officeDocument/2006/relationships/hyperlink" Target="https://www.tradingview.com/chart/Q1c5VWwD/?symbol=wfc" TargetMode="External" Id="rId304" /><Relationship Type="http://schemas.openxmlformats.org/officeDocument/2006/relationships/hyperlink" Target="https://www.tradingview.com/chart/Q1c5VWwD/?symbol=ionq" TargetMode="External" Id="rId305" /><Relationship Type="http://schemas.openxmlformats.org/officeDocument/2006/relationships/hyperlink" Target="https://www.tradingview.com/chart/Q1c5VWwD/?symbol=rgti" TargetMode="External" Id="rId306" /><Relationship Type="http://schemas.openxmlformats.org/officeDocument/2006/relationships/hyperlink" Target="https://www.tradingview.com/chart/Q1c5VWwD/?symbol=qbts" TargetMode="External" Id="rId307" /><Relationship Type="http://schemas.openxmlformats.org/officeDocument/2006/relationships/hyperlink" Target="https://www.tradingview.com/chart/Q1c5VWwD/?symbol=qubt" TargetMode="External" Id="rId308" /><Relationship Type="http://schemas.openxmlformats.org/officeDocument/2006/relationships/hyperlink" Target="https://www.tradingview.com/chart/Q1c5VWwD/?symbol=wm" TargetMode="External" Id="rId309" /><Relationship Type="http://schemas.openxmlformats.org/officeDocument/2006/relationships/hyperlink" Target="https://www.tradingview.com/chart/Q1c5VWwD/?symbol=rsg" TargetMode="External" Id="rId310" /><Relationship Type="http://schemas.openxmlformats.org/officeDocument/2006/relationships/hyperlink" Target="https://www.tradingview.com/chart/Q1c5VWwD/?symbol=wcn" TargetMode="External" Id="rId311" /><Relationship Type="http://schemas.openxmlformats.org/officeDocument/2006/relationships/hyperlink" Target="https://www.tradingview.com/chart/Q1c5VWwD/?symbol=clh" TargetMode="External" Id="rId312" /><Relationship Type="http://schemas.openxmlformats.org/officeDocument/2006/relationships/hyperlink" Target="https://www.tradingview.com/chart/Q1c5VWwD/?symbol=cwst" TargetMode="External" Id="rId313" /><Relationship Type="http://schemas.openxmlformats.org/officeDocument/2006/relationships/hyperlink" Target="https://www.tradingview.com/chart/Q1c5VWwD/?symbol=lvs" TargetMode="External" Id="rId314" /><Relationship Type="http://schemas.openxmlformats.org/officeDocument/2006/relationships/hyperlink" Target="https://www.tradingview.com/chart/Q1c5VWwD/?symbol=mgm" TargetMode="External" Id="rId315" /><Relationship Type="http://schemas.openxmlformats.org/officeDocument/2006/relationships/hyperlink" Target="https://www.tradingview.com/chart/Q1c5VWwD/?symbol=dkng" TargetMode="External" Id="rId316" /><Relationship Type="http://schemas.openxmlformats.org/officeDocument/2006/relationships/hyperlink" Target="https://www.tradingview.com/chart/Q1c5VWwD/?symbol=flut" TargetMode="External" Id="rId317" /><Relationship Type="http://schemas.openxmlformats.org/officeDocument/2006/relationships/hyperlink" Target="https://www.tradingview.com/chart/Q1c5VWwD/?symbol=lng" TargetMode="External" Id="rId318" /><Relationship Type="http://schemas.openxmlformats.org/officeDocument/2006/relationships/hyperlink" Target="https://www.tradingview.com/chart/Q1c5VWwD/?symbol=nfe" TargetMode="External" Id="rId319" /><Relationship Type="http://schemas.openxmlformats.org/officeDocument/2006/relationships/hyperlink" Target="https://www.tradingview.com/chart/Q1c5VWwD/?symbol=glng" TargetMode="External" Id="rId320" /><Relationship Type="http://schemas.openxmlformats.org/officeDocument/2006/relationships/hyperlink" Target="https://www.tradingview.com/chart/Q1c5VWwD/?symbol=vg" TargetMode="External" Id="rId321" /><Relationship Type="http://schemas.openxmlformats.org/officeDocument/2006/relationships/hyperlink" Target="https://www.tradingview.com/chart/Q1c5VWwD/?symbol=ee" TargetMode="External" Id="rId322" /><Relationship Type="http://schemas.openxmlformats.org/officeDocument/2006/relationships/hyperlink" Target="https://www.tradingview.com/chart/Q1c5VWwD/?symbol=rig" TargetMode="External" Id="rId323" /><Relationship Type="http://schemas.openxmlformats.org/officeDocument/2006/relationships/hyperlink" Target="https://www.tradingview.com/chart/Q1c5VWwD/?symbol=val" TargetMode="External" Id="rId324" /><Relationship Type="http://schemas.openxmlformats.org/officeDocument/2006/relationships/hyperlink" Target="https://www.tradingview.com/chart/Q1c5VWwD/?symbol=ne" TargetMode="External" Id="rId325" /><Relationship Type="http://schemas.openxmlformats.org/officeDocument/2006/relationships/hyperlink" Target="https://www.tradingview.com/chart/Q1c5VWwD/?symbol=tdw" TargetMode="External" Id="rId326" /><Relationship Type="http://schemas.openxmlformats.org/officeDocument/2006/relationships/hyperlink" Target="https://www.tradingview.com/chart/Q1c5VWwD/?symbol=hd" TargetMode="External" Id="rId327" /><Relationship Type="http://schemas.openxmlformats.org/officeDocument/2006/relationships/hyperlink" Target="https://www.tradingview.com/chart/Q1c5VWwD/?symbol=low" TargetMode="External" Id="rId328" /><Relationship Type="http://schemas.openxmlformats.org/officeDocument/2006/relationships/hyperlink" Target="https://www.tradingview.com/chart/Q1c5VWwD/?symbol=tjx" TargetMode="External" Id="rId329" /><Relationship Type="http://schemas.openxmlformats.org/officeDocument/2006/relationships/hyperlink" Target="https://www.tradingview.com/chart/Q1c5VWwD/?symbol=rost" TargetMode="External" Id="rId330" /><Relationship Type="http://schemas.openxmlformats.org/officeDocument/2006/relationships/hyperlink" Target="https://www.tradingview.com/chart/Q1c5VWwD/?symbol=bby" TargetMode="External" Id="rId331" /><Relationship Type="http://schemas.openxmlformats.org/officeDocument/2006/relationships/hyperlink" Target="https://www.tradingview.com/chart/Q1c5VWwD/?symbol=cbre" TargetMode="External" Id="rId332" /><Relationship Type="http://schemas.openxmlformats.org/officeDocument/2006/relationships/hyperlink" Target="https://www.tradingview.com/chart/Q1c5VWwD/?symbol=jll" TargetMode="External" Id="rId333" /><Relationship Type="http://schemas.openxmlformats.org/officeDocument/2006/relationships/hyperlink" Target="https://www.tradingview.com/chart/Q1c5VWwD/?symbol=z" TargetMode="External" Id="rId334" /><Relationship Type="http://schemas.openxmlformats.org/officeDocument/2006/relationships/hyperlink" Target="https://www.tradingview.com/chart/Q1c5VWwD/?symbol=comp" TargetMode="External" Id="rId335" /><Relationship Type="http://schemas.openxmlformats.org/officeDocument/2006/relationships/hyperlink" Target="https://www.tradingview.com/chart/Q1c5VWwD/?symbol=open" TargetMode="External" Id="rId336" /><Relationship Type="http://schemas.openxmlformats.org/officeDocument/2006/relationships/hyperlink" Target="https://www.tradingview.com/chart/Q1c5VWwD/?symbol=unh" TargetMode="External" Id="rId337" /><Relationship Type="http://schemas.openxmlformats.org/officeDocument/2006/relationships/hyperlink" Target="https://www.tradingview.com/chart/Q1c5VWwD/?symbol=elv" TargetMode="External" Id="rId338" /><Relationship Type="http://schemas.openxmlformats.org/officeDocument/2006/relationships/hyperlink" Target="https://www.tradingview.com/chart/Q1c5VWwD/?symbol=ci" TargetMode="External" Id="rId339" /><Relationship Type="http://schemas.openxmlformats.org/officeDocument/2006/relationships/hyperlink" Target="https://www.tradingview.com/chart/Q1c5VWwD/?symbol=hum" TargetMode="External" Id="rId340" /><Relationship Type="http://schemas.openxmlformats.org/officeDocument/2006/relationships/hyperlink" Target="https://www.tradingview.com/chart/Q1c5VWwD/?symbol=cnc" TargetMode="External" Id="rId341" /><Relationship Type="http://schemas.openxmlformats.org/officeDocument/2006/relationships/hyperlink" Target="https://www.tradingview.com/chart/Q1c5VWwD/?symbol=ato" TargetMode="External" Id="rId342" /><Relationship Type="http://schemas.openxmlformats.org/officeDocument/2006/relationships/hyperlink" Target="https://www.tradingview.com/chart/Q1c5VWwD/?symbol=ni" TargetMode="External" Id="rId343" /><Relationship Type="http://schemas.openxmlformats.org/officeDocument/2006/relationships/hyperlink" Target="https://www.tradingview.com/chart/Q1c5VWwD/?symbol=sr" TargetMode="External" Id="rId344" /><Relationship Type="http://schemas.openxmlformats.org/officeDocument/2006/relationships/hyperlink" Target="https://www.tradingview.com/chart/Q1c5VWwD/?symbol=njr" TargetMode="External" Id="rId345" /><Relationship Type="http://schemas.openxmlformats.org/officeDocument/2006/relationships/hyperlink" Target="https://www.tradingview.com/chart/Q1c5VWwD/?symbol=cme" TargetMode="External" Id="rId346" /><Relationship Type="http://schemas.openxmlformats.org/officeDocument/2006/relationships/hyperlink" Target="https://www.tradingview.com/chart/Q1c5VWwD/?symbol=ice" TargetMode="External" Id="rId347" /><Relationship Type="http://schemas.openxmlformats.org/officeDocument/2006/relationships/hyperlink" Target="https://www.tradingview.com/chart/Q1c5VWwD/?symbol=ndaq" TargetMode="External" Id="rId348" /><Relationship Type="http://schemas.openxmlformats.org/officeDocument/2006/relationships/hyperlink" Target="https://www.tradingview.com/chart/Q1c5VWwD/?symbol=cboe" TargetMode="External" Id="rId349" /><Relationship Type="http://schemas.openxmlformats.org/officeDocument/2006/relationships/hyperlink" Target="https://www.tradingview.com/chart/Q1c5VWwD/?symbol=spgi" TargetMode="External" Id="rId350" /><Relationship Type="http://schemas.openxmlformats.org/officeDocument/2006/relationships/hyperlink" Target="https://www.tradingview.com/chart/Q1c5VWwD/?symbol=nke" TargetMode="External" Id="rId351" /><Relationship Type="http://schemas.openxmlformats.org/officeDocument/2006/relationships/hyperlink" Target="https://www.tradingview.com/chart/Q1c5VWwD/?symbol=lulu" TargetMode="External" Id="rId352" /><Relationship Type="http://schemas.openxmlformats.org/officeDocument/2006/relationships/hyperlink" Target="https://www.tradingview.com/chart/Q1c5VWwD/?symbol=rl" TargetMode="External" Id="rId353" /><Relationship Type="http://schemas.openxmlformats.org/officeDocument/2006/relationships/hyperlink" Target="https://www.tradingview.com/chart/Q1c5VWwD/?symbol=deck" TargetMode="External" Id="rId354" /><Relationship Type="http://schemas.openxmlformats.org/officeDocument/2006/relationships/hyperlink" Target="https://www.tradingview.com/chart/Q1c5VWwD/?symbol=onon" TargetMode="External" Id="rId355" /><Relationship Type="http://schemas.openxmlformats.org/officeDocument/2006/relationships/hyperlink" Target="https://www.tradingview.com/chart/Q1c5VWwD/?symbol=cmcsa" TargetMode="External" Id="rId356" /><Relationship Type="http://schemas.openxmlformats.org/officeDocument/2006/relationships/hyperlink" Target="https://www.tradingview.com/chart/Q1c5VWwD/?symbol=chtr" TargetMode="External" Id="rId357" /><Relationship Type="http://schemas.openxmlformats.org/officeDocument/2006/relationships/hyperlink" Target="https://www.tradingview.com/chart/Q1c5VWwD/?symbol=asts" TargetMode="External" Id="rId358" /><Relationship Type="http://schemas.openxmlformats.org/officeDocument/2006/relationships/hyperlink" Target="https://www.tradingview.com/chart/Q1c5VWwD/?symbol=ups" TargetMode="External" Id="rId359" /><Relationship Type="http://schemas.openxmlformats.org/officeDocument/2006/relationships/hyperlink" Target="https://www.tradingview.com/chart/Q1c5VWwD/?symbol=fdx" TargetMode="External" Id="rId360" /><Relationship Type="http://schemas.openxmlformats.org/officeDocument/2006/relationships/hyperlink" Target="https://www.tradingview.com/chart/Q1c5VWwD/?symbol=odfl" TargetMode="External" Id="rId361" /><Relationship Type="http://schemas.openxmlformats.org/officeDocument/2006/relationships/hyperlink" Target="https://www.tradingview.com/chart/Q1c5VWwD/?symbol=jbht" TargetMode="External" Id="rId362" /><Relationship Type="http://schemas.openxmlformats.org/officeDocument/2006/relationships/hyperlink" Target="https://www.tradingview.com/chart/Q1c5VWwD/?symbol=xpo" TargetMode="External" Id="rId363" /><Relationship Type="http://schemas.openxmlformats.org/officeDocument/2006/relationships/hyperlink" Target="https://www.tradingview.com/chart/Q1c5VWwD/?symbol=mck" TargetMode="External" Id="rId364" /><Relationship Type="http://schemas.openxmlformats.org/officeDocument/2006/relationships/hyperlink" Target="https://www.tradingview.com/chart/Q1c5VWwD/?symbol=cor" TargetMode="External" Id="rId365" /><Relationship Type="http://schemas.openxmlformats.org/officeDocument/2006/relationships/hyperlink" Target="https://www.tradingview.com/chart/Q1c5VWwD/?symbol=cah" TargetMode="External" Id="rId366" /><Relationship Type="http://schemas.openxmlformats.org/officeDocument/2006/relationships/hyperlink" Target="https://www.tradingview.com/chart/Q1c5VWwD/?symbol=cvs" TargetMode="External" Id="rId367" /><Relationship Type="http://schemas.openxmlformats.org/officeDocument/2006/relationships/hyperlink" Target="https://www.tradingview.com/chart/Q1c5VWwD/?symbol=crsp" TargetMode="External" Id="rId368" /><Relationship Type="http://schemas.openxmlformats.org/officeDocument/2006/relationships/hyperlink" Target="https://www.tradingview.com/chart/Q1c5VWwD/?symbol=ntla" TargetMode="External" Id="rId369" /><Relationship Type="http://schemas.openxmlformats.org/officeDocument/2006/relationships/hyperlink" Target="https://www.tradingview.com/chart/Q1c5VWwD/?symbol=beam" TargetMode="External" Id="rId370" /><Relationship Type="http://schemas.openxmlformats.org/officeDocument/2006/relationships/hyperlink" Target="https://www.tradingview.com/chart/Q1c5VWwD/?symbol=aon" TargetMode="External" Id="rId371" /><Relationship Type="http://schemas.openxmlformats.org/officeDocument/2006/relationships/hyperlink" Target="https://www.tradingview.com/chart/Q1c5VWwD/?symbol=ajg" TargetMode="External" Id="rId372" /><Relationship Type="http://schemas.openxmlformats.org/officeDocument/2006/relationships/hyperlink" Target="https://www.tradingview.com/chart/Q1c5VWwD/?symbol=bro" TargetMode="External" Id="rId373" /><Relationship Type="http://schemas.openxmlformats.org/officeDocument/2006/relationships/hyperlink" Target="https://www.tradingview.com/chart/Q1c5VWwD/?symbol=wtw" TargetMode="External" Id="rId374" /><Relationship Type="http://schemas.openxmlformats.org/officeDocument/2006/relationships/hyperlink" Target="https://www.tradingview.com/chart/Q1c5VWwD/?symbol=adm" TargetMode="External" Id="rId375" /><Relationship Type="http://schemas.openxmlformats.org/officeDocument/2006/relationships/hyperlink" Target="https://www.tradingview.com/chart/Q1c5VWwD/?symbol=bg" TargetMode="External" Id="rId376" /><Relationship Type="http://schemas.openxmlformats.org/officeDocument/2006/relationships/hyperlink" Target="https://www.tradingview.com/chart/Q1c5VWwD/?symbol=tsn" TargetMode="External" Id="rId377" /><Relationship Type="http://schemas.openxmlformats.org/officeDocument/2006/relationships/hyperlink" Target="https://www.tradingview.com/chart/Q1c5VWwD/?symbol=ingr" TargetMode="External" Id="rId378" /><Relationship Type="http://schemas.openxmlformats.org/officeDocument/2006/relationships/hyperlink" Target="https://www.tradingview.com/chart/Q1c5VWwD/?symbol=ctva" TargetMode="External" Id="rId379" /><Relationship Type="http://schemas.openxmlformats.org/officeDocument/2006/relationships/hyperlink" Target="https://www.tradingview.com/chart/Q1c5VWwD/?symbol=kmi" TargetMode="External" Id="rId380" /><Relationship Type="http://schemas.openxmlformats.org/officeDocument/2006/relationships/hyperlink" Target="https://www.tradingview.com/chart/Q1c5VWwD/?symbol=wmb" TargetMode="External" Id="rId381" /><Relationship Type="http://schemas.openxmlformats.org/officeDocument/2006/relationships/hyperlink" Target="https://www.tradingview.com/chart/Q1c5VWwD/?symbol=et" TargetMode="External" Id="rId382" /><Relationship Type="http://schemas.openxmlformats.org/officeDocument/2006/relationships/hyperlink" Target="https://www.tradingview.com/chart/Q1c5VWwD/?symbol=epd" TargetMode="External" Id="rId383" /><Relationship Type="http://schemas.openxmlformats.org/officeDocument/2006/relationships/hyperlink" Target="https://www.tradingview.com/chart/Q1c5VWwD/?symbol=oke" TargetMode="External" Id="rId384" /><Relationship Type="http://schemas.openxmlformats.org/officeDocument/2006/relationships/hyperlink" Target="https://www.tradingview.com/chart/Q1c5VWwD/?symbol=tsla" TargetMode="External" Id="rId385" /><Relationship Type="http://schemas.openxmlformats.org/officeDocument/2006/relationships/hyperlink" Target="https://www.tradingview.com/chart/Q1c5VWwD/?symbol=rivn" TargetMode="External" Id="rId386" /><Relationship Type="http://schemas.openxmlformats.org/officeDocument/2006/relationships/hyperlink" Target="https://www.tradingview.com/chart/Q1c5VWwD/?symbol=lcid" TargetMode="External" Id="rId387" /><Relationship Type="http://schemas.openxmlformats.org/officeDocument/2006/relationships/hyperlink" Target="https://www.tradingview.com/chart/Q1c5VWwD/?symbol=amat" TargetMode="External" Id="rId388" /><Relationship Type="http://schemas.openxmlformats.org/officeDocument/2006/relationships/hyperlink" Target="https://www.tradingview.com/chart/Q1c5VWwD/?symbol=lrcx" TargetMode="External" Id="rId389" /><Relationship Type="http://schemas.openxmlformats.org/officeDocument/2006/relationships/hyperlink" Target="https://www.tradingview.com/chart/Q1c5VWwD/?symbol=klac" TargetMode="External" Id="rId390" /><Relationship Type="http://schemas.openxmlformats.org/officeDocument/2006/relationships/hyperlink" Target="https://www.tradingview.com/chart/Q1c5VWwD/?symbol=asml" TargetMode="External" Id="rId391" /><Relationship Type="http://schemas.openxmlformats.org/officeDocument/2006/relationships/hyperlink" Target="https://www.tradingview.com/chart/Q1c5VWwD/?symbol=ter" TargetMode="External" Id="rId392" /><Relationship Type="http://schemas.openxmlformats.org/officeDocument/2006/relationships/hyperlink" Target="https://www.tradingview.com/chart/Q1c5VWwD/?symbol=usb" TargetMode="External" Id="rId393" /><Relationship Type="http://schemas.openxmlformats.org/officeDocument/2006/relationships/hyperlink" Target="https://www.tradingview.com/chart/Q1c5VWwD/?symbol=pnc" TargetMode="External" Id="rId394" /><Relationship Type="http://schemas.openxmlformats.org/officeDocument/2006/relationships/hyperlink" Target="https://www.tradingview.com/chart/Q1c5VWwD/?symbol=tfc" TargetMode="External" Id="rId395" /><Relationship Type="http://schemas.openxmlformats.org/officeDocument/2006/relationships/hyperlink" Target="https://www.tradingview.com/chart/Q1c5VWwD/?symbol=mtb" TargetMode="External" Id="rId396" /><Relationship Type="http://schemas.openxmlformats.org/officeDocument/2006/relationships/hyperlink" Target="https://www.tradingview.com/chart/Q1c5VWwD/?symbol=zion" TargetMode="External" Id="rId397" /><Relationship Type="http://schemas.openxmlformats.org/officeDocument/2006/relationships/hyperlink" Target="https://www.tradingview.com/chart/Q1c5VWwD/?symbol=mcd" TargetMode="External" Id="rId398" /><Relationship Type="http://schemas.openxmlformats.org/officeDocument/2006/relationships/hyperlink" Target="https://www.tradingview.com/chart/Q1c5VWwD/?symbol=sbux" TargetMode="External" Id="rId399" /><Relationship Type="http://schemas.openxmlformats.org/officeDocument/2006/relationships/hyperlink" Target="https://www.tradingview.com/chart/Q1c5VWwD/?symbol=cmg" TargetMode="External" Id="rId400" /><Relationship Type="http://schemas.openxmlformats.org/officeDocument/2006/relationships/hyperlink" Target="https://www.tradingview.com/chart/Q1c5VWwD/?symbol=yum" TargetMode="External" Id="rId401" /><Relationship Type="http://schemas.openxmlformats.org/officeDocument/2006/relationships/hyperlink" Target="https://www.tradingview.com/chart/Q1c5VWwD/?symbol=dri" TargetMode="External" Id="rId402" /><Relationship Type="http://schemas.openxmlformats.org/officeDocument/2006/relationships/hyperlink" Target="https://www.tradingview.com/chart/Q1c5VWwD/?symbol=blk" TargetMode="External" Id="rId403" /><Relationship Type="http://schemas.openxmlformats.org/officeDocument/2006/relationships/hyperlink" Target="https://www.tradingview.com/chart/Q1c5VWwD/?symbol=trow" TargetMode="External" Id="rId404" /><Relationship Type="http://schemas.openxmlformats.org/officeDocument/2006/relationships/hyperlink" Target="https://www.tradingview.com/chart/Q1c5VWwD/?symbol=ben" TargetMode="External" Id="rId405" /><Relationship Type="http://schemas.openxmlformats.org/officeDocument/2006/relationships/hyperlink" Target="https://www.tradingview.com/chart/Q1c5VWwD/?symbol=amg" TargetMode="External" Id="rId406" /><Relationship Type="http://schemas.openxmlformats.org/officeDocument/2006/relationships/hyperlink" Target="https://www.tradingview.com/chart/Q1c5VWwD/?symbol=syy" TargetMode="External" Id="rId407" /><Relationship Type="http://schemas.openxmlformats.org/officeDocument/2006/relationships/hyperlink" Target="https://www.tradingview.com/chart/Q1c5VWwD/?symbol=usfd" TargetMode="External" Id="rId408" /><Relationship Type="http://schemas.openxmlformats.org/officeDocument/2006/relationships/hyperlink" Target="https://www.tradingview.com/chart/Q1c5VWwD/?symbol=pfgc" TargetMode="External" Id="rId409" /><Relationship Type="http://schemas.openxmlformats.org/officeDocument/2006/relationships/hyperlink" Target="https://www.tradingview.com/chart/Q1c5VWwD/?symbol=chef" TargetMode="External" Id="rId410" /><Relationship Type="http://schemas.openxmlformats.org/officeDocument/2006/relationships/hyperlink" Target="https://www.tradingview.com/chart/Q1c5VWwD/?symbol=duk" TargetMode="External" Id="rId411" /><Relationship Type="http://schemas.openxmlformats.org/officeDocument/2006/relationships/hyperlink" Target="https://www.tradingview.com/chart/Q1c5VWwD/?symbol=so" TargetMode="External" Id="rId412" /><Relationship Type="http://schemas.openxmlformats.org/officeDocument/2006/relationships/hyperlink" Target="https://www.tradingview.com/chart/Q1c5VWwD/?symbol=aep" TargetMode="External" Id="rId413" /><Relationship Type="http://schemas.openxmlformats.org/officeDocument/2006/relationships/hyperlink" Target="https://www.tradingview.com/chart/Q1c5VWwD/?symbol=d" TargetMode="External" Id="rId414" /><Relationship Type="http://schemas.openxmlformats.org/officeDocument/2006/relationships/hyperlink" Target="https://www.tradingview.com/chart/Q1c5VWwD/?symbol=xel" TargetMode="External" Id="rId415" /><Relationship Type="http://schemas.openxmlformats.org/officeDocument/2006/relationships/hyperlink" Target="https://www.tradingview.com/chart/Q1c5VWwD/?symbol=lly" TargetMode="External" Id="rId416" /><Relationship Type="http://schemas.openxmlformats.org/officeDocument/2006/relationships/hyperlink" Target="https://www.tradingview.com/chart/Q1c5VWwD/?symbol=nvo" TargetMode="External" Id="rId417" /><Relationship Type="http://schemas.openxmlformats.org/officeDocument/2006/relationships/hyperlink" Target="https://www.tradingview.com/chart/Q1c5VWwD/?symbol=vktx" TargetMode="External" Id="rId418" /><Relationship Type="http://schemas.openxmlformats.org/officeDocument/2006/relationships/hyperlink" Target="https://www.tradingview.com/chart/Q1c5VWwD/?symbol=alt" TargetMode="External" Id="rId419" /><Relationship Type="http://schemas.openxmlformats.org/officeDocument/2006/relationships/hyperlink" Target="https://www.tradingview.com/chart/Q1c5VWwD/?symbol=maa" TargetMode="External" Id="rId420" /><Relationship Type="http://schemas.openxmlformats.org/officeDocument/2006/relationships/hyperlink" Target="https://www.tradingview.com/chart/Q1c5VWwD/?symbol=invh" TargetMode="External" Id="rId421" /><Relationship Type="http://schemas.openxmlformats.org/officeDocument/2006/relationships/hyperlink" Target="https://www.tradingview.com/chart/Q1c5VWwD/?symbol=amh" TargetMode="External" Id="rId422" /><Relationship Type="http://schemas.openxmlformats.org/officeDocument/2006/relationships/hyperlink" Target="https://www.tradingview.com/chart/Q1c5VWwD/?symbol=ceg" TargetMode="External" Id="rId423" /><Relationship Type="http://schemas.openxmlformats.org/officeDocument/2006/relationships/hyperlink" Target="https://www.tradingview.com/chart/Q1c5VWwD/?symbol=vst" TargetMode="External" Id="rId424" /><Relationship Type="http://schemas.openxmlformats.org/officeDocument/2006/relationships/hyperlink" Target="https://www.tradingview.com/chart/Q1c5VWwD/?symbol=nrg" TargetMode="External" Id="rId425" /><Relationship Type="http://schemas.openxmlformats.org/officeDocument/2006/relationships/hyperlink" Target="https://www.tradingview.com/chart/Q1c5VWwD/?symbol=tln" TargetMode="External" Id="rId426" /><Relationship Type="http://schemas.openxmlformats.org/officeDocument/2006/relationships/hyperlink" Target="https://www.tradingview.com/chart/Q1c5VWwD/?symbol=nee" TargetMode="External" Id="rId427" /><Relationship Type="http://schemas.openxmlformats.org/officeDocument/2006/relationships/hyperlink" Target="https://www.tradingview.com/chart/Q1c5VWwD/?symbol=fslr" TargetMode="External" Id="rId428" /><Relationship Type="http://schemas.openxmlformats.org/officeDocument/2006/relationships/hyperlink" Target="https://www.tradingview.com/chart/Q1c5VWwD/?symbol=enph" TargetMode="External" Id="rId429" /><Relationship Type="http://schemas.openxmlformats.org/officeDocument/2006/relationships/hyperlink" Target="https://www.tradingview.com/chart/Q1c5VWwD/?symbol=run" TargetMode="External" Id="rId430" /><Relationship Type="http://schemas.openxmlformats.org/officeDocument/2006/relationships/hyperlink" Target="https://www.tradingview.com/chart/Q1c5VWwD/?symbol=nxt" TargetMode="External" Id="rId431" /><Relationship Type="http://schemas.openxmlformats.org/officeDocument/2006/relationships/hyperlink" Target="https://www.tradingview.com/chart/Q1c5VWwD/?symbol=spg" TargetMode="External" Id="rId432" /><Relationship Type="http://schemas.openxmlformats.org/officeDocument/2006/relationships/hyperlink" Target="https://www.tradingview.com/chart/Q1c5VWwD/?symbol=o" TargetMode="External" Id="rId433" /><Relationship Type="http://schemas.openxmlformats.org/officeDocument/2006/relationships/hyperlink" Target="https://www.tradingview.com/chart/Q1c5VWwD/?symbol=kim" TargetMode="External" Id="rId434" /><Relationship Type="http://schemas.openxmlformats.org/officeDocument/2006/relationships/hyperlink" Target="https://www.tradingview.com/chart/Q1c5VWwD/?symbol=reg" TargetMode="External" Id="rId435" /><Relationship Type="http://schemas.openxmlformats.org/officeDocument/2006/relationships/hyperlink" Target="https://www.tradingview.com/chart/Q1c5VWwD/?symbol=frt" TargetMode="External" Id="rId436" /><Relationship Type="http://schemas.openxmlformats.org/officeDocument/2006/relationships/hyperlink" Target="https://www.tradingview.com/chart/Q1c5VWwD/?symbol=mu" TargetMode="External" Id="rId437" /><Relationship Type="http://schemas.openxmlformats.org/officeDocument/2006/relationships/hyperlink" Target="https://www.tradingview.com/chart/Q1c5VWwD/?symbol=wdc" TargetMode="External" Id="rId438" /><Relationship Type="http://schemas.openxmlformats.org/officeDocument/2006/relationships/hyperlink" Target="https://www.tradingview.com/chart/Q1c5VWwD/?symbol=sndk" TargetMode="External" Id="rId439" /><Relationship Type="http://schemas.openxmlformats.org/officeDocument/2006/relationships/hyperlink" Target="https://www.tradingview.com/chart/Q1c5VWwD/?symbol=stx" TargetMode="External" Id="rId440" /><Relationship Type="http://schemas.openxmlformats.org/officeDocument/2006/relationships/hyperlink" Target="https://www.tradingview.com/chart/Q1c5VWwD/?symbol=bx" TargetMode="External" Id="rId441" /><Relationship Type="http://schemas.openxmlformats.org/officeDocument/2006/relationships/hyperlink" Target="https://www.tradingview.com/chart/Q1c5VWwD/?symbol=kkr" TargetMode="External" Id="rId442" /><Relationship Type="http://schemas.openxmlformats.org/officeDocument/2006/relationships/hyperlink" Target="https://www.tradingview.com/chart/Q1c5VWwD/?symbol=apo" TargetMode="External" Id="rId443" /><Relationship Type="http://schemas.openxmlformats.org/officeDocument/2006/relationships/hyperlink" Target="https://www.tradingview.com/chart/Q1c5VWwD/?symbol=ares" TargetMode="External" Id="rId444" /><Relationship Type="http://schemas.openxmlformats.org/officeDocument/2006/relationships/hyperlink" Target="https://www.tradingview.com/chart/Q1c5VWwD/?symbol=owl" TargetMode="External" Id="rId445" /><Relationship Type="http://schemas.openxmlformats.org/officeDocument/2006/relationships/hyperlink" Target="https://www.tradingview.com/chart/Q1c5VWwD/?symbol=slb" TargetMode="External" Id="rId446" /><Relationship Type="http://schemas.openxmlformats.org/officeDocument/2006/relationships/hyperlink" Target="https://www.tradingview.com/chart/Q1c5VWwD/?symbol=hal" TargetMode="External" Id="rId447" /><Relationship Type="http://schemas.openxmlformats.org/officeDocument/2006/relationships/hyperlink" Target="https://www.tradingview.com/chart/Q1c5VWwD/?symbol=bkr" TargetMode="External" Id="rId448" /><Relationship Type="http://schemas.openxmlformats.org/officeDocument/2006/relationships/hyperlink" Target="https://www.tradingview.com/chart/Q1c5VWwD/?symbol=wfrd" TargetMode="External" Id="rId449" /><Relationship Type="http://schemas.openxmlformats.org/officeDocument/2006/relationships/hyperlink" Target="https://www.tradingview.com/chart/Q1c5VWwD/?symbol=aa" TargetMode="External" Id="rId450" /><Relationship Type="http://schemas.openxmlformats.org/officeDocument/2006/relationships/hyperlink" Target="https://www.tradingview.com/chart/Q1c5VWwD/?symbol=cenx" TargetMode="External" Id="rId451" /><Relationship Type="http://schemas.openxmlformats.org/officeDocument/2006/relationships/hyperlink" Target="https://www.tradingview.com/chart/Q1c5VWwD/?symbol=kalu" TargetMode="External" Id="rId452" /><Relationship Type="http://schemas.openxmlformats.org/officeDocument/2006/relationships/hyperlink" Target="https://www.tradingview.com/chart/Q1c5VWwD/?symbol=whr" TargetMode="External" Id="rId453" /><Relationship Type="http://schemas.openxmlformats.org/officeDocument/2006/relationships/hyperlink" Target="https://www.tradingview.com/chart/Q1c5VWwD/?symbol=mhk" TargetMode="External" Id="rId454" /><Relationship Type="http://schemas.openxmlformats.org/officeDocument/2006/relationships/hyperlink" Target="https://www.tradingview.com/chart/Q1c5VWwD/?symbol=pool" TargetMode="External" Id="rId455" /><Relationship Type="http://schemas.openxmlformats.org/officeDocument/2006/relationships/hyperlink" Target="https://www.tradingview.com/chart/Q1c5VWwD/?symbol=bc" TargetMode="External" Id="rId456" /><Relationship Type="http://schemas.openxmlformats.org/officeDocument/2006/relationships/hyperlink" Target="https://www.tradingview.com/chart/Q1c5VWwD/?symbol=coin" TargetMode="External" Id="rId457" /><Relationship Type="http://schemas.openxmlformats.org/officeDocument/2006/relationships/hyperlink" Target="https://www.tradingview.com/chart/Q1c5VWwD/?symbol=hood" TargetMode="External" Id="rId458" /><Relationship Type="http://schemas.openxmlformats.org/officeDocument/2006/relationships/hyperlink" Target="https://www.tradingview.com/chart/Q1c5VWwD/?symbol=crcl" TargetMode="External" Id="rId459" /><Relationship Type="http://schemas.openxmlformats.org/officeDocument/2006/relationships/hyperlink" Target="https://www.tradingview.com/chart/Q1c5VWwD/?symbol=mara" TargetMode="External" Id="rId460" /><Relationship Type="http://schemas.openxmlformats.org/officeDocument/2006/relationships/hyperlink" Target="https://www.tradingview.com/chart/Q1c5VWwD/?symbol=riot" TargetMode="External" Id="rId461" /><Relationship Type="http://schemas.openxmlformats.org/officeDocument/2006/relationships/hyperlink" Target="https://www.tradingview.com/chart/Q1c5VWwD/?symbol=iren" TargetMode="External" Id="rId462" /><Relationship Type="http://schemas.openxmlformats.org/officeDocument/2006/relationships/hyperlink" Target="https://www.tradingview.com/chart/Q1c5VWwD/?symbol=btu" TargetMode="External" Id="rId463" /><Relationship Type="http://schemas.openxmlformats.org/officeDocument/2006/relationships/hyperlink" Target="https://www.tradingview.com/chart/Q1c5VWwD/?symbol=amr" TargetMode="External" Id="rId464" /><Relationship Type="http://schemas.openxmlformats.org/officeDocument/2006/relationships/hyperlink" Target="https://www.tradingview.com/chart/Q1c5VWwD/?symbol=hcc" TargetMode="External" Id="rId465" /><Relationship Type="http://schemas.openxmlformats.org/officeDocument/2006/relationships/hyperlink" Target="https://www.tradingview.com/chart/Q1c5VWwD/?symbol=cnr" TargetMode="External" Id="rId466" /><Relationship Type="http://schemas.openxmlformats.org/officeDocument/2006/relationships/hyperlink" Target="https://www.tradingview.com/chart/Q1c5VWwD/?symbol=metc" TargetMode="External" Id="rId467" /><Relationship Type="http://schemas.openxmlformats.org/officeDocument/2006/relationships/hyperlink" Target="https://www.tradingview.com/chart/Q1c5VWwD/?symbol=paas" TargetMode="External" Id="rId468" /><Relationship Type="http://schemas.openxmlformats.org/officeDocument/2006/relationships/hyperlink" Target="https://www.tradingview.com/chart/Q1c5VWwD/?symbol=hl" TargetMode="External" Id="rId469" /><Relationship Type="http://schemas.openxmlformats.org/officeDocument/2006/relationships/hyperlink" Target="https://www.tradingview.com/chart/Q1c5VWwD/?symbol=ag" TargetMode="External" Id="rId470" /><Relationship Type="http://schemas.openxmlformats.org/officeDocument/2006/relationships/hyperlink" Target="https://www.tradingview.com/chart/Q1c5VWwD/?symbol=cde" TargetMode="External" Id="rId471" /><Relationship Type="http://schemas.openxmlformats.org/officeDocument/2006/relationships/hyperlink" Target="https://www.tradingview.com/chart/Q1c5VWwD/?symbol=gs" TargetMode="External" Id="rId472" /><Relationship Type="http://schemas.openxmlformats.org/officeDocument/2006/relationships/hyperlink" Target="https://www.tradingview.com/chart/Q1c5VWwD/?symbol=ms" TargetMode="External" Id="rId473" /><Relationship Type="http://schemas.openxmlformats.org/officeDocument/2006/relationships/hyperlink" Target="https://www.tradingview.com/chart/Q1c5VWwD/?symbol=evr" TargetMode="External" Id="rId474" /><Relationship Type="http://schemas.openxmlformats.org/officeDocument/2006/relationships/hyperlink" Target="https://www.tradingview.com/chart/Q1c5VWwD/?symbol=laz" TargetMode="External" Id="rId475" /><Relationship Type="http://schemas.openxmlformats.org/officeDocument/2006/relationships/hyperlink" Target="https://www.tradingview.com/chart/Q1c5VWwD/?symbol=jef" TargetMode="External" Id="rId476" /><Relationship Type="http://schemas.openxmlformats.org/officeDocument/2006/relationships/hyperlink" Target="https://www.tradingview.com/chart/Q1c5VWwD/?symbol=oklo" TargetMode="External" Id="rId477" /><Relationship Type="http://schemas.openxmlformats.org/officeDocument/2006/relationships/hyperlink" Target="https://www.tradingview.com/chart/Q1c5VWwD/?symbol=smr" TargetMode="External" Id="rId478" /><Relationship Type="http://schemas.openxmlformats.org/officeDocument/2006/relationships/hyperlink" Target="https://www.tradingview.com/chart/Q1c5VWwD/?symbol=nne" TargetMode="External" Id="rId479" /><Relationship Type="http://schemas.openxmlformats.org/officeDocument/2006/relationships/hyperlink" Target="https://www.tradingview.com/chart/Q1c5VWwD/?symbol=aspi" TargetMode="External" Id="rId480" /><Relationship Type="http://schemas.openxmlformats.org/officeDocument/2006/relationships/hyperlink" Target="https://www.tradingview.com/chart/Q1c5VWwD/?symbol=mp" TargetMode="External" Id="rId481" /><Relationship Type="http://schemas.openxmlformats.org/officeDocument/2006/relationships/hyperlink" Target="https://www.tradingview.com/chart/Q1c5VWwD/?symbol=usar" TargetMode="External" Id="rId482" /><Relationship Type="http://schemas.openxmlformats.org/officeDocument/2006/relationships/hyperlink" Target="https://www.tradingview.com/chart/Q1c5VWwD/?symbol=uuuu" TargetMode="External" Id="rId483" /><Relationship Type="http://schemas.openxmlformats.org/officeDocument/2006/relationships/hyperlink" Target="https://www.tradingview.com/chart/Q1c5VWwD/?symbol=tmc" TargetMode="External" Id="rId484" /><Relationship Type="http://schemas.openxmlformats.org/officeDocument/2006/relationships/hyperlink" Target="https://www.tradingview.com/chart/Q1c5VWwD/?symbol=aloy" TargetMode="External" Id="rId485" /><Relationship Type="http://schemas.openxmlformats.org/officeDocument/2006/relationships/hyperlink" Target="https://www.tradingview.com/chart/Q1c5VWwD/?symbol=nb" TargetMode="External" Id="rId486" /><Relationship Type="http://schemas.openxmlformats.org/officeDocument/2006/relationships/hyperlink" Target="https://www.tradingview.com/chart/Q1c5VWwD/?symbol=dnli" TargetMode="External" Id="rId487" /><Relationship Type="http://schemas.openxmlformats.org/officeDocument/2006/relationships/hyperlink" Target="https://www.tradingview.com/chart/Q1c5VWwD/?symbol=alec" TargetMode="External" Id="rId488" /><Relationship Type="http://schemas.openxmlformats.org/officeDocument/2006/relationships/hyperlink" Target="https://www.tradingview.com/chart/Q1c5VWwD/?symbol=sana" TargetMode="External" Id="rId489" /><Relationship Type="http://schemas.openxmlformats.org/officeDocument/2006/relationships/hyperlink" Target="https://www.tradingview.com/chart/Q1c5VWwD/?symbol=vktx" TargetMode="External" Id="rId490" /><Relationship Type="http://schemas.openxmlformats.org/officeDocument/2006/relationships/hyperlink" Target="https://www.tradingview.com/chart/Q1c5VWwD/?symbol=mdgl" TargetMode="External" Id="rId491" /><Relationship Type="http://schemas.openxmlformats.org/officeDocument/2006/relationships/hyperlink" Target="https://www.tradingview.com/chart/Q1c5VWwD/?symbol=ions" TargetMode="External" Id="rId492" /><Relationship Type="http://schemas.openxmlformats.org/officeDocument/2006/relationships/hyperlink" Target="https://www.tradingview.com/chart/Q1c5VWwD/?symbol=dtil" TargetMode="External" Id="rId493" /><Relationship Type="http://schemas.openxmlformats.org/officeDocument/2006/relationships/hyperlink" Target="https://www.tradingview.com/chart/Q1c5VWwD/?symbol=ccj" TargetMode="External" Id="rId494" /><Relationship Type="http://schemas.openxmlformats.org/officeDocument/2006/relationships/hyperlink" Target="https://www.tradingview.com/chart/Q1c5VWwD/?symbol=uec" TargetMode="External" Id="rId495" /><Relationship Type="http://schemas.openxmlformats.org/officeDocument/2006/relationships/hyperlink" Target="https://www.tradingview.com/chart/Q1c5VWwD/?symbol=leu" TargetMode="External" Id="rId496" /><Relationship Type="http://schemas.openxmlformats.org/officeDocument/2006/relationships/hyperlink" Target="https://www.tradingview.com/chart/Q1c5VWwD/?symbol=uuuu" TargetMode="External" Id="rId497" /><Relationship Type="http://schemas.openxmlformats.org/officeDocument/2006/relationships/hyperlink" Target="https://www.tradingview.com/chart/Q1c5VWwD/?symbol=dnn" TargetMode="External" Id="rId49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a" TargetMode="External" Id="rId1" /><Relationship Type="http://schemas.openxmlformats.org/officeDocument/2006/relationships/hyperlink" Target="https://www.tradingview.com/chart/Q1c5VWwD/?symbol=aa" TargetMode="External" Id="rId2" /><Relationship Type="http://schemas.openxmlformats.org/officeDocument/2006/relationships/hyperlink" Target="https://www.tradingview.com/chart/Q1c5VWwD/?symbol=aal" TargetMode="External" Id="rId3" /><Relationship Type="http://schemas.openxmlformats.org/officeDocument/2006/relationships/hyperlink" Target="https://www.tradingview.com/chart/Q1c5VWwD/?symbol=aaoi" TargetMode="External" Id="rId4" /><Relationship Type="http://schemas.openxmlformats.org/officeDocument/2006/relationships/hyperlink" Target="https://www.tradingview.com/chart/Q1c5VWwD/?symbol=aaon" TargetMode="External" Id="rId5" /><Relationship Type="http://schemas.openxmlformats.org/officeDocument/2006/relationships/hyperlink" Target="https://www.tradingview.com/chart/Q1c5VWwD/?symbol=aapl" TargetMode="External" Id="rId6" /><Relationship Type="http://schemas.openxmlformats.org/officeDocument/2006/relationships/hyperlink" Target="https://www.tradingview.com/chart/Q1c5VWwD/?symbol=abbv" TargetMode="External" Id="rId7" /><Relationship Type="http://schemas.openxmlformats.org/officeDocument/2006/relationships/hyperlink" Target="https://www.tradingview.com/chart/Q1c5VWwD/?symbol=abt" TargetMode="External" Id="rId8" /><Relationship Type="http://schemas.openxmlformats.org/officeDocument/2006/relationships/hyperlink" Target="https://www.tradingview.com/chart/Q1c5VWwD/?symbol=aci" TargetMode="External" Id="rId9" /><Relationship Type="http://schemas.openxmlformats.org/officeDocument/2006/relationships/hyperlink" Target="https://www.tradingview.com/chart/Q1c5VWwD/?symbol=acm" TargetMode="External" Id="rId10" /><Relationship Type="http://schemas.openxmlformats.org/officeDocument/2006/relationships/hyperlink" Target="https://www.tradingview.com/chart/Q1c5VWwD/?symbol=acn" TargetMode="External" Id="rId11" /><Relationship Type="http://schemas.openxmlformats.org/officeDocument/2006/relationships/hyperlink" Target="https://www.tradingview.com/chart/Q1c5VWwD/?symbol=adbe" TargetMode="External" Id="rId12" /><Relationship Type="http://schemas.openxmlformats.org/officeDocument/2006/relationships/hyperlink" Target="https://www.tradingview.com/chart/Q1c5VWwD/?symbol=adi" TargetMode="External" Id="rId13" /><Relationship Type="http://schemas.openxmlformats.org/officeDocument/2006/relationships/hyperlink" Target="https://www.tradingview.com/chart/Q1c5VWwD/?symbol=adm" TargetMode="External" Id="rId14" /><Relationship Type="http://schemas.openxmlformats.org/officeDocument/2006/relationships/hyperlink" Target="https://www.tradingview.com/chart/Q1c5VWwD/?symbol=adp" TargetMode="External" Id="rId15" /><Relationship Type="http://schemas.openxmlformats.org/officeDocument/2006/relationships/hyperlink" Target="https://www.tradingview.com/chart/Q1c5VWwD/?symbol=aem" TargetMode="External" Id="rId16" /><Relationship Type="http://schemas.openxmlformats.org/officeDocument/2006/relationships/hyperlink" Target="https://www.tradingview.com/chart/Q1c5VWwD/?symbol=aep" TargetMode="External" Id="rId17" /><Relationship Type="http://schemas.openxmlformats.org/officeDocument/2006/relationships/hyperlink" Target="https://www.tradingview.com/chart/Q1c5VWwD/?symbol=afl" TargetMode="External" Id="rId18" /><Relationship Type="http://schemas.openxmlformats.org/officeDocument/2006/relationships/hyperlink" Target="https://www.tradingview.com/chart/Q1c5VWwD/?symbol=afrm" TargetMode="External" Id="rId19" /><Relationship Type="http://schemas.openxmlformats.org/officeDocument/2006/relationships/hyperlink" Target="https://www.tradingview.com/chart/Q1c5VWwD/?symbol=ag" TargetMode="External" Id="rId20" /><Relationship Type="http://schemas.openxmlformats.org/officeDocument/2006/relationships/hyperlink" Target="https://www.tradingview.com/chart/Q1c5VWwD/?symbol=aig" TargetMode="External" Id="rId21" /><Relationship Type="http://schemas.openxmlformats.org/officeDocument/2006/relationships/hyperlink" Target="https://www.tradingview.com/chart/Q1c5VWwD/?symbol=ajg" TargetMode="External" Id="rId22" /><Relationship Type="http://schemas.openxmlformats.org/officeDocument/2006/relationships/hyperlink" Target="https://www.tradingview.com/chart/Q1c5VWwD/?symbol=alb" TargetMode="External" Id="rId23" /><Relationship Type="http://schemas.openxmlformats.org/officeDocument/2006/relationships/hyperlink" Target="https://www.tradingview.com/chart/Q1c5VWwD/?symbol=alec" TargetMode="External" Id="rId24" /><Relationship Type="http://schemas.openxmlformats.org/officeDocument/2006/relationships/hyperlink" Target="https://www.tradingview.com/chart/Q1c5VWwD/?symbol=allo" TargetMode="External" Id="rId25" /><Relationship Type="http://schemas.openxmlformats.org/officeDocument/2006/relationships/hyperlink" Target="https://www.tradingview.com/chart/Q1c5VWwD/?symbol=aloy" TargetMode="External" Id="rId26" /><Relationship Type="http://schemas.openxmlformats.org/officeDocument/2006/relationships/hyperlink" Target="https://www.tradingview.com/chart/Q1c5VWwD/?symbol=alt" TargetMode="External" Id="rId27" /><Relationship Type="http://schemas.openxmlformats.org/officeDocument/2006/relationships/hyperlink" Target="https://www.tradingview.com/chart/Q1c5VWwD/?symbol=amat" TargetMode="External" Id="rId28" /><Relationship Type="http://schemas.openxmlformats.org/officeDocument/2006/relationships/hyperlink" Target="https://www.tradingview.com/chart/Q1c5VWwD/?symbol=amd" TargetMode="External" Id="rId29" /><Relationship Type="http://schemas.openxmlformats.org/officeDocument/2006/relationships/hyperlink" Target="https://www.tradingview.com/chart/Q1c5VWwD/?symbol=amg" TargetMode="External" Id="rId30" /><Relationship Type="http://schemas.openxmlformats.org/officeDocument/2006/relationships/hyperlink" Target="https://www.tradingview.com/chart/Q1c5VWwD/?symbol=amgn" TargetMode="External" Id="rId31" /><Relationship Type="http://schemas.openxmlformats.org/officeDocument/2006/relationships/hyperlink" Target="https://www.tradingview.com/chart/Q1c5VWwD/?symbol=amh" TargetMode="External" Id="rId32" /><Relationship Type="http://schemas.openxmlformats.org/officeDocument/2006/relationships/hyperlink" Target="https://www.tradingview.com/chart/Q1c5VWwD/?symbol=amr" TargetMode="External" Id="rId33" /><Relationship Type="http://schemas.openxmlformats.org/officeDocument/2006/relationships/hyperlink" Target="https://www.tradingview.com/chart/Q1c5VWwD/?symbol=amt" TargetMode="External" Id="rId34" /><Relationship Type="http://schemas.openxmlformats.org/officeDocument/2006/relationships/hyperlink" Target="https://www.tradingview.com/chart/Q1c5VWwD/?symbol=amzn" TargetMode="External" Id="rId35" /><Relationship Type="http://schemas.openxmlformats.org/officeDocument/2006/relationships/hyperlink" Target="https://www.tradingview.com/chart/Q1c5VWwD/?symbol=anet" TargetMode="External" Id="rId36" /><Relationship Type="http://schemas.openxmlformats.org/officeDocument/2006/relationships/hyperlink" Target="https://www.tradingview.com/chart/Q1c5VWwD/?symbol=aon" TargetMode="External" Id="rId37" /><Relationship Type="http://schemas.openxmlformats.org/officeDocument/2006/relationships/hyperlink" Target="https://www.tradingview.com/chart/Q1c5VWwD/?symbol=apa" TargetMode="External" Id="rId38" /><Relationship Type="http://schemas.openxmlformats.org/officeDocument/2006/relationships/hyperlink" Target="https://www.tradingview.com/chart/Q1c5VWwD/?symbol=apd" TargetMode="External" Id="rId39" /><Relationship Type="http://schemas.openxmlformats.org/officeDocument/2006/relationships/hyperlink" Target="https://www.tradingview.com/chart/Q1c5VWwD/?symbol=aph" TargetMode="External" Id="rId40" /><Relationship Type="http://schemas.openxmlformats.org/officeDocument/2006/relationships/hyperlink" Target="https://www.tradingview.com/chart/Q1c5VWwD/?symbol=apo" TargetMode="External" Id="rId41" /><Relationship Type="http://schemas.openxmlformats.org/officeDocument/2006/relationships/hyperlink" Target="https://www.tradingview.com/chart/Q1c5VWwD/?symbol=aptv" TargetMode="External" Id="rId42" /><Relationship Type="http://schemas.openxmlformats.org/officeDocument/2006/relationships/hyperlink" Target="https://www.tradingview.com/chart/Q1c5VWwD/?symbol=ares" TargetMode="External" Id="rId43" /><Relationship Type="http://schemas.openxmlformats.org/officeDocument/2006/relationships/hyperlink" Target="https://www.tradingview.com/chart/Q1c5VWwD/?symbol=arm" TargetMode="External" Id="rId44" /><Relationship Type="http://schemas.openxmlformats.org/officeDocument/2006/relationships/hyperlink" Target="https://www.tradingview.com/chart/Q1c5VWwD/?symbol=arvn" TargetMode="External" Id="rId45" /><Relationship Type="http://schemas.openxmlformats.org/officeDocument/2006/relationships/hyperlink" Target="https://www.tradingview.com/chart/Q1c5VWwD/?symbol=asml" TargetMode="External" Id="rId46" /><Relationship Type="http://schemas.openxmlformats.org/officeDocument/2006/relationships/hyperlink" Target="https://www.tradingview.com/chart/Q1c5VWwD/?symbol=aspi" TargetMode="External" Id="rId47" /><Relationship Type="http://schemas.openxmlformats.org/officeDocument/2006/relationships/hyperlink" Target="https://www.tradingview.com/chart/Q1c5VWwD/?symbol=asts" TargetMode="External" Id="rId48" /><Relationship Type="http://schemas.openxmlformats.org/officeDocument/2006/relationships/hyperlink" Target="https://www.tradingview.com/chart/Q1c5VWwD/?symbol=ato" TargetMode="External" Id="rId49" /><Relationship Type="http://schemas.openxmlformats.org/officeDocument/2006/relationships/hyperlink" Target="https://www.tradingview.com/chart/Q1c5VWwD/?symbol=au" TargetMode="External" Id="rId50" /><Relationship Type="http://schemas.openxmlformats.org/officeDocument/2006/relationships/hyperlink" Target="https://www.tradingview.com/chart/Q1c5VWwD/?symbol=avav" TargetMode="External" Id="rId51" /><Relationship Type="http://schemas.openxmlformats.org/officeDocument/2006/relationships/hyperlink" Target="https://www.tradingview.com/chart/Q1c5VWwD/?symbol=avgo" TargetMode="External" Id="rId52" /><Relationship Type="http://schemas.openxmlformats.org/officeDocument/2006/relationships/hyperlink" Target="https://www.tradingview.com/chart/Q1c5VWwD/?symbol=awk" TargetMode="External" Id="rId53" /><Relationship Type="http://schemas.openxmlformats.org/officeDocument/2006/relationships/hyperlink" Target="https://www.tradingview.com/chart/Q1c5VWwD/?symbol=awr" TargetMode="External" Id="rId54" /><Relationship Type="http://schemas.openxmlformats.org/officeDocument/2006/relationships/hyperlink" Target="https://www.tradingview.com/chart/Q1c5VWwD/?symbol=axp" TargetMode="External" Id="rId55" /><Relationship Type="http://schemas.openxmlformats.org/officeDocument/2006/relationships/hyperlink" Target="https://www.tradingview.com/chart/Q1c5VWwD/?symbol=ba" TargetMode="External" Id="rId56" /><Relationship Type="http://schemas.openxmlformats.org/officeDocument/2006/relationships/hyperlink" Target="https://www.tradingview.com/chart/Q1c5VWwD/?symbol=bac" TargetMode="External" Id="rId57" /><Relationship Type="http://schemas.openxmlformats.org/officeDocument/2006/relationships/hyperlink" Target="https://www.tradingview.com/chart/Q1c5VWwD/?symbol=bby" TargetMode="External" Id="rId58" /><Relationship Type="http://schemas.openxmlformats.org/officeDocument/2006/relationships/hyperlink" Target="https://www.tradingview.com/chart/Q1c5VWwD/?symbol=bc" TargetMode="External" Id="rId59" /><Relationship Type="http://schemas.openxmlformats.org/officeDocument/2006/relationships/hyperlink" Target="https://www.tradingview.com/chart/Q1c5VWwD/?symbol=beam" TargetMode="External" Id="rId60" /><Relationship Type="http://schemas.openxmlformats.org/officeDocument/2006/relationships/hyperlink" Target="https://www.tradingview.com/chart/Q1c5VWwD/?symbol=ben" TargetMode="External" Id="rId61" /><Relationship Type="http://schemas.openxmlformats.org/officeDocument/2006/relationships/hyperlink" Target="https://www.tradingview.com/chart/Q1c5VWwD/?symbol=bf.b" TargetMode="External" Id="rId62" /><Relationship Type="http://schemas.openxmlformats.org/officeDocument/2006/relationships/hyperlink" Target="https://www.tradingview.com/chart/Q1c5VWwD/?symbol=bg" TargetMode="External" Id="rId63" /><Relationship Type="http://schemas.openxmlformats.org/officeDocument/2006/relationships/hyperlink" Target="https://www.tradingview.com/chart/Q1c5VWwD/?symbol=biib" TargetMode="External" Id="rId64" /><Relationship Type="http://schemas.openxmlformats.org/officeDocument/2006/relationships/hyperlink" Target="https://www.tradingview.com/chart/Q1c5VWwD/?symbol=bj" TargetMode="External" Id="rId65" /><Relationship Type="http://schemas.openxmlformats.org/officeDocument/2006/relationships/hyperlink" Target="https://www.tradingview.com/chart/Q1c5VWwD/?symbol=bkr" TargetMode="External" Id="rId66" /><Relationship Type="http://schemas.openxmlformats.org/officeDocument/2006/relationships/hyperlink" Target="https://www.tradingview.com/chart/Q1c5VWwD/?symbol=blk" TargetMode="External" Id="rId67" /><Relationship Type="http://schemas.openxmlformats.org/officeDocument/2006/relationships/hyperlink" Target="https://www.tradingview.com/chart/Q1c5VWwD/?symbol=bmy" TargetMode="External" Id="rId68" /><Relationship Type="http://schemas.openxmlformats.org/officeDocument/2006/relationships/hyperlink" Target="https://www.tradingview.com/chart/Q1c5VWwD/?symbol=bro" TargetMode="External" Id="rId69" /><Relationship Type="http://schemas.openxmlformats.org/officeDocument/2006/relationships/hyperlink" Target="https://www.tradingview.com/chart/Q1c5VWwD/?symbol=bsx" TargetMode="External" Id="rId70" /><Relationship Type="http://schemas.openxmlformats.org/officeDocument/2006/relationships/hyperlink" Target="https://www.tradingview.com/chart/Q1c5VWwD/?symbol=btu" TargetMode="External" Id="rId71" /><Relationship Type="http://schemas.openxmlformats.org/officeDocument/2006/relationships/hyperlink" Target="https://www.tradingview.com/chart/Q1c5VWwD/?symbol=bx" TargetMode="External" Id="rId72" /><Relationship Type="http://schemas.openxmlformats.org/officeDocument/2006/relationships/hyperlink" Target="https://www.tradingview.com/chart/Q1c5VWwD/?symbol=bxp" TargetMode="External" Id="rId73" /><Relationship Type="http://schemas.openxmlformats.org/officeDocument/2006/relationships/hyperlink" Target="https://www.tradingview.com/chart/Q1c5VWwD/?symbol=c" TargetMode="External" Id="rId74" /><Relationship Type="http://schemas.openxmlformats.org/officeDocument/2006/relationships/hyperlink" Target="https://www.tradingview.com/chart/Q1c5VWwD/?symbol=cag" TargetMode="External" Id="rId75" /><Relationship Type="http://schemas.openxmlformats.org/officeDocument/2006/relationships/hyperlink" Target="https://www.tradingview.com/chart/Q1c5VWwD/?symbol=cah" TargetMode="External" Id="rId76" /><Relationship Type="http://schemas.openxmlformats.org/officeDocument/2006/relationships/hyperlink" Target="https://www.tradingview.com/chart/Q1c5VWwD/?symbol=carr" TargetMode="External" Id="rId77" /><Relationship Type="http://schemas.openxmlformats.org/officeDocument/2006/relationships/hyperlink" Target="https://www.tradingview.com/chart/Q1c5VWwD/?symbol=cat" TargetMode="External" Id="rId78" /><Relationship Type="http://schemas.openxmlformats.org/officeDocument/2006/relationships/hyperlink" Target="https://www.tradingview.com/chart/Q1c5VWwD/?symbol=cb" TargetMode="External" Id="rId79" /><Relationship Type="http://schemas.openxmlformats.org/officeDocument/2006/relationships/hyperlink" Target="https://www.tradingview.com/chart/Q1c5VWwD/?symbol=cboe" TargetMode="External" Id="rId80" /><Relationship Type="http://schemas.openxmlformats.org/officeDocument/2006/relationships/hyperlink" Target="https://www.tradingview.com/chart/Q1c5VWwD/?symbol=cbre" TargetMode="External" Id="rId81" /><Relationship Type="http://schemas.openxmlformats.org/officeDocument/2006/relationships/hyperlink" Target="https://www.tradingview.com/chart/Q1c5VWwD/?symbol=cci" TargetMode="External" Id="rId82" /><Relationship Type="http://schemas.openxmlformats.org/officeDocument/2006/relationships/hyperlink" Target="https://www.tradingview.com/chart/Q1c5VWwD/?symbol=ccj" TargetMode="External" Id="rId83" /><Relationship Type="http://schemas.openxmlformats.org/officeDocument/2006/relationships/hyperlink" Target="https://www.tradingview.com/chart/Q1c5VWwD/?symbol=ccl" TargetMode="External" Id="rId84" /><Relationship Type="http://schemas.openxmlformats.org/officeDocument/2006/relationships/hyperlink" Target="https://www.tradingview.com/chart/Q1c5VWwD/?symbol=cde" TargetMode="External" Id="rId85" /><Relationship Type="http://schemas.openxmlformats.org/officeDocument/2006/relationships/hyperlink" Target="https://www.tradingview.com/chart/Q1c5VWwD/?symbol=cdns" TargetMode="External" Id="rId86" /><Relationship Type="http://schemas.openxmlformats.org/officeDocument/2006/relationships/hyperlink" Target="https://www.tradingview.com/chart/Q1c5VWwD/?symbol=ceg" TargetMode="External" Id="rId87" /><Relationship Type="http://schemas.openxmlformats.org/officeDocument/2006/relationships/hyperlink" Target="https://www.tradingview.com/chart/Q1c5VWwD/?symbol=celh" TargetMode="External" Id="rId88" /><Relationship Type="http://schemas.openxmlformats.org/officeDocument/2006/relationships/hyperlink" Target="https://www.tradingview.com/chart/Q1c5VWwD/?symbol=cenx" TargetMode="External" Id="rId89" /><Relationship Type="http://schemas.openxmlformats.org/officeDocument/2006/relationships/hyperlink" Target="https://www.tradingview.com/chart/Q1c5VWwD/?symbol=cf" TargetMode="External" Id="rId90" /><Relationship Type="http://schemas.openxmlformats.org/officeDocument/2006/relationships/hyperlink" Target="https://www.tradingview.com/chart/Q1c5VWwD/?symbol=chd" TargetMode="External" Id="rId91" /><Relationship Type="http://schemas.openxmlformats.org/officeDocument/2006/relationships/hyperlink" Target="https://www.tradingview.com/chart/Q1c5VWwD/?symbol=chef" TargetMode="External" Id="rId92" /><Relationship Type="http://schemas.openxmlformats.org/officeDocument/2006/relationships/hyperlink" Target="https://www.tradingview.com/chart/Q1c5VWwD/?symbol=chtr" TargetMode="External" Id="rId93" /><Relationship Type="http://schemas.openxmlformats.org/officeDocument/2006/relationships/hyperlink" Target="https://www.tradingview.com/chart/Q1c5VWwD/?symbol=chwy" TargetMode="External" Id="rId94" /><Relationship Type="http://schemas.openxmlformats.org/officeDocument/2006/relationships/hyperlink" Target="https://www.tradingview.com/chart/Q1c5VWwD/?symbol=ci" TargetMode="External" Id="rId95" /><Relationship Type="http://schemas.openxmlformats.org/officeDocument/2006/relationships/hyperlink" Target="https://www.tradingview.com/chart/Q1c5VWwD/?symbol=cien" TargetMode="External" Id="rId96" /><Relationship Type="http://schemas.openxmlformats.org/officeDocument/2006/relationships/hyperlink" Target="https://www.tradingview.com/chart/Q1c5VWwD/?symbol=cl" TargetMode="External" Id="rId97" /><Relationship Type="http://schemas.openxmlformats.org/officeDocument/2006/relationships/hyperlink" Target="https://www.tradingview.com/chart/Q1c5VWwD/?symbol=clf" TargetMode="External" Id="rId98" /><Relationship Type="http://schemas.openxmlformats.org/officeDocument/2006/relationships/hyperlink" Target="https://www.tradingview.com/chart/Q1c5VWwD/?symbol=clh" TargetMode="External" Id="rId99" /><Relationship Type="http://schemas.openxmlformats.org/officeDocument/2006/relationships/hyperlink" Target="https://www.tradingview.com/chart/Q1c5VWwD/?symbol=cmcsa" TargetMode="External" Id="rId100" /><Relationship Type="http://schemas.openxmlformats.org/officeDocument/2006/relationships/hyperlink" Target="https://www.tradingview.com/chart/Q1c5VWwD/?symbol=cme" TargetMode="External" Id="rId101" /><Relationship Type="http://schemas.openxmlformats.org/officeDocument/2006/relationships/hyperlink" Target="https://www.tradingview.com/chart/Q1c5VWwD/?symbol=cmg" TargetMode="External" Id="rId102" /><Relationship Type="http://schemas.openxmlformats.org/officeDocument/2006/relationships/hyperlink" Target="https://www.tradingview.com/chart/Q1c5VWwD/?symbol=cmi" TargetMode="External" Id="rId103" /><Relationship Type="http://schemas.openxmlformats.org/officeDocument/2006/relationships/hyperlink" Target="https://www.tradingview.com/chart/Q1c5VWwD/?symbol=cnc" TargetMode="External" Id="rId104" /><Relationship Type="http://schemas.openxmlformats.org/officeDocument/2006/relationships/hyperlink" Target="https://www.tradingview.com/chart/Q1c5VWwD/?symbol=cnr" TargetMode="External" Id="rId105" /><Relationship Type="http://schemas.openxmlformats.org/officeDocument/2006/relationships/hyperlink" Target="https://www.tradingview.com/chart/Q1c5VWwD/?symbol=cof" TargetMode="External" Id="rId106" /><Relationship Type="http://schemas.openxmlformats.org/officeDocument/2006/relationships/hyperlink" Target="https://www.tradingview.com/chart/Q1c5VWwD/?symbol=cohr" TargetMode="External" Id="rId107" /><Relationship Type="http://schemas.openxmlformats.org/officeDocument/2006/relationships/hyperlink" Target="https://www.tradingview.com/chart/Q1c5VWwD/?symbol=coin" TargetMode="External" Id="rId108" /><Relationship Type="http://schemas.openxmlformats.org/officeDocument/2006/relationships/hyperlink" Target="https://www.tradingview.com/chart/Q1c5VWwD/?symbol=comp" TargetMode="External" Id="rId109" /><Relationship Type="http://schemas.openxmlformats.org/officeDocument/2006/relationships/hyperlink" Target="https://www.tradingview.com/chart/Q1c5VWwD/?symbol=cop" TargetMode="External" Id="rId110" /><Relationship Type="http://schemas.openxmlformats.org/officeDocument/2006/relationships/hyperlink" Target="https://www.tradingview.com/chart/Q1c5VWwD/?symbol=cor" TargetMode="External" Id="rId111" /><Relationship Type="http://schemas.openxmlformats.org/officeDocument/2006/relationships/hyperlink" Target="https://www.tradingview.com/chart/Q1c5VWwD/?symbol=cost" TargetMode="External" Id="rId112" /><Relationship Type="http://schemas.openxmlformats.org/officeDocument/2006/relationships/hyperlink" Target="https://www.tradingview.com/chart/Q1c5VWwD/?symbol=crcl" TargetMode="External" Id="rId113" /><Relationship Type="http://schemas.openxmlformats.org/officeDocument/2006/relationships/hyperlink" Target="https://www.tradingview.com/chart/Q1c5VWwD/?symbol=crdo" TargetMode="External" Id="rId114" /><Relationship Type="http://schemas.openxmlformats.org/officeDocument/2006/relationships/hyperlink" Target="https://www.tradingview.com/chart/Q1c5VWwD/?symbol=crh" TargetMode="External" Id="rId115" /><Relationship Type="http://schemas.openxmlformats.org/officeDocument/2006/relationships/hyperlink" Target="https://www.tradingview.com/chart/Q1c5VWwD/?symbol=crm" TargetMode="External" Id="rId116" /><Relationship Type="http://schemas.openxmlformats.org/officeDocument/2006/relationships/hyperlink" Target="https://www.tradingview.com/chart/Q1c5VWwD/?symbol=crsp" TargetMode="External" Id="rId117" /><Relationship Type="http://schemas.openxmlformats.org/officeDocument/2006/relationships/hyperlink" Target="https://www.tradingview.com/chart/Q1c5VWwD/?symbol=crvs" TargetMode="External" Id="rId118" /><Relationship Type="http://schemas.openxmlformats.org/officeDocument/2006/relationships/hyperlink" Target="https://www.tradingview.com/chart/Q1c5VWwD/?symbol=crwd" TargetMode="External" Id="rId119" /><Relationship Type="http://schemas.openxmlformats.org/officeDocument/2006/relationships/hyperlink" Target="https://www.tradingview.com/chart/Q1c5VWwD/?symbol=crwv" TargetMode="External" Id="rId120" /><Relationship Type="http://schemas.openxmlformats.org/officeDocument/2006/relationships/hyperlink" Target="https://www.tradingview.com/chart/Q1c5VWwD/?symbol=csx" TargetMode="External" Id="rId121" /><Relationship Type="http://schemas.openxmlformats.org/officeDocument/2006/relationships/hyperlink" Target="https://www.tradingview.com/chart/Q1c5VWwD/?symbol=ctas" TargetMode="External" Id="rId122" /><Relationship Type="http://schemas.openxmlformats.org/officeDocument/2006/relationships/hyperlink" Target="https://www.tradingview.com/chart/Q1c5VWwD/?symbol=ctsh" TargetMode="External" Id="rId123" /><Relationship Type="http://schemas.openxmlformats.org/officeDocument/2006/relationships/hyperlink" Target="https://www.tradingview.com/chart/Q1c5VWwD/?symbol=ctva" TargetMode="External" Id="rId124" /><Relationship Type="http://schemas.openxmlformats.org/officeDocument/2006/relationships/hyperlink" Target="https://www.tradingview.com/chart/Q1c5VWwD/?symbol=cvs" TargetMode="External" Id="rId125" /><Relationship Type="http://schemas.openxmlformats.org/officeDocument/2006/relationships/hyperlink" Target="https://www.tradingview.com/chart/Q1c5VWwD/?symbol=cvx" TargetMode="External" Id="rId126" /><Relationship Type="http://schemas.openxmlformats.org/officeDocument/2006/relationships/hyperlink" Target="https://www.tradingview.com/chart/Q1c5VWwD/?symbol=cwst" TargetMode="External" Id="rId127" /><Relationship Type="http://schemas.openxmlformats.org/officeDocument/2006/relationships/hyperlink" Target="https://www.tradingview.com/chart/Q1c5VWwD/?symbol=cwt" TargetMode="External" Id="rId128" /><Relationship Type="http://schemas.openxmlformats.org/officeDocument/2006/relationships/hyperlink" Target="https://www.tradingview.com/chart/Q1c5VWwD/?symbol=d" TargetMode="External" Id="rId129" /><Relationship Type="http://schemas.openxmlformats.org/officeDocument/2006/relationships/hyperlink" Target="https://www.tradingview.com/chart/Q1c5VWwD/?symbol=dal" TargetMode="External" Id="rId130" /><Relationship Type="http://schemas.openxmlformats.org/officeDocument/2006/relationships/hyperlink" Target="https://www.tradingview.com/chart/Q1c5VWwD/?symbol=ddog" TargetMode="External" Id="rId131" /><Relationship Type="http://schemas.openxmlformats.org/officeDocument/2006/relationships/hyperlink" Target="https://www.tradingview.com/chart/Q1c5VWwD/?symbol=de" TargetMode="External" Id="rId132" /><Relationship Type="http://schemas.openxmlformats.org/officeDocument/2006/relationships/hyperlink" Target="https://www.tradingview.com/chart/Q1c5VWwD/?symbol=deck" TargetMode="External" Id="rId133" /><Relationship Type="http://schemas.openxmlformats.org/officeDocument/2006/relationships/hyperlink" Target="https://www.tradingview.com/chart/Q1c5VWwD/?symbol=dell" TargetMode="External" Id="rId134" /><Relationship Type="http://schemas.openxmlformats.org/officeDocument/2006/relationships/hyperlink" Target="https://www.tradingview.com/chart/Q1c5VWwD/?symbol=deo" TargetMode="External" Id="rId135" /><Relationship Type="http://schemas.openxmlformats.org/officeDocument/2006/relationships/hyperlink" Target="https://www.tradingview.com/chart/Q1c5VWwD/?symbol=dhi" TargetMode="External" Id="rId136" /><Relationship Type="http://schemas.openxmlformats.org/officeDocument/2006/relationships/hyperlink" Target="https://www.tradingview.com/chart/Q1c5VWwD/?symbol=dhr" TargetMode="External" Id="rId137" /><Relationship Type="http://schemas.openxmlformats.org/officeDocument/2006/relationships/hyperlink" Target="https://www.tradingview.com/chart/Q1c5VWwD/?symbol=dino" TargetMode="External" Id="rId138" /><Relationship Type="http://schemas.openxmlformats.org/officeDocument/2006/relationships/hyperlink" Target="https://www.tradingview.com/chart/Q1c5VWwD/?symbol=dis" TargetMode="External" Id="rId139" /><Relationship Type="http://schemas.openxmlformats.org/officeDocument/2006/relationships/hyperlink" Target="https://www.tradingview.com/chart/Q1c5VWwD/?symbol=dkng" TargetMode="External" Id="rId140" /><Relationship Type="http://schemas.openxmlformats.org/officeDocument/2006/relationships/hyperlink" Target="https://www.tradingview.com/chart/Q1c5VWwD/?symbol=dlr" TargetMode="External" Id="rId141" /><Relationship Type="http://schemas.openxmlformats.org/officeDocument/2006/relationships/hyperlink" Target="https://www.tradingview.com/chart/Q1c5VWwD/?symbol=dnli" TargetMode="External" Id="rId142" /><Relationship Type="http://schemas.openxmlformats.org/officeDocument/2006/relationships/hyperlink" Target="https://www.tradingview.com/chart/Q1c5VWwD/?symbol=dnn" TargetMode="External" Id="rId143" /><Relationship Type="http://schemas.openxmlformats.org/officeDocument/2006/relationships/hyperlink" Target="https://www.tradingview.com/chart/Q1c5VWwD/?symbol=doc" TargetMode="External" Id="rId144" /><Relationship Type="http://schemas.openxmlformats.org/officeDocument/2006/relationships/hyperlink" Target="https://www.tradingview.com/chart/Q1c5VWwD/?symbol=docs" TargetMode="External" Id="rId145" /><Relationship Type="http://schemas.openxmlformats.org/officeDocument/2006/relationships/hyperlink" Target="https://www.tradingview.com/chart/Q1c5VWwD/?symbol=dow" TargetMode="External" Id="rId146" /><Relationship Type="http://schemas.openxmlformats.org/officeDocument/2006/relationships/hyperlink" Target="https://www.tradingview.com/chart/Q1c5VWwD/?symbol=dri" TargetMode="External" Id="rId147" /><Relationship Type="http://schemas.openxmlformats.org/officeDocument/2006/relationships/hyperlink" Target="https://www.tradingview.com/chart/Q1c5VWwD/?symbol=dtil" TargetMode="External" Id="rId148" /><Relationship Type="http://schemas.openxmlformats.org/officeDocument/2006/relationships/hyperlink" Target="https://www.tradingview.com/chart/Q1c5VWwD/?symbol=duk" TargetMode="External" Id="rId149" /><Relationship Type="http://schemas.openxmlformats.org/officeDocument/2006/relationships/hyperlink" Target="https://www.tradingview.com/chart/Q1c5VWwD/?symbol=dvn" TargetMode="External" Id="rId150" /><Relationship Type="http://schemas.openxmlformats.org/officeDocument/2006/relationships/hyperlink" Target="https://www.tradingview.com/chart/Q1c5VWwD/?symbol=ebay" TargetMode="External" Id="rId151" /><Relationship Type="http://schemas.openxmlformats.org/officeDocument/2006/relationships/hyperlink" Target="https://www.tradingview.com/chart/Q1c5VWwD/?symbol=ecl" TargetMode="External" Id="rId152" /><Relationship Type="http://schemas.openxmlformats.org/officeDocument/2006/relationships/hyperlink" Target="https://www.tradingview.com/chart/Q1c5VWwD/?symbol=ee" TargetMode="External" Id="rId153" /><Relationship Type="http://schemas.openxmlformats.org/officeDocument/2006/relationships/hyperlink" Target="https://www.tradingview.com/chart/Q1c5VWwD/?symbol=egp" TargetMode="External" Id="rId154" /><Relationship Type="http://schemas.openxmlformats.org/officeDocument/2006/relationships/hyperlink" Target="https://www.tradingview.com/chart/Q1c5VWwD/?symbol=ehc" TargetMode="External" Id="rId155" /><Relationship Type="http://schemas.openxmlformats.org/officeDocument/2006/relationships/hyperlink" Target="https://www.tradingview.com/chart/Q1c5VWwD/?symbol=el" TargetMode="External" Id="rId156" /><Relationship Type="http://schemas.openxmlformats.org/officeDocument/2006/relationships/hyperlink" Target="https://www.tradingview.com/chart/Q1c5VWwD/?symbol=elv" TargetMode="External" Id="rId157" /><Relationship Type="http://schemas.openxmlformats.org/officeDocument/2006/relationships/hyperlink" Target="https://www.tradingview.com/chart/Q1c5VWwD/?symbol=eme" TargetMode="External" Id="rId158" /><Relationship Type="http://schemas.openxmlformats.org/officeDocument/2006/relationships/hyperlink" Target="https://www.tradingview.com/chart/Q1c5VWwD/?symbol=emr" TargetMode="External" Id="rId159" /><Relationship Type="http://schemas.openxmlformats.org/officeDocument/2006/relationships/hyperlink" Target="https://www.tradingview.com/chart/Q1c5VWwD/?symbol=enph" TargetMode="External" Id="rId160" /><Relationship Type="http://schemas.openxmlformats.org/officeDocument/2006/relationships/hyperlink" Target="https://www.tradingview.com/chart/Q1c5VWwD/?symbol=eog" TargetMode="External" Id="rId161" /><Relationship Type="http://schemas.openxmlformats.org/officeDocument/2006/relationships/hyperlink" Target="https://www.tradingview.com/chart/Q1c5VWwD/?symbol=epam" TargetMode="External" Id="rId162" /><Relationship Type="http://schemas.openxmlformats.org/officeDocument/2006/relationships/hyperlink" Target="https://www.tradingview.com/chart/Q1c5VWwD/?symbol=epd" TargetMode="External" Id="rId163" /><Relationship Type="http://schemas.openxmlformats.org/officeDocument/2006/relationships/hyperlink" Target="https://www.tradingview.com/chart/Q1c5VWwD/?symbol=eqh" TargetMode="External" Id="rId164" /><Relationship Type="http://schemas.openxmlformats.org/officeDocument/2006/relationships/hyperlink" Target="https://www.tradingview.com/chart/Q1c5VWwD/?symbol=eqix" TargetMode="External" Id="rId165" /><Relationship Type="http://schemas.openxmlformats.org/officeDocument/2006/relationships/hyperlink" Target="https://www.tradingview.com/chart/Q1c5VWwD/?symbol=et" TargetMode="External" Id="rId166" /><Relationship Type="http://schemas.openxmlformats.org/officeDocument/2006/relationships/hyperlink" Target="https://www.tradingview.com/chart/Q1c5VWwD/?symbol=etn" TargetMode="External" Id="rId167" /><Relationship Type="http://schemas.openxmlformats.org/officeDocument/2006/relationships/hyperlink" Target="https://www.tradingview.com/chart/Q1c5VWwD/?symbol=evr" TargetMode="External" Id="rId168" /><Relationship Type="http://schemas.openxmlformats.org/officeDocument/2006/relationships/hyperlink" Target="https://www.tradingview.com/chart/Q1c5VWwD/?symbol=exr" TargetMode="External" Id="rId169" /><Relationship Type="http://schemas.openxmlformats.org/officeDocument/2006/relationships/hyperlink" Target="https://www.tradingview.com/chart/Q1c5VWwD/?symbol=f" TargetMode="External" Id="rId170" /><Relationship Type="http://schemas.openxmlformats.org/officeDocument/2006/relationships/hyperlink" Target="https://www.tradingview.com/chart/Q1c5VWwD/?symbol=fang" TargetMode="External" Id="rId171" /><Relationship Type="http://schemas.openxmlformats.org/officeDocument/2006/relationships/hyperlink" Target="https://www.tradingview.com/chart/Q1c5VWwD/?symbol=fate" TargetMode="External" Id="rId172" /><Relationship Type="http://schemas.openxmlformats.org/officeDocument/2006/relationships/hyperlink" Target="https://www.tradingview.com/chart/Q1c5VWwD/?symbol=fcx" TargetMode="External" Id="rId173" /><Relationship Type="http://schemas.openxmlformats.org/officeDocument/2006/relationships/hyperlink" Target="https://www.tradingview.com/chart/Q1c5VWwD/?symbol=fdx" TargetMode="External" Id="rId174" /><Relationship Type="http://schemas.openxmlformats.org/officeDocument/2006/relationships/hyperlink" Target="https://www.tradingview.com/chart/Q1c5VWwD/?symbol=flex" TargetMode="External" Id="rId175" /><Relationship Type="http://schemas.openxmlformats.org/officeDocument/2006/relationships/hyperlink" Target="https://www.tradingview.com/chart/Q1c5VWwD/?symbol=flr" TargetMode="External" Id="rId176" /><Relationship Type="http://schemas.openxmlformats.org/officeDocument/2006/relationships/hyperlink" Target="https://www.tradingview.com/chart/Q1c5VWwD/?symbol=flut" TargetMode="External" Id="rId177" /><Relationship Type="http://schemas.openxmlformats.org/officeDocument/2006/relationships/hyperlink" Target="https://www.tradingview.com/chart/Q1c5VWwD/?symbol=fr" TargetMode="External" Id="rId178" /><Relationship Type="http://schemas.openxmlformats.org/officeDocument/2006/relationships/hyperlink" Target="https://www.tradingview.com/chart/Q1c5VWwD/?symbol=frt" TargetMode="External" Id="rId179" /><Relationship Type="http://schemas.openxmlformats.org/officeDocument/2006/relationships/hyperlink" Target="https://www.tradingview.com/chart/Q1c5VWwD/?symbol=fslr" TargetMode="External" Id="rId180" /><Relationship Type="http://schemas.openxmlformats.org/officeDocument/2006/relationships/hyperlink" Target="https://www.tradingview.com/chart/Q1c5VWwD/?symbol=ftnt" TargetMode="External" Id="rId181" /><Relationship Type="http://schemas.openxmlformats.org/officeDocument/2006/relationships/hyperlink" Target="https://www.tradingview.com/chart/Q1c5VWwD/?symbol=fwonk" TargetMode="External" Id="rId182" /><Relationship Type="http://schemas.openxmlformats.org/officeDocument/2006/relationships/hyperlink" Target="https://www.tradingview.com/chart/Q1c5VWwD/?symbol=gd" TargetMode="External" Id="rId183" /><Relationship Type="http://schemas.openxmlformats.org/officeDocument/2006/relationships/hyperlink" Target="https://www.tradingview.com/chart/Q1c5VWwD/?symbol=gev" TargetMode="External" Id="rId184" /><Relationship Type="http://schemas.openxmlformats.org/officeDocument/2006/relationships/hyperlink" Target="https://www.tradingview.com/chart/Q1c5VWwD/?symbol=gfs" TargetMode="External" Id="rId185" /><Relationship Type="http://schemas.openxmlformats.org/officeDocument/2006/relationships/hyperlink" Target="https://www.tradingview.com/chart/Q1c5VWwD/?symbol=gild" TargetMode="External" Id="rId186" /><Relationship Type="http://schemas.openxmlformats.org/officeDocument/2006/relationships/hyperlink" Target="https://www.tradingview.com/chart/Q1c5VWwD/?symbol=gis" TargetMode="External" Id="rId187" /><Relationship Type="http://schemas.openxmlformats.org/officeDocument/2006/relationships/hyperlink" Target="https://www.tradingview.com/chart/Q1c5VWwD/?symbol=glng" TargetMode="External" Id="rId188" /><Relationship Type="http://schemas.openxmlformats.org/officeDocument/2006/relationships/hyperlink" Target="https://www.tradingview.com/chart/Q1c5VWwD/?symbol=glpi" TargetMode="External" Id="rId189" /><Relationship Type="http://schemas.openxmlformats.org/officeDocument/2006/relationships/hyperlink" Target="https://www.tradingview.com/chart/Q1c5VWwD/?symbol=gm" TargetMode="External" Id="rId190" /><Relationship Type="http://schemas.openxmlformats.org/officeDocument/2006/relationships/hyperlink" Target="https://www.tradingview.com/chart/Q1c5VWwD/?symbol=gold" TargetMode="External" Id="rId191" /><Relationship Type="http://schemas.openxmlformats.org/officeDocument/2006/relationships/hyperlink" Target="https://www.tradingview.com/chart/Q1c5VWwD/?symbol=googl" TargetMode="External" Id="rId192" /><Relationship Type="http://schemas.openxmlformats.org/officeDocument/2006/relationships/hyperlink" Target="https://www.tradingview.com/chart/Q1c5VWwD/?symbol=gpn" TargetMode="External" Id="rId193" /><Relationship Type="http://schemas.openxmlformats.org/officeDocument/2006/relationships/hyperlink" Target="https://www.tradingview.com/chart/Q1c5VWwD/?symbol=gs" TargetMode="External" Id="rId194" /><Relationship Type="http://schemas.openxmlformats.org/officeDocument/2006/relationships/hyperlink" Target="https://www.tradingview.com/chart/Q1c5VWwD/?symbol=hal" TargetMode="External" Id="rId195" /><Relationship Type="http://schemas.openxmlformats.org/officeDocument/2006/relationships/hyperlink" Target="https://www.tradingview.com/chart/Q1c5VWwD/?symbol=hbm" TargetMode="External" Id="rId196" /><Relationship Type="http://schemas.openxmlformats.org/officeDocument/2006/relationships/hyperlink" Target="https://www.tradingview.com/chart/Q1c5VWwD/?symbol=hca" TargetMode="External" Id="rId197" /><Relationship Type="http://schemas.openxmlformats.org/officeDocument/2006/relationships/hyperlink" Target="https://www.tradingview.com/chart/Q1c5VWwD/?symbol=hcc" TargetMode="External" Id="rId198" /><Relationship Type="http://schemas.openxmlformats.org/officeDocument/2006/relationships/hyperlink" Target="https://www.tradingview.com/chart/Q1c5VWwD/?symbol=hd" TargetMode="External" Id="rId199" /><Relationship Type="http://schemas.openxmlformats.org/officeDocument/2006/relationships/hyperlink" Target="https://www.tradingview.com/chart/Q1c5VWwD/?symbol=hims" TargetMode="External" Id="rId200" /><Relationship Type="http://schemas.openxmlformats.org/officeDocument/2006/relationships/hyperlink" Target="https://www.tradingview.com/chart/Q1c5VWwD/?symbol=hiw" TargetMode="External" Id="rId201" /><Relationship Type="http://schemas.openxmlformats.org/officeDocument/2006/relationships/hyperlink" Target="https://www.tradingview.com/chart/Q1c5VWwD/?symbol=hl" TargetMode="External" Id="rId202" /><Relationship Type="http://schemas.openxmlformats.org/officeDocument/2006/relationships/hyperlink" Target="https://www.tradingview.com/chart/Q1c5VWwD/?symbol=hlt" TargetMode="External" Id="rId203" /><Relationship Type="http://schemas.openxmlformats.org/officeDocument/2006/relationships/hyperlink" Target="https://www.tradingview.com/chart/Q1c5VWwD/?symbol=hon" TargetMode="External" Id="rId204" /><Relationship Type="http://schemas.openxmlformats.org/officeDocument/2006/relationships/hyperlink" Target="https://www.tradingview.com/chart/Q1c5VWwD/?symbol=hood" TargetMode="External" Id="rId205" /><Relationship Type="http://schemas.openxmlformats.org/officeDocument/2006/relationships/hyperlink" Target="https://www.tradingview.com/chart/Q1c5VWwD/?symbol=hrb" TargetMode="External" Id="rId206" /><Relationship Type="http://schemas.openxmlformats.org/officeDocument/2006/relationships/hyperlink" Target="https://www.tradingview.com/chart/Q1c5VWwD/?symbol=hsy" TargetMode="External" Id="rId207" /><Relationship Type="http://schemas.openxmlformats.org/officeDocument/2006/relationships/hyperlink" Target="https://www.tradingview.com/chart/Q1c5VWwD/?symbol=hto" TargetMode="External" Id="rId208" /><Relationship Type="http://schemas.openxmlformats.org/officeDocument/2006/relationships/hyperlink" Target="https://www.tradingview.com/chart/Q1c5VWwD/?symbol=hubb" TargetMode="External" Id="rId209" /><Relationship Type="http://schemas.openxmlformats.org/officeDocument/2006/relationships/hyperlink" Target="https://www.tradingview.com/chart/Q1c5VWwD/?symbol=hum" TargetMode="External" Id="rId210" /><Relationship Type="http://schemas.openxmlformats.org/officeDocument/2006/relationships/hyperlink" Target="https://www.tradingview.com/chart/Q1c5VWwD/?symbol=ibm" TargetMode="External" Id="rId211" /><Relationship Type="http://schemas.openxmlformats.org/officeDocument/2006/relationships/hyperlink" Target="https://www.tradingview.com/chart/Q1c5VWwD/?symbol=ice" TargetMode="External" Id="rId212" /><Relationship Type="http://schemas.openxmlformats.org/officeDocument/2006/relationships/hyperlink" Target="https://www.tradingview.com/chart/Q1c5VWwD/?symbol=ilmn" TargetMode="External" Id="rId213" /><Relationship Type="http://schemas.openxmlformats.org/officeDocument/2006/relationships/hyperlink" Target="https://www.tradingview.com/chart/Q1c5VWwD/?symbol=infy" TargetMode="External" Id="rId214" /><Relationship Type="http://schemas.openxmlformats.org/officeDocument/2006/relationships/hyperlink" Target="https://www.tradingview.com/chart/Q1c5VWwD/?symbol=ingr" TargetMode="External" Id="rId215" /><Relationship Type="http://schemas.openxmlformats.org/officeDocument/2006/relationships/hyperlink" Target="https://www.tradingview.com/chart/Q1c5VWwD/?symbol=intc" TargetMode="External" Id="rId216" /><Relationship Type="http://schemas.openxmlformats.org/officeDocument/2006/relationships/hyperlink" Target="https://www.tradingview.com/chart/Q1c5VWwD/?symbol=invh" TargetMode="External" Id="rId217" /><Relationship Type="http://schemas.openxmlformats.org/officeDocument/2006/relationships/hyperlink" Target="https://www.tradingview.com/chart/Q1c5VWwD/?symbol=ionq" TargetMode="External" Id="rId218" /><Relationship Type="http://schemas.openxmlformats.org/officeDocument/2006/relationships/hyperlink" Target="https://www.tradingview.com/chart/Q1c5VWwD/?symbol=ions" TargetMode="External" Id="rId219" /><Relationship Type="http://schemas.openxmlformats.org/officeDocument/2006/relationships/hyperlink" Target="https://www.tradingview.com/chart/Q1c5VWwD/?symbol=iova" TargetMode="External" Id="rId220" /><Relationship Type="http://schemas.openxmlformats.org/officeDocument/2006/relationships/hyperlink" Target="https://www.tradingview.com/chart/Q1c5VWwD/?symbol=ip" TargetMode="External" Id="rId221" /><Relationship Type="http://schemas.openxmlformats.org/officeDocument/2006/relationships/hyperlink" Target="https://www.tradingview.com/chart/Q1c5VWwD/?symbol=iren" TargetMode="External" Id="rId222" /><Relationship Type="http://schemas.openxmlformats.org/officeDocument/2006/relationships/hyperlink" Target="https://www.tradingview.com/chart/Q1c5VWwD/?symbol=isrg" TargetMode="External" Id="rId223" /><Relationship Type="http://schemas.openxmlformats.org/officeDocument/2006/relationships/hyperlink" Target="https://www.tradingview.com/chart/Q1c5VWwD/?symbol=j" TargetMode="External" Id="rId224" /><Relationship Type="http://schemas.openxmlformats.org/officeDocument/2006/relationships/hyperlink" Target="https://www.tradingview.com/chart/Q1c5VWwD/?symbol=jbht" TargetMode="External" Id="rId225" /><Relationship Type="http://schemas.openxmlformats.org/officeDocument/2006/relationships/hyperlink" Target="https://www.tradingview.com/chart/Q1c5VWwD/?symbol=jbl" TargetMode="External" Id="rId226" /><Relationship Type="http://schemas.openxmlformats.org/officeDocument/2006/relationships/hyperlink" Target="https://www.tradingview.com/chart/Q1c5VWwD/?symbol=jci" TargetMode="External" Id="rId227" /><Relationship Type="http://schemas.openxmlformats.org/officeDocument/2006/relationships/hyperlink" Target="https://www.tradingview.com/chart/Q1c5VWwD/?symbol=jef" TargetMode="External" Id="rId228" /><Relationship Type="http://schemas.openxmlformats.org/officeDocument/2006/relationships/hyperlink" Target="https://www.tradingview.com/chart/Q1c5VWwD/?symbol=jll" TargetMode="External" Id="rId229" /><Relationship Type="http://schemas.openxmlformats.org/officeDocument/2006/relationships/hyperlink" Target="https://www.tradingview.com/chart/Q1c5VWwD/?symbol=jnj" TargetMode="External" Id="rId230" /><Relationship Type="http://schemas.openxmlformats.org/officeDocument/2006/relationships/hyperlink" Target="https://www.tradingview.com/chart/Q1c5VWwD/?symbol=jpm" TargetMode="External" Id="rId231" /><Relationship Type="http://schemas.openxmlformats.org/officeDocument/2006/relationships/hyperlink" Target="https://www.tradingview.com/chart/Q1c5VWwD/?symbol=kalu" TargetMode="External" Id="rId232" /><Relationship Type="http://schemas.openxmlformats.org/officeDocument/2006/relationships/hyperlink" Target="https://www.tradingview.com/chart/Q1c5VWwD/?symbol=kdp" TargetMode="External" Id="rId233" /><Relationship Type="http://schemas.openxmlformats.org/officeDocument/2006/relationships/hyperlink" Target="https://www.tradingview.com/chart/Q1c5VWwD/?symbol=kgc" TargetMode="External" Id="rId234" /><Relationship Type="http://schemas.openxmlformats.org/officeDocument/2006/relationships/hyperlink" Target="https://www.tradingview.com/chart/Q1c5VWwD/?symbol=khc" TargetMode="External" Id="rId235" /><Relationship Type="http://schemas.openxmlformats.org/officeDocument/2006/relationships/hyperlink" Target="https://www.tradingview.com/chart/Q1c5VWwD/?symbol=kim" TargetMode="External" Id="rId236" /><Relationship Type="http://schemas.openxmlformats.org/officeDocument/2006/relationships/hyperlink" Target="https://www.tradingview.com/chart/Q1c5VWwD/?symbol=kkr" TargetMode="External" Id="rId237" /><Relationship Type="http://schemas.openxmlformats.org/officeDocument/2006/relationships/hyperlink" Target="https://www.tradingview.com/chart/Q1c5VWwD/?symbol=klac" TargetMode="External" Id="rId238" /><Relationship Type="http://schemas.openxmlformats.org/officeDocument/2006/relationships/hyperlink" Target="https://www.tradingview.com/chart/Q1c5VWwD/?symbol=kmb" TargetMode="External" Id="rId239" /><Relationship Type="http://schemas.openxmlformats.org/officeDocument/2006/relationships/hyperlink" Target="https://www.tradingview.com/chart/Q1c5VWwD/?symbol=kmi" TargetMode="External" Id="rId240" /><Relationship Type="http://schemas.openxmlformats.org/officeDocument/2006/relationships/hyperlink" Target="https://www.tradingview.com/chart/Q1c5VWwD/?symbol=ko" TargetMode="External" Id="rId241" /><Relationship Type="http://schemas.openxmlformats.org/officeDocument/2006/relationships/hyperlink" Target="https://www.tradingview.com/chart/Q1c5VWwD/?symbol=kr" TargetMode="External" Id="rId242" /><Relationship Type="http://schemas.openxmlformats.org/officeDocument/2006/relationships/hyperlink" Target="https://www.tradingview.com/chart/Q1c5VWwD/?symbol=ktos" TargetMode="External" Id="rId243" /><Relationship Type="http://schemas.openxmlformats.org/officeDocument/2006/relationships/hyperlink" Target="https://www.tradingview.com/chart/Q1c5VWwD/?symbol=lamr" TargetMode="External" Id="rId244" /><Relationship Type="http://schemas.openxmlformats.org/officeDocument/2006/relationships/hyperlink" Target="https://www.tradingview.com/chart/Q1c5VWwD/?symbol=laz" TargetMode="External" Id="rId245" /><Relationship Type="http://schemas.openxmlformats.org/officeDocument/2006/relationships/hyperlink" Target="https://www.tradingview.com/chart/Q1c5VWwD/?symbol=lcid" TargetMode="External" Id="rId246" /><Relationship Type="http://schemas.openxmlformats.org/officeDocument/2006/relationships/hyperlink" Target="https://www.tradingview.com/chart/Q1c5VWwD/?symbol=lea" TargetMode="External" Id="rId247" /><Relationship Type="http://schemas.openxmlformats.org/officeDocument/2006/relationships/hyperlink" Target="https://www.tradingview.com/chart/Q1c5VWwD/?symbol=legn" TargetMode="External" Id="rId248" /><Relationship Type="http://schemas.openxmlformats.org/officeDocument/2006/relationships/hyperlink" Target="https://www.tradingview.com/chart/Q1c5VWwD/?symbol=len" TargetMode="External" Id="rId249" /><Relationship Type="http://schemas.openxmlformats.org/officeDocument/2006/relationships/hyperlink" Target="https://www.tradingview.com/chart/Q1c5VWwD/?symbol=leu" TargetMode="External" Id="rId250" /><Relationship Type="http://schemas.openxmlformats.org/officeDocument/2006/relationships/hyperlink" Target="https://www.tradingview.com/chart/Q1c5VWwD/?symbol=lhx" TargetMode="External" Id="rId251" /><Relationship Type="http://schemas.openxmlformats.org/officeDocument/2006/relationships/hyperlink" Target="https://www.tradingview.com/chart/Q1c5VWwD/?symbol=lii" TargetMode="External" Id="rId252" /><Relationship Type="http://schemas.openxmlformats.org/officeDocument/2006/relationships/hyperlink" Target="https://www.tradingview.com/chart/Q1c5VWwD/?symbol=lin" TargetMode="External" Id="rId253" /><Relationship Type="http://schemas.openxmlformats.org/officeDocument/2006/relationships/hyperlink" Target="https://www.tradingview.com/chart/Q1c5VWwD/?symbol=lite" TargetMode="External" Id="rId254" /><Relationship Type="http://schemas.openxmlformats.org/officeDocument/2006/relationships/hyperlink" Target="https://www.tradingview.com/chart/Q1c5VWwD/?symbol=lly" TargetMode="External" Id="rId255" /><Relationship Type="http://schemas.openxmlformats.org/officeDocument/2006/relationships/hyperlink" Target="https://www.tradingview.com/chart/Q1c5VWwD/?symbol=lmt" TargetMode="External" Id="rId256" /><Relationship Type="http://schemas.openxmlformats.org/officeDocument/2006/relationships/hyperlink" Target="https://www.tradingview.com/chart/Q1c5VWwD/?symbol=lnc" TargetMode="External" Id="rId257" /><Relationship Type="http://schemas.openxmlformats.org/officeDocument/2006/relationships/hyperlink" Target="https://www.tradingview.com/chart/Q1c5VWwD/?symbol=lng" TargetMode="External" Id="rId258" /><Relationship Type="http://schemas.openxmlformats.org/officeDocument/2006/relationships/hyperlink" Target="https://www.tradingview.com/chart/Q1c5VWwD/?symbol=low" TargetMode="External" Id="rId259" /><Relationship Type="http://schemas.openxmlformats.org/officeDocument/2006/relationships/hyperlink" Target="https://www.tradingview.com/chart/Q1c5VWwD/?symbol=lrcx" TargetMode="External" Id="rId260" /><Relationship Type="http://schemas.openxmlformats.org/officeDocument/2006/relationships/hyperlink" Target="https://www.tradingview.com/chart/Q1c5VWwD/?symbol=lrn" TargetMode="External" Id="rId261" /><Relationship Type="http://schemas.openxmlformats.org/officeDocument/2006/relationships/hyperlink" Target="https://www.tradingview.com/chart/Q1c5VWwD/?symbol=lulu" TargetMode="External" Id="rId262" /><Relationship Type="http://schemas.openxmlformats.org/officeDocument/2006/relationships/hyperlink" Target="https://www.tradingview.com/chart/Q1c5VWwD/?symbol=lunr" TargetMode="External" Id="rId263" /><Relationship Type="http://schemas.openxmlformats.org/officeDocument/2006/relationships/hyperlink" Target="https://www.tradingview.com/chart/Q1c5VWwD/?symbol=luv" TargetMode="External" Id="rId264" /><Relationship Type="http://schemas.openxmlformats.org/officeDocument/2006/relationships/hyperlink" Target="https://www.tradingview.com/chart/Q1c5VWwD/?symbol=lvs" TargetMode="External" Id="rId265" /><Relationship Type="http://schemas.openxmlformats.org/officeDocument/2006/relationships/hyperlink" Target="https://www.tradingview.com/chart/Q1c5VWwD/?symbol=lyb" TargetMode="External" Id="rId266" /><Relationship Type="http://schemas.openxmlformats.org/officeDocument/2006/relationships/hyperlink" Target="https://www.tradingview.com/chart/Q1c5VWwD/?symbol=lyv" TargetMode="External" Id="rId267" /><Relationship Type="http://schemas.openxmlformats.org/officeDocument/2006/relationships/hyperlink" Target="https://www.tradingview.com/chart/Q1c5VWwD/?symbol=ma" TargetMode="External" Id="rId268" /><Relationship Type="http://schemas.openxmlformats.org/officeDocument/2006/relationships/hyperlink" Target="https://www.tradingview.com/chart/Q1c5VWwD/?symbol=maa" TargetMode="External" Id="rId269" /><Relationship Type="http://schemas.openxmlformats.org/officeDocument/2006/relationships/hyperlink" Target="https://www.tradingview.com/chart/Q1c5VWwD/?symbol=man" TargetMode="External" Id="rId270" /><Relationship Type="http://schemas.openxmlformats.org/officeDocument/2006/relationships/hyperlink" Target="https://www.tradingview.com/chart/Q1c5VWwD/?symbol=mar" TargetMode="External" Id="rId271" /><Relationship Type="http://schemas.openxmlformats.org/officeDocument/2006/relationships/hyperlink" Target="https://www.tradingview.com/chart/Q1c5VWwD/?symbol=mara" TargetMode="External" Id="rId272" /><Relationship Type="http://schemas.openxmlformats.org/officeDocument/2006/relationships/hyperlink" Target="https://www.tradingview.com/chart/Q1c5VWwD/?symbol=mcd" TargetMode="External" Id="rId273" /><Relationship Type="http://schemas.openxmlformats.org/officeDocument/2006/relationships/hyperlink" Target="https://www.tradingview.com/chart/Q1c5VWwD/?symbol=mck" TargetMode="External" Id="rId274" /><Relationship Type="http://schemas.openxmlformats.org/officeDocument/2006/relationships/hyperlink" Target="https://www.tradingview.com/chart/Q1c5VWwD/?symbol=mdb" TargetMode="External" Id="rId275" /><Relationship Type="http://schemas.openxmlformats.org/officeDocument/2006/relationships/hyperlink" Target="https://www.tradingview.com/chart/Q1c5VWwD/?symbol=mdgl" TargetMode="External" Id="rId276" /><Relationship Type="http://schemas.openxmlformats.org/officeDocument/2006/relationships/hyperlink" Target="https://www.tradingview.com/chart/Q1c5VWwD/?symbol=mdt" TargetMode="External" Id="rId277" /><Relationship Type="http://schemas.openxmlformats.org/officeDocument/2006/relationships/hyperlink" Target="https://www.tradingview.com/chart/Q1c5VWwD/?symbol=met" TargetMode="External" Id="rId278" /><Relationship Type="http://schemas.openxmlformats.org/officeDocument/2006/relationships/hyperlink" Target="https://www.tradingview.com/chart/Q1c5VWwD/?symbol=meta" TargetMode="External" Id="rId279" /><Relationship Type="http://schemas.openxmlformats.org/officeDocument/2006/relationships/hyperlink" Target="https://www.tradingview.com/chart/Q1c5VWwD/?symbol=metc" TargetMode="External" Id="rId280" /><Relationship Type="http://schemas.openxmlformats.org/officeDocument/2006/relationships/hyperlink" Target="https://www.tradingview.com/chart/Q1c5VWwD/?symbol=mga" TargetMode="External" Id="rId281" /><Relationship Type="http://schemas.openxmlformats.org/officeDocument/2006/relationships/hyperlink" Target="https://www.tradingview.com/chart/Q1c5VWwD/?symbol=mgm" TargetMode="External" Id="rId282" /><Relationship Type="http://schemas.openxmlformats.org/officeDocument/2006/relationships/hyperlink" Target="https://www.tradingview.com/chart/Q1c5VWwD/?symbol=mhk" TargetMode="External" Id="rId283" /><Relationship Type="http://schemas.openxmlformats.org/officeDocument/2006/relationships/hyperlink" Target="https://www.tradingview.com/chart/Q1c5VWwD/?symbol=mlm" TargetMode="External" Id="rId284" /><Relationship Type="http://schemas.openxmlformats.org/officeDocument/2006/relationships/hyperlink" Target="https://www.tradingview.com/chart/Q1c5VWwD/?symbol=mnst" TargetMode="External" Id="rId285" /><Relationship Type="http://schemas.openxmlformats.org/officeDocument/2006/relationships/hyperlink" Target="https://www.tradingview.com/chart/Q1c5VWwD/?symbol=mo" TargetMode="External" Id="rId286" /><Relationship Type="http://schemas.openxmlformats.org/officeDocument/2006/relationships/hyperlink" Target="https://www.tradingview.com/chart/Q1c5VWwD/?symbol=mod" TargetMode="External" Id="rId287" /><Relationship Type="http://schemas.openxmlformats.org/officeDocument/2006/relationships/hyperlink" Target="https://www.tradingview.com/chart/Q1c5VWwD/?symbol=mos" TargetMode="External" Id="rId288" /><Relationship Type="http://schemas.openxmlformats.org/officeDocument/2006/relationships/hyperlink" Target="https://www.tradingview.com/chart/Q1c5VWwD/?symbol=mp" TargetMode="External" Id="rId289" /><Relationship Type="http://schemas.openxmlformats.org/officeDocument/2006/relationships/hyperlink" Target="https://www.tradingview.com/chart/Q1c5VWwD/?symbol=mpc" TargetMode="External" Id="rId290" /><Relationship Type="http://schemas.openxmlformats.org/officeDocument/2006/relationships/hyperlink" Target="https://www.tradingview.com/chart/Q1c5VWwD/?symbol=mpwr" TargetMode="External" Id="rId291" /><Relationship Type="http://schemas.openxmlformats.org/officeDocument/2006/relationships/hyperlink" Target="https://www.tradingview.com/chart/Q1c5VWwD/?symbol=mrk" TargetMode="External" Id="rId292" /><Relationship Type="http://schemas.openxmlformats.org/officeDocument/2006/relationships/hyperlink" Target="https://www.tradingview.com/chart/Q1c5VWwD/?symbol=mrvl" TargetMode="External" Id="rId293" /><Relationship Type="http://schemas.openxmlformats.org/officeDocument/2006/relationships/hyperlink" Target="https://www.tradingview.com/chart/Q1c5VWwD/?symbol=ms" TargetMode="External" Id="rId294" /><Relationship Type="http://schemas.openxmlformats.org/officeDocument/2006/relationships/hyperlink" Target="https://www.tradingview.com/chart/Q1c5VWwD/?symbol=msft" TargetMode="External" Id="rId295" /><Relationship Type="http://schemas.openxmlformats.org/officeDocument/2006/relationships/hyperlink" Target="https://www.tradingview.com/chart/Q1c5VWwD/?symbol=mtb" TargetMode="External" Id="rId296" /><Relationship Type="http://schemas.openxmlformats.org/officeDocument/2006/relationships/hyperlink" Target="https://www.tradingview.com/chart/Q1c5VWwD/?symbol=mtch" TargetMode="External" Id="rId297" /><Relationship Type="http://schemas.openxmlformats.org/officeDocument/2006/relationships/hyperlink" Target="https://www.tradingview.com/chart/Q1c5VWwD/?symbol=mtz" TargetMode="External" Id="rId298" /><Relationship Type="http://schemas.openxmlformats.org/officeDocument/2006/relationships/hyperlink" Target="https://www.tradingview.com/chart/Q1c5VWwD/?symbol=mu" TargetMode="External" Id="rId299" /><Relationship Type="http://schemas.openxmlformats.org/officeDocument/2006/relationships/hyperlink" Target="https://www.tradingview.com/chart/Q1c5VWwD/?symbol=nb" TargetMode="External" Id="rId300" /><Relationship Type="http://schemas.openxmlformats.org/officeDocument/2006/relationships/hyperlink" Target="https://www.tradingview.com/chart/Q1c5VWwD/?symbol=nbis" TargetMode="External" Id="rId301" /><Relationship Type="http://schemas.openxmlformats.org/officeDocument/2006/relationships/hyperlink" Target="https://www.tradingview.com/chart/Q1c5VWwD/?symbol=nclh" TargetMode="External" Id="rId302" /><Relationship Type="http://schemas.openxmlformats.org/officeDocument/2006/relationships/hyperlink" Target="https://www.tradingview.com/chart/Q1c5VWwD/?symbol=ndaq" TargetMode="External" Id="rId303" /><Relationship Type="http://schemas.openxmlformats.org/officeDocument/2006/relationships/hyperlink" Target="https://www.tradingview.com/chart/Q1c5VWwD/?symbol=ndsn" TargetMode="External" Id="rId304" /><Relationship Type="http://schemas.openxmlformats.org/officeDocument/2006/relationships/hyperlink" Target="https://www.tradingview.com/chart/Q1c5VWwD/?symbol=ne" TargetMode="External" Id="rId305" /><Relationship Type="http://schemas.openxmlformats.org/officeDocument/2006/relationships/hyperlink" Target="https://www.tradingview.com/chart/Q1c5VWwD/?symbol=nee" TargetMode="External" Id="rId306" /><Relationship Type="http://schemas.openxmlformats.org/officeDocument/2006/relationships/hyperlink" Target="https://www.tradingview.com/chart/Q1c5VWwD/?symbol=nem" TargetMode="External" Id="rId307" /><Relationship Type="http://schemas.openxmlformats.org/officeDocument/2006/relationships/hyperlink" Target="https://www.tradingview.com/chart/Q1c5VWwD/?symbol=nfe" TargetMode="External" Id="rId308" /><Relationship Type="http://schemas.openxmlformats.org/officeDocument/2006/relationships/hyperlink" Target="https://www.tradingview.com/chart/Q1c5VWwD/?symbol=nflx" TargetMode="External" Id="rId309" /><Relationship Type="http://schemas.openxmlformats.org/officeDocument/2006/relationships/hyperlink" Target="https://www.tradingview.com/chart/Q1c5VWwD/?symbol=ni" TargetMode="External" Id="rId310" /><Relationship Type="http://schemas.openxmlformats.org/officeDocument/2006/relationships/hyperlink" Target="https://www.tradingview.com/chart/Q1c5VWwD/?symbol=njr" TargetMode="External" Id="rId311" /><Relationship Type="http://schemas.openxmlformats.org/officeDocument/2006/relationships/hyperlink" Target="https://www.tradingview.com/chart/Q1c5VWwD/?symbol=nke" TargetMode="External" Id="rId312" /><Relationship Type="http://schemas.openxmlformats.org/officeDocument/2006/relationships/hyperlink" Target="https://www.tradingview.com/chart/Q1c5VWwD/?symbol=nktx" TargetMode="External" Id="rId313" /><Relationship Type="http://schemas.openxmlformats.org/officeDocument/2006/relationships/hyperlink" Target="https://www.tradingview.com/chart/Q1c5VWwD/?symbol=nne" TargetMode="External" Id="rId314" /><Relationship Type="http://schemas.openxmlformats.org/officeDocument/2006/relationships/hyperlink" Target="https://www.tradingview.com/chart/Q1c5VWwD/?symbol=noc" TargetMode="External" Id="rId315" /><Relationship Type="http://schemas.openxmlformats.org/officeDocument/2006/relationships/hyperlink" Target="https://www.tradingview.com/chart/Q1c5VWwD/?symbol=now" TargetMode="External" Id="rId316" /><Relationship Type="http://schemas.openxmlformats.org/officeDocument/2006/relationships/hyperlink" Target="https://www.tradingview.com/chart/Q1c5VWwD/?symbol=nrg" TargetMode="External" Id="rId317" /><Relationship Type="http://schemas.openxmlformats.org/officeDocument/2006/relationships/hyperlink" Target="https://www.tradingview.com/chart/Q1c5VWwD/?symbol=nsc" TargetMode="External" Id="rId318" /><Relationship Type="http://schemas.openxmlformats.org/officeDocument/2006/relationships/hyperlink" Target="https://www.tradingview.com/chart/Q1c5VWwD/?symbol=ntla" TargetMode="External" Id="rId319" /><Relationship Type="http://schemas.openxmlformats.org/officeDocument/2006/relationships/hyperlink" Target="https://www.tradingview.com/chart/Q1c5VWwD/?symbol=ntr" TargetMode="External" Id="rId320" /><Relationship Type="http://schemas.openxmlformats.org/officeDocument/2006/relationships/hyperlink" Target="https://www.tradingview.com/chart/Q1c5VWwD/?symbol=nue" TargetMode="External" Id="rId321" /><Relationship Type="http://schemas.openxmlformats.org/officeDocument/2006/relationships/hyperlink" Target="https://www.tradingview.com/chart/Q1c5VWwD/?symbol=nvda" TargetMode="External" Id="rId322" /><Relationship Type="http://schemas.openxmlformats.org/officeDocument/2006/relationships/hyperlink" Target="https://www.tradingview.com/chart/Q1c5VWwD/?symbol=nvo" TargetMode="External" Id="rId323" /><Relationship Type="http://schemas.openxmlformats.org/officeDocument/2006/relationships/hyperlink" Target="https://www.tradingview.com/chart/Q1c5VWwD/?symbol=nvr" TargetMode="External" Id="rId324" /><Relationship Type="http://schemas.openxmlformats.org/officeDocument/2006/relationships/hyperlink" Target="https://www.tradingview.com/chart/Q1c5VWwD/?symbol=nwsa" TargetMode="External" Id="rId325" /><Relationship Type="http://schemas.openxmlformats.org/officeDocument/2006/relationships/hyperlink" Target="https://www.tradingview.com/chart/Q1c5VWwD/?symbol=nxpi" TargetMode="External" Id="rId326" /><Relationship Type="http://schemas.openxmlformats.org/officeDocument/2006/relationships/hyperlink" Target="https://www.tradingview.com/chart/Q1c5VWwD/?symbol=nxt" TargetMode="External" Id="rId327" /><Relationship Type="http://schemas.openxmlformats.org/officeDocument/2006/relationships/hyperlink" Target="https://www.tradingview.com/chart/Q1c5VWwD/?symbol=o" TargetMode="External" Id="rId328" /><Relationship Type="http://schemas.openxmlformats.org/officeDocument/2006/relationships/hyperlink" Target="https://www.tradingview.com/chart/Q1c5VWwD/?symbol=odfl" TargetMode="External" Id="rId329" /><Relationship Type="http://schemas.openxmlformats.org/officeDocument/2006/relationships/hyperlink" Target="https://www.tradingview.com/chart/Q1c5VWwD/?symbol=ohi" TargetMode="External" Id="rId330" /><Relationship Type="http://schemas.openxmlformats.org/officeDocument/2006/relationships/hyperlink" Target="https://www.tradingview.com/chart/Q1c5VWwD/?symbol=oke" TargetMode="External" Id="rId331" /><Relationship Type="http://schemas.openxmlformats.org/officeDocument/2006/relationships/hyperlink" Target="https://www.tradingview.com/chart/Q1c5VWwD/?symbol=oklo" TargetMode="External" Id="rId332" /><Relationship Type="http://schemas.openxmlformats.org/officeDocument/2006/relationships/hyperlink" Target="https://www.tradingview.com/chart/Q1c5VWwD/?symbol=on" TargetMode="External" Id="rId333" /><Relationship Type="http://schemas.openxmlformats.org/officeDocument/2006/relationships/hyperlink" Target="https://www.tradingview.com/chart/Q1c5VWwD/?symbol=onds" TargetMode="External" Id="rId334" /><Relationship Type="http://schemas.openxmlformats.org/officeDocument/2006/relationships/hyperlink" Target="https://www.tradingview.com/chart/Q1c5VWwD/?symbol=onon" TargetMode="External" Id="rId335" /><Relationship Type="http://schemas.openxmlformats.org/officeDocument/2006/relationships/hyperlink" Target="https://www.tradingview.com/chart/Q1c5VWwD/?symbol=open" TargetMode="External" Id="rId336" /><Relationship Type="http://schemas.openxmlformats.org/officeDocument/2006/relationships/hyperlink" Target="https://www.tradingview.com/chart/Q1c5VWwD/?symbol=oscr" TargetMode="External" Id="rId337" /><Relationship Type="http://schemas.openxmlformats.org/officeDocument/2006/relationships/hyperlink" Target="https://www.tradingview.com/chart/Q1c5VWwD/?symbol=owl" TargetMode="External" Id="rId338" /><Relationship Type="http://schemas.openxmlformats.org/officeDocument/2006/relationships/hyperlink" Target="https://www.tradingview.com/chart/Q1c5VWwD/?symbol=oxy" TargetMode="External" Id="rId339" /><Relationship Type="http://schemas.openxmlformats.org/officeDocument/2006/relationships/hyperlink" Target="https://www.tradingview.com/chart/Q1c5VWwD/?symbol=paas" TargetMode="External" Id="rId340" /><Relationship Type="http://schemas.openxmlformats.org/officeDocument/2006/relationships/hyperlink" Target="https://www.tradingview.com/chart/Q1c5VWwD/?symbol=panw" TargetMode="External" Id="rId341" /><Relationship Type="http://schemas.openxmlformats.org/officeDocument/2006/relationships/hyperlink" Target="https://www.tradingview.com/chart/Q1c5VWwD/?symbol=para" TargetMode="External" Id="rId342" /><Relationship Type="http://schemas.openxmlformats.org/officeDocument/2006/relationships/hyperlink" Target="https://www.tradingview.com/chart/Q1c5VWwD/?symbol=payx" TargetMode="External" Id="rId343" /><Relationship Type="http://schemas.openxmlformats.org/officeDocument/2006/relationships/hyperlink" Target="https://www.tradingview.com/chart/Q1c5VWwD/?symbol=pbf" TargetMode="External" Id="rId344" /><Relationship Type="http://schemas.openxmlformats.org/officeDocument/2006/relationships/hyperlink" Target="https://www.tradingview.com/chart/Q1c5VWwD/?symbol=pcar" TargetMode="External" Id="rId345" /><Relationship Type="http://schemas.openxmlformats.org/officeDocument/2006/relationships/hyperlink" Target="https://www.tradingview.com/chart/Q1c5VWwD/?symbol=pep" TargetMode="External" Id="rId346" /><Relationship Type="http://schemas.openxmlformats.org/officeDocument/2006/relationships/hyperlink" Target="https://www.tradingview.com/chart/Q1c5VWwD/?symbol=pfe" TargetMode="External" Id="rId347" /><Relationship Type="http://schemas.openxmlformats.org/officeDocument/2006/relationships/hyperlink" Target="https://www.tradingview.com/chart/Q1c5VWwD/?symbol=pfgc" TargetMode="External" Id="rId348" /><Relationship Type="http://schemas.openxmlformats.org/officeDocument/2006/relationships/hyperlink" Target="https://www.tradingview.com/chart/Q1c5VWwD/?symbol=pg" TargetMode="External" Id="rId349" /><Relationship Type="http://schemas.openxmlformats.org/officeDocument/2006/relationships/hyperlink" Target="https://www.tradingview.com/chart/Q1c5VWwD/?symbol=pgr" TargetMode="External" Id="rId350" /><Relationship Type="http://schemas.openxmlformats.org/officeDocument/2006/relationships/hyperlink" Target="https://www.tradingview.com/chart/Q1c5VWwD/?symbol=phm" TargetMode="External" Id="rId351" /><Relationship Type="http://schemas.openxmlformats.org/officeDocument/2006/relationships/hyperlink" Target="https://www.tradingview.com/chart/Q1c5VWwD/?symbol=pins" TargetMode="External" Id="rId352" /><Relationship Type="http://schemas.openxmlformats.org/officeDocument/2006/relationships/hyperlink" Target="https://www.tradingview.com/chart/Q1c5VWwD/?symbol=pkg" TargetMode="External" Id="rId353" /><Relationship Type="http://schemas.openxmlformats.org/officeDocument/2006/relationships/hyperlink" Target="https://www.tradingview.com/chart/Q1c5VWwD/?symbol=pl" TargetMode="External" Id="rId354" /><Relationship Type="http://schemas.openxmlformats.org/officeDocument/2006/relationships/hyperlink" Target="https://www.tradingview.com/chart/Q1c5VWwD/?symbol=pld" TargetMode="External" Id="rId355" /><Relationship Type="http://schemas.openxmlformats.org/officeDocument/2006/relationships/hyperlink" Target="https://www.tradingview.com/chart/Q1c5VWwD/?symbol=pltk" TargetMode="External" Id="rId356" /><Relationship Type="http://schemas.openxmlformats.org/officeDocument/2006/relationships/hyperlink" Target="https://www.tradingview.com/chart/Q1c5VWwD/?symbol=pltr" TargetMode="External" Id="rId357" /><Relationship Type="http://schemas.openxmlformats.org/officeDocument/2006/relationships/hyperlink" Target="https://www.tradingview.com/chart/Q1c5VWwD/?symbol=pm" TargetMode="External" Id="rId358" /><Relationship Type="http://schemas.openxmlformats.org/officeDocument/2006/relationships/hyperlink" Target="https://www.tradingview.com/chart/Q1c5VWwD/?symbol=pnc" TargetMode="External" Id="rId359" /><Relationship Type="http://schemas.openxmlformats.org/officeDocument/2006/relationships/hyperlink" Target="https://www.tradingview.com/chart/Q1c5VWwD/?symbol=poet" TargetMode="External" Id="rId360" /><Relationship Type="http://schemas.openxmlformats.org/officeDocument/2006/relationships/hyperlink" Target="https://www.tradingview.com/chart/Q1c5VWwD/?symbol=pool" TargetMode="External" Id="rId361" /><Relationship Type="http://schemas.openxmlformats.org/officeDocument/2006/relationships/hyperlink" Target="https://www.tradingview.com/chart/Q1c5VWwD/?symbol=prim" TargetMode="External" Id="rId362" /><Relationship Type="http://schemas.openxmlformats.org/officeDocument/2006/relationships/hyperlink" Target="https://www.tradingview.com/chart/Q1c5VWwD/?symbol=pru" TargetMode="External" Id="rId363" /><Relationship Type="http://schemas.openxmlformats.org/officeDocument/2006/relationships/hyperlink" Target="https://www.tradingview.com/chart/Q1c5VWwD/?symbol=psa" TargetMode="External" Id="rId364" /><Relationship Type="http://schemas.openxmlformats.org/officeDocument/2006/relationships/hyperlink" Target="https://www.tradingview.com/chart/Q1c5VWwD/?symbol=psx" TargetMode="External" Id="rId365" /><Relationship Type="http://schemas.openxmlformats.org/officeDocument/2006/relationships/hyperlink" Target="https://www.tradingview.com/chart/Q1c5VWwD/?symbol=pwr" TargetMode="External" Id="rId366" /><Relationship Type="http://schemas.openxmlformats.org/officeDocument/2006/relationships/hyperlink" Target="https://www.tradingview.com/chart/Q1c5VWwD/?symbol=pypl" TargetMode="External" Id="rId367" /><Relationship Type="http://schemas.openxmlformats.org/officeDocument/2006/relationships/hyperlink" Target="https://www.tradingview.com/chart/Q1c5VWwD/?symbol=qbts" TargetMode="External" Id="rId368" /><Relationship Type="http://schemas.openxmlformats.org/officeDocument/2006/relationships/hyperlink" Target="https://www.tradingview.com/chart/Q1c5VWwD/?symbol=qubt" TargetMode="External" Id="rId369" /><Relationship Type="http://schemas.openxmlformats.org/officeDocument/2006/relationships/hyperlink" Target="https://www.tradingview.com/chart/Q1c5VWwD/?symbol=rblx" TargetMode="External" Id="rId370" /><Relationship Type="http://schemas.openxmlformats.org/officeDocument/2006/relationships/hyperlink" Target="https://www.tradingview.com/chart/Q1c5VWwD/?symbol=rcat" TargetMode="External" Id="rId371" /><Relationship Type="http://schemas.openxmlformats.org/officeDocument/2006/relationships/hyperlink" Target="https://www.tradingview.com/chart/Q1c5VWwD/?symbol=rcl" TargetMode="External" Id="rId372" /><Relationship Type="http://schemas.openxmlformats.org/officeDocument/2006/relationships/hyperlink" Target="https://www.tradingview.com/chart/Q1c5VWwD/?symbol=rddt" TargetMode="External" Id="rId373" /><Relationship Type="http://schemas.openxmlformats.org/officeDocument/2006/relationships/hyperlink" Target="https://www.tradingview.com/chart/Q1c5VWwD/?symbol=rdw" TargetMode="External" Id="rId374" /><Relationship Type="http://schemas.openxmlformats.org/officeDocument/2006/relationships/hyperlink" Target="https://www.tradingview.com/chart/Q1c5VWwD/?symbol=reg" TargetMode="External" Id="rId375" /><Relationship Type="http://schemas.openxmlformats.org/officeDocument/2006/relationships/hyperlink" Target="https://www.tradingview.com/chart/Q1c5VWwD/?symbol=regn" TargetMode="External" Id="rId376" /><Relationship Type="http://schemas.openxmlformats.org/officeDocument/2006/relationships/hyperlink" Target="https://www.tradingview.com/chart/Q1c5VWwD/?symbol=rgld" TargetMode="External" Id="rId377" /><Relationship Type="http://schemas.openxmlformats.org/officeDocument/2006/relationships/hyperlink" Target="https://www.tradingview.com/chart/Q1c5VWwD/?symbol=rgti" TargetMode="External" Id="rId378" /><Relationship Type="http://schemas.openxmlformats.org/officeDocument/2006/relationships/hyperlink" Target="https://www.tradingview.com/chart/Q1c5VWwD/?symbol=rhi" TargetMode="External" Id="rId379" /><Relationship Type="http://schemas.openxmlformats.org/officeDocument/2006/relationships/hyperlink" Target="https://www.tradingview.com/chart/Q1c5VWwD/?symbol=rig" TargetMode="External" Id="rId380" /><Relationship Type="http://schemas.openxmlformats.org/officeDocument/2006/relationships/hyperlink" Target="https://www.tradingview.com/chart/Q1c5VWwD/?symbol=riot" TargetMode="External" Id="rId381" /><Relationship Type="http://schemas.openxmlformats.org/officeDocument/2006/relationships/hyperlink" Target="https://www.tradingview.com/chart/Q1c5VWwD/?symbol=rivn" TargetMode="External" Id="rId382" /><Relationship Type="http://schemas.openxmlformats.org/officeDocument/2006/relationships/hyperlink" Target="https://www.tradingview.com/chart/Q1c5VWwD/?symbol=rklb" TargetMode="External" Id="rId383" /><Relationship Type="http://schemas.openxmlformats.org/officeDocument/2006/relationships/hyperlink" Target="https://www.tradingview.com/chart/Q1c5VWwD/?symbol=rl" TargetMode="External" Id="rId384" /><Relationship Type="http://schemas.openxmlformats.org/officeDocument/2006/relationships/hyperlink" Target="https://www.tradingview.com/chart/Q1c5VWwD/?symbol=rnr" TargetMode="External" Id="rId385" /><Relationship Type="http://schemas.openxmlformats.org/officeDocument/2006/relationships/hyperlink" Target="https://www.tradingview.com/chart/Q1c5VWwD/?symbol=rok" TargetMode="External" Id="rId386" /><Relationship Type="http://schemas.openxmlformats.org/officeDocument/2006/relationships/hyperlink" Target="https://www.tradingview.com/chart/Q1c5VWwD/?symbol=roku" TargetMode="External" Id="rId387" /><Relationship Type="http://schemas.openxmlformats.org/officeDocument/2006/relationships/hyperlink" Target="https://www.tradingview.com/chart/Q1c5VWwD/?symbol=rost" TargetMode="External" Id="rId388" /><Relationship Type="http://schemas.openxmlformats.org/officeDocument/2006/relationships/hyperlink" Target="https://www.tradingview.com/chart/Q1c5VWwD/?symbol=rs" TargetMode="External" Id="rId389" /><Relationship Type="http://schemas.openxmlformats.org/officeDocument/2006/relationships/hyperlink" Target="https://www.tradingview.com/chart/Q1c5VWwD/?symbol=rsg" TargetMode="External" Id="rId390" /><Relationship Type="http://schemas.openxmlformats.org/officeDocument/2006/relationships/hyperlink" Target="https://www.tradingview.com/chart/Q1c5VWwD/?symbol=rtx" TargetMode="External" Id="rId391" /><Relationship Type="http://schemas.openxmlformats.org/officeDocument/2006/relationships/hyperlink" Target="https://www.tradingview.com/chart/Q1c5VWwD/?symbol=run" TargetMode="External" Id="rId392" /><Relationship Type="http://schemas.openxmlformats.org/officeDocument/2006/relationships/hyperlink" Target="https://www.tradingview.com/chart/Q1c5VWwD/?symbol=rvmd" TargetMode="External" Id="rId393" /><Relationship Type="http://schemas.openxmlformats.org/officeDocument/2006/relationships/hyperlink" Target="https://www.tradingview.com/chart/Q1c5VWwD/?symbol=s" TargetMode="External" Id="rId394" /><Relationship Type="http://schemas.openxmlformats.org/officeDocument/2006/relationships/hyperlink" Target="https://www.tradingview.com/chart/Q1c5VWwD/?symbol=sana" TargetMode="External" Id="rId395" /><Relationship Type="http://schemas.openxmlformats.org/officeDocument/2006/relationships/hyperlink" Target="https://www.tradingview.com/chart/Q1c5VWwD/?symbol=sbac" TargetMode="External" Id="rId396" /><Relationship Type="http://schemas.openxmlformats.org/officeDocument/2006/relationships/hyperlink" Target="https://www.tradingview.com/chart/Q1c5VWwD/?symbol=sbux" TargetMode="External" Id="rId397" /><Relationship Type="http://schemas.openxmlformats.org/officeDocument/2006/relationships/hyperlink" Target="https://www.tradingview.com/chart/Q1c5VWwD/?symbol=scco" TargetMode="External" Id="rId398" /><Relationship Type="http://schemas.openxmlformats.org/officeDocument/2006/relationships/hyperlink" Target="https://www.tradingview.com/chart/Q1c5VWwD/?symbol=sci" TargetMode="External" Id="rId399" /><Relationship Type="http://schemas.openxmlformats.org/officeDocument/2006/relationships/hyperlink" Target="https://www.tradingview.com/chart/Q1c5VWwD/?symbol=shop" TargetMode="External" Id="rId400" /><Relationship Type="http://schemas.openxmlformats.org/officeDocument/2006/relationships/hyperlink" Target="https://www.tradingview.com/chart/Q1c5VWwD/?symbol=shw" TargetMode="External" Id="rId401" /><Relationship Type="http://schemas.openxmlformats.org/officeDocument/2006/relationships/hyperlink" Target="https://www.tradingview.com/chart/Q1c5VWwD/?symbol=slb" TargetMode="External" Id="rId402" /><Relationship Type="http://schemas.openxmlformats.org/officeDocument/2006/relationships/hyperlink" Target="https://www.tradingview.com/chart/Q1c5VWwD/?symbol=slg" TargetMode="External" Id="rId403" /><Relationship Type="http://schemas.openxmlformats.org/officeDocument/2006/relationships/hyperlink" Target="https://www.tradingview.com/chart/Q1c5VWwD/?symbol=smci" TargetMode="External" Id="rId404" /><Relationship Type="http://schemas.openxmlformats.org/officeDocument/2006/relationships/hyperlink" Target="https://www.tradingview.com/chart/Q1c5VWwD/?symbol=smr" TargetMode="External" Id="rId405" /><Relationship Type="http://schemas.openxmlformats.org/officeDocument/2006/relationships/hyperlink" Target="https://www.tradingview.com/chart/Q1c5VWwD/?symbol=snap" TargetMode="External" Id="rId406" /><Relationship Type="http://schemas.openxmlformats.org/officeDocument/2006/relationships/hyperlink" Target="https://www.tradingview.com/chart/Q1c5VWwD/?symbol=sndk" TargetMode="External" Id="rId407" /><Relationship Type="http://schemas.openxmlformats.org/officeDocument/2006/relationships/hyperlink" Target="https://www.tradingview.com/chart/Q1c5VWwD/?symbol=snow" TargetMode="External" Id="rId408" /><Relationship Type="http://schemas.openxmlformats.org/officeDocument/2006/relationships/hyperlink" Target="https://www.tradingview.com/chart/Q1c5VWwD/?symbol=snps" TargetMode="External" Id="rId409" /><Relationship Type="http://schemas.openxmlformats.org/officeDocument/2006/relationships/hyperlink" Target="https://www.tradingview.com/chart/Q1c5VWwD/?symbol=so" TargetMode="External" Id="rId410" /><Relationship Type="http://schemas.openxmlformats.org/officeDocument/2006/relationships/hyperlink" Target="https://www.tradingview.com/chart/Q1c5VWwD/?symbol=sofi" TargetMode="External" Id="rId411" /><Relationship Type="http://schemas.openxmlformats.org/officeDocument/2006/relationships/hyperlink" Target="https://www.tradingview.com/chart/Q1c5VWwD/?symbol=spg" TargetMode="External" Id="rId412" /><Relationship Type="http://schemas.openxmlformats.org/officeDocument/2006/relationships/hyperlink" Target="https://www.tradingview.com/chart/Q1c5VWwD/?symbol=spgi" TargetMode="External" Id="rId413" /><Relationship Type="http://schemas.openxmlformats.org/officeDocument/2006/relationships/hyperlink" Target="https://www.tradingview.com/chart/Q1c5VWwD/?symbol=sr" TargetMode="External" Id="rId414" /><Relationship Type="http://schemas.openxmlformats.org/officeDocument/2006/relationships/hyperlink" Target="https://www.tradingview.com/chart/Q1c5VWwD/?symbol=stag" TargetMode="External" Id="rId415" /><Relationship Type="http://schemas.openxmlformats.org/officeDocument/2006/relationships/hyperlink" Target="https://www.tradingview.com/chart/Q1c5VWwD/?symbol=stld" TargetMode="External" Id="rId416" /><Relationship Type="http://schemas.openxmlformats.org/officeDocument/2006/relationships/hyperlink" Target="https://www.tradingview.com/chart/Q1c5VWwD/?symbol=stx" TargetMode="External" Id="rId417" /><Relationship Type="http://schemas.openxmlformats.org/officeDocument/2006/relationships/hyperlink" Target="https://www.tradingview.com/chart/Q1c5VWwD/?symbol=stz" TargetMode="External" Id="rId418" /><Relationship Type="http://schemas.openxmlformats.org/officeDocument/2006/relationships/hyperlink" Target="https://www.tradingview.com/chart/Q1c5VWwD/?symbol=syf" TargetMode="External" Id="rId419" /><Relationship Type="http://schemas.openxmlformats.org/officeDocument/2006/relationships/hyperlink" Target="https://www.tradingview.com/chart/Q1c5VWwD/?symbol=syk" TargetMode="External" Id="rId420" /><Relationship Type="http://schemas.openxmlformats.org/officeDocument/2006/relationships/hyperlink" Target="https://www.tradingview.com/chart/Q1c5VWwD/?symbol=sym" TargetMode="External" Id="rId421" /><Relationship Type="http://schemas.openxmlformats.org/officeDocument/2006/relationships/hyperlink" Target="https://www.tradingview.com/chart/Q1c5VWwD/?symbol=syy" TargetMode="External" Id="rId422" /><Relationship Type="http://schemas.openxmlformats.org/officeDocument/2006/relationships/hyperlink" Target="https://www.tradingview.com/chart/Q1c5VWwD/?symbol=t" TargetMode="External" Id="rId423" /><Relationship Type="http://schemas.openxmlformats.org/officeDocument/2006/relationships/hyperlink" Target="https://www.tradingview.com/chart/Q1c5VWwD/?symbol=tap" TargetMode="External" Id="rId424" /><Relationship Type="http://schemas.openxmlformats.org/officeDocument/2006/relationships/hyperlink" Target="https://www.tradingview.com/chart/Q1c5VWwD/?symbol=tdoc" TargetMode="External" Id="rId425" /><Relationship Type="http://schemas.openxmlformats.org/officeDocument/2006/relationships/hyperlink" Target="https://www.tradingview.com/chart/Q1c5VWwD/?symbol=tdw" TargetMode="External" Id="rId426" /><Relationship Type="http://schemas.openxmlformats.org/officeDocument/2006/relationships/hyperlink" Target="https://www.tradingview.com/chart/Q1c5VWwD/?symbol=team" TargetMode="External" Id="rId427" /><Relationship Type="http://schemas.openxmlformats.org/officeDocument/2006/relationships/hyperlink" Target="https://www.tradingview.com/chart/Q1c5VWwD/?symbol=teck" TargetMode="External" Id="rId428" /><Relationship Type="http://schemas.openxmlformats.org/officeDocument/2006/relationships/hyperlink" Target="https://www.tradingview.com/chart/Q1c5VWwD/?symbol=tel" TargetMode="External" Id="rId429" /><Relationship Type="http://schemas.openxmlformats.org/officeDocument/2006/relationships/hyperlink" Target="https://www.tradingview.com/chart/Q1c5VWwD/?symbol=ter" TargetMode="External" Id="rId430" /><Relationship Type="http://schemas.openxmlformats.org/officeDocument/2006/relationships/hyperlink" Target="https://www.tradingview.com/chart/Q1c5VWwD/?symbol=tfc" TargetMode="External" Id="rId431" /><Relationship Type="http://schemas.openxmlformats.org/officeDocument/2006/relationships/hyperlink" Target="https://www.tradingview.com/chart/Q1c5VWwD/?symbol=thc" TargetMode="External" Id="rId432" /><Relationship Type="http://schemas.openxmlformats.org/officeDocument/2006/relationships/hyperlink" Target="https://www.tradingview.com/chart/Q1c5VWwD/?symbol=tjx" TargetMode="External" Id="rId433" /><Relationship Type="http://schemas.openxmlformats.org/officeDocument/2006/relationships/hyperlink" Target="https://www.tradingview.com/chart/Q1c5VWwD/?symbol=tln" TargetMode="External" Id="rId434" /><Relationship Type="http://schemas.openxmlformats.org/officeDocument/2006/relationships/hyperlink" Target="https://www.tradingview.com/chart/Q1c5VWwD/?symbol=tmc" TargetMode="External" Id="rId435" /><Relationship Type="http://schemas.openxmlformats.org/officeDocument/2006/relationships/hyperlink" Target="https://www.tradingview.com/chart/Q1c5VWwD/?symbol=tmo" TargetMode="External" Id="rId436" /><Relationship Type="http://schemas.openxmlformats.org/officeDocument/2006/relationships/hyperlink" Target="https://www.tradingview.com/chart/Q1c5VWwD/?symbol=tmus" TargetMode="External" Id="rId437" /><Relationship Type="http://schemas.openxmlformats.org/officeDocument/2006/relationships/hyperlink" Target="https://www.tradingview.com/chart/Q1c5VWwD/?symbol=tol" TargetMode="External" Id="rId438" /><Relationship Type="http://schemas.openxmlformats.org/officeDocument/2006/relationships/hyperlink" Target="https://www.tradingview.com/chart/Q1c5VWwD/?symbol=tost" TargetMode="External" Id="rId439" /><Relationship Type="http://schemas.openxmlformats.org/officeDocument/2006/relationships/hyperlink" Target="https://www.tradingview.com/chart/Q1c5VWwD/?symbol=tpb" TargetMode="External" Id="rId440" /><Relationship Type="http://schemas.openxmlformats.org/officeDocument/2006/relationships/hyperlink" Target="https://www.tradingview.com/chart/Q1c5VWwD/?symbol=trow" TargetMode="External" Id="rId441" /><Relationship Type="http://schemas.openxmlformats.org/officeDocument/2006/relationships/hyperlink" Target="https://www.tradingview.com/chart/Q1c5VWwD/?symbol=trv" TargetMode="External" Id="rId442" /><Relationship Type="http://schemas.openxmlformats.org/officeDocument/2006/relationships/hyperlink" Target="https://www.tradingview.com/chart/Q1c5VWwD/?symbol=tsla" TargetMode="External" Id="rId443" /><Relationship Type="http://schemas.openxmlformats.org/officeDocument/2006/relationships/hyperlink" Target="https://www.tradingview.com/chart/Q1c5VWwD/?symbol=tsm" TargetMode="External" Id="rId444" /><Relationship Type="http://schemas.openxmlformats.org/officeDocument/2006/relationships/hyperlink" Target="https://www.tradingview.com/chart/Q1c5VWwD/?symbol=tsn" TargetMode="External" Id="rId445" /><Relationship Type="http://schemas.openxmlformats.org/officeDocument/2006/relationships/hyperlink" Target="https://www.tradingview.com/chart/Q1c5VWwD/?symbol=tt" TargetMode="External" Id="rId446" /><Relationship Type="http://schemas.openxmlformats.org/officeDocument/2006/relationships/hyperlink" Target="https://www.tradingview.com/chart/Q1c5VWwD/?symbol=ttwo" TargetMode="External" Id="rId447" /><Relationship Type="http://schemas.openxmlformats.org/officeDocument/2006/relationships/hyperlink" Target="https://www.tradingview.com/chart/Q1c5VWwD/?symbol=txn" TargetMode="External" Id="rId448" /><Relationship Type="http://schemas.openxmlformats.org/officeDocument/2006/relationships/hyperlink" Target="https://www.tradingview.com/chart/Q1c5VWwD/?symbol=ual" TargetMode="External" Id="rId449" /><Relationship Type="http://schemas.openxmlformats.org/officeDocument/2006/relationships/hyperlink" Target="https://www.tradingview.com/chart/Q1c5VWwD/?symbol=uec" TargetMode="External" Id="rId450" /><Relationship Type="http://schemas.openxmlformats.org/officeDocument/2006/relationships/hyperlink" Target="https://www.tradingview.com/chart/Q1c5VWwD/?symbol=uhs" TargetMode="External" Id="rId451" /><Relationship Type="http://schemas.openxmlformats.org/officeDocument/2006/relationships/hyperlink" Target="https://www.tradingview.com/chart/Q1c5VWwD/?symbol=umc" TargetMode="External" Id="rId452" /><Relationship Type="http://schemas.openxmlformats.org/officeDocument/2006/relationships/hyperlink" Target="https://www.tradingview.com/chart/Q1c5VWwD/?symbol=unh" TargetMode="External" Id="rId453" /><Relationship Type="http://schemas.openxmlformats.org/officeDocument/2006/relationships/hyperlink" Target="https://www.tradingview.com/chart/Q1c5VWwD/?symbol=unp" TargetMode="External" Id="rId454" /><Relationship Type="http://schemas.openxmlformats.org/officeDocument/2006/relationships/hyperlink" Target="https://www.tradingview.com/chart/Q1c5VWwD/?symbol=ups" TargetMode="External" Id="rId455" /><Relationship Type="http://schemas.openxmlformats.org/officeDocument/2006/relationships/hyperlink" Target="https://www.tradingview.com/chart/Q1c5VWwD/?symbol=usar" TargetMode="External" Id="rId456" /><Relationship Type="http://schemas.openxmlformats.org/officeDocument/2006/relationships/hyperlink" Target="https://www.tradingview.com/chart/Q1c5VWwD/?symbol=usb" TargetMode="External" Id="rId457" /><Relationship Type="http://schemas.openxmlformats.org/officeDocument/2006/relationships/hyperlink" Target="https://www.tradingview.com/chart/Q1c5VWwD/?symbol=usfd" TargetMode="External" Id="rId458" /><Relationship Type="http://schemas.openxmlformats.org/officeDocument/2006/relationships/hyperlink" Target="https://www.tradingview.com/chart/Q1c5VWwD/?symbol=uuuu" TargetMode="External" Id="rId459" /><Relationship Type="http://schemas.openxmlformats.org/officeDocument/2006/relationships/hyperlink" Target="https://www.tradingview.com/chart/Q1c5VWwD/?symbol=v" TargetMode="External" Id="rId460" /><Relationship Type="http://schemas.openxmlformats.org/officeDocument/2006/relationships/hyperlink" Target="https://www.tradingview.com/chart/Q1c5VWwD/?symbol=val" TargetMode="External" Id="rId461" /><Relationship Type="http://schemas.openxmlformats.org/officeDocument/2006/relationships/hyperlink" Target="https://www.tradingview.com/chart/Q1c5VWwD/?symbol=vg" TargetMode="External" Id="rId462" /><Relationship Type="http://schemas.openxmlformats.org/officeDocument/2006/relationships/hyperlink" Target="https://www.tradingview.com/chart/Q1c5VWwD/?symbol=vici" TargetMode="External" Id="rId463" /><Relationship Type="http://schemas.openxmlformats.org/officeDocument/2006/relationships/hyperlink" Target="https://www.tradingview.com/chart/Q1c5VWwD/?symbol=vktx" TargetMode="External" Id="rId464" /><Relationship Type="http://schemas.openxmlformats.org/officeDocument/2006/relationships/hyperlink" Target="https://www.tradingview.com/chart/Q1c5VWwD/?symbol=vlo" TargetMode="External" Id="rId465" /><Relationship Type="http://schemas.openxmlformats.org/officeDocument/2006/relationships/hyperlink" Target="https://www.tradingview.com/chart/Q1c5VWwD/?symbol=vmc" TargetMode="External" Id="rId466" /><Relationship Type="http://schemas.openxmlformats.org/officeDocument/2006/relationships/hyperlink" Target="https://www.tradingview.com/chart/Q1c5VWwD/?symbol=vno" TargetMode="External" Id="rId467" /><Relationship Type="http://schemas.openxmlformats.org/officeDocument/2006/relationships/hyperlink" Target="https://www.tradingview.com/chart/Q1c5VWwD/?symbol=vrt" TargetMode="External" Id="rId468" /><Relationship Type="http://schemas.openxmlformats.org/officeDocument/2006/relationships/hyperlink" Target="https://www.tradingview.com/chart/Q1c5VWwD/?symbol=vrtx" TargetMode="External" Id="rId469" /><Relationship Type="http://schemas.openxmlformats.org/officeDocument/2006/relationships/hyperlink" Target="https://www.tradingview.com/chart/Q1c5VWwD/?symbol=vst" TargetMode="External" Id="rId470" /><Relationship Type="http://schemas.openxmlformats.org/officeDocument/2006/relationships/hyperlink" Target="https://www.tradingview.com/chart/Q1c5VWwD/?symbol=vtr" TargetMode="External" Id="rId471" /><Relationship Type="http://schemas.openxmlformats.org/officeDocument/2006/relationships/hyperlink" Target="https://www.tradingview.com/chart/Q1c5VWwD/?symbol=vz" TargetMode="External" Id="rId472" /><Relationship Type="http://schemas.openxmlformats.org/officeDocument/2006/relationships/hyperlink" Target="https://www.tradingview.com/chart/Q1c5VWwD/?symbol=w" TargetMode="External" Id="rId473" /><Relationship Type="http://schemas.openxmlformats.org/officeDocument/2006/relationships/hyperlink" Target="https://www.tradingview.com/chart/Q1c5VWwD/?symbol=wbd" TargetMode="External" Id="rId474" /><Relationship Type="http://schemas.openxmlformats.org/officeDocument/2006/relationships/hyperlink" Target="https://www.tradingview.com/chart/Q1c5VWwD/?symbol=wcn" TargetMode="External" Id="rId475" /><Relationship Type="http://schemas.openxmlformats.org/officeDocument/2006/relationships/hyperlink" Target="https://www.tradingview.com/chart/Q1c5VWwD/?symbol=wday" TargetMode="External" Id="rId476" /><Relationship Type="http://schemas.openxmlformats.org/officeDocument/2006/relationships/hyperlink" Target="https://www.tradingview.com/chart/Q1c5VWwD/?symbol=wdc" TargetMode="External" Id="rId477" /><Relationship Type="http://schemas.openxmlformats.org/officeDocument/2006/relationships/hyperlink" Target="https://www.tradingview.com/chart/Q1c5VWwD/?symbol=well" TargetMode="External" Id="rId478" /><Relationship Type="http://schemas.openxmlformats.org/officeDocument/2006/relationships/hyperlink" Target="https://www.tradingview.com/chart/Q1c5VWwD/?symbol=wfc" TargetMode="External" Id="rId479" /><Relationship Type="http://schemas.openxmlformats.org/officeDocument/2006/relationships/hyperlink" Target="https://www.tradingview.com/chart/Q1c5VWwD/?symbol=wfrd" TargetMode="External" Id="rId480" /><Relationship Type="http://schemas.openxmlformats.org/officeDocument/2006/relationships/hyperlink" Target="https://www.tradingview.com/chart/Q1c5VWwD/?symbol=whr" TargetMode="External" Id="rId481" /><Relationship Type="http://schemas.openxmlformats.org/officeDocument/2006/relationships/hyperlink" Target="https://www.tradingview.com/chart/Q1c5VWwD/?symbol=wm" TargetMode="External" Id="rId482" /><Relationship Type="http://schemas.openxmlformats.org/officeDocument/2006/relationships/hyperlink" Target="https://www.tradingview.com/chart/Q1c5VWwD/?symbol=wmb" TargetMode="External" Id="rId483" /><Relationship Type="http://schemas.openxmlformats.org/officeDocument/2006/relationships/hyperlink" Target="https://www.tradingview.com/chart/Q1c5VWwD/?symbol=wmt" TargetMode="External" Id="rId484" /><Relationship Type="http://schemas.openxmlformats.org/officeDocument/2006/relationships/hyperlink" Target="https://www.tradingview.com/chart/Q1c5VWwD/?symbol=wtrg" TargetMode="External" Id="rId485" /><Relationship Type="http://schemas.openxmlformats.org/officeDocument/2006/relationships/hyperlink" Target="https://www.tradingview.com/chart/Q1c5VWwD/?symbol=wtw" TargetMode="External" Id="rId486" /><Relationship Type="http://schemas.openxmlformats.org/officeDocument/2006/relationships/hyperlink" Target="https://www.tradingview.com/chart/Q1c5VWwD/?symbol=xel" TargetMode="External" Id="rId487" /><Relationship Type="http://schemas.openxmlformats.org/officeDocument/2006/relationships/hyperlink" Target="https://www.tradingview.com/chart/Q1c5VWwD/?symbol=xom" TargetMode="External" Id="rId488" /><Relationship Type="http://schemas.openxmlformats.org/officeDocument/2006/relationships/hyperlink" Target="https://www.tradingview.com/chart/Q1c5VWwD/?symbol=xpo" TargetMode="External" Id="rId489" /><Relationship Type="http://schemas.openxmlformats.org/officeDocument/2006/relationships/hyperlink" Target="https://www.tradingview.com/chart/Q1c5VWwD/?symbol=yum" TargetMode="External" Id="rId490" /><Relationship Type="http://schemas.openxmlformats.org/officeDocument/2006/relationships/hyperlink" Target="https://www.tradingview.com/chart/Q1c5VWwD/?symbol=z" TargetMode="External" Id="rId491" /><Relationship Type="http://schemas.openxmlformats.org/officeDocument/2006/relationships/hyperlink" Target="https://www.tradingview.com/chart/Q1c5VWwD/?symbol=zion" TargetMode="External" Id="rId492" /><Relationship Type="http://schemas.openxmlformats.org/officeDocument/2006/relationships/hyperlink" Target="https://www.tradingview.com/chart/Q1c5VWwD/?symbol=zs" TargetMode="External" Id="rId493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dhi" TargetMode="External" Id="rId1" /><Relationship Type="http://schemas.openxmlformats.org/officeDocument/2006/relationships/hyperlink" Target="https://www.tradingview.com/chart/Q1c5VWwD/?symbol=len" TargetMode="External" Id="rId2" /><Relationship Type="http://schemas.openxmlformats.org/officeDocument/2006/relationships/hyperlink" Target="https://www.tradingview.com/chart/Q1c5VWwD/?symbol=trv" TargetMode="External" Id="rId3" /><Relationship Type="http://schemas.openxmlformats.org/officeDocument/2006/relationships/hyperlink" Target="https://www.tradingview.com/chart/Q1c5VWwD/?symbol=rnr" TargetMode="External" Id="rId4" /><Relationship Type="http://schemas.openxmlformats.org/officeDocument/2006/relationships/hyperlink" Target="https://www.tradingview.com/chart/Q1c5VWwD/?symbol=aig" TargetMode="External" Id="rId5" /><Relationship Type="http://schemas.openxmlformats.org/officeDocument/2006/relationships/hyperlink" Target="https://www.tradingview.com/chart/Q1c5VWwD/?symbol=cb" TargetMode="External" Id="rId6" /><Relationship Type="http://schemas.openxmlformats.org/officeDocument/2006/relationships/hyperlink" Target="https://www.tradingview.com/chart/Q1c5VWwD/?symbol=oklo" TargetMode="External" Id="rId7" /><Relationship Type="http://schemas.openxmlformats.org/officeDocument/2006/relationships/hyperlink" Target="https://www.tradingview.com/chart/Q1c5VWwD/?symbol=ccj" TargetMode="External" Id="rId8" /><Relationship Type="http://schemas.openxmlformats.org/officeDocument/2006/relationships/hyperlink" Target="https://www.tradingview.com/chart/Q1c5VWwD/?symbol=mp" TargetMode="External" Id="rId9" /><Relationship Type="http://schemas.openxmlformats.org/officeDocument/2006/relationships/hyperlink" Target="https://www.tradingview.com/chart/Q1c5VWwD/?symbol=gev" TargetMode="External" Id="rId10" /><Relationship Type="http://schemas.openxmlformats.org/officeDocument/2006/relationships/hyperlink" Target="https://www.tradingview.com/chart/Q1c5VWwD/?symbol=etn" TargetMode="External" Id="rId11" /><Relationship Type="http://schemas.openxmlformats.org/officeDocument/2006/relationships/hyperlink" Target="https://www.tradingview.com/chart/Q1c5VWwD/?symbol=cohr" TargetMode="External" Id="rId12" /><Relationship Type="http://schemas.openxmlformats.org/officeDocument/2006/relationships/hyperlink" Target="https://www.tradingview.com/chart/Q1c5VWwD/?symbol=lite" TargetMode="External" Id="rId13" /><Relationship Type="http://schemas.openxmlformats.org/officeDocument/2006/relationships/hyperlink" Target="https://www.tradingview.com/chart/Q1c5VWwD/?symbol=crdo" TargetMode="External" Id="rId14" /><Relationship Type="http://schemas.openxmlformats.org/officeDocument/2006/relationships/hyperlink" Target="https://www.tradingview.com/chart/Q1c5VWwD/?symbol=snps" TargetMode="External" Id="rId15" /><Relationship Type="http://schemas.openxmlformats.org/officeDocument/2006/relationships/hyperlink" Target="https://www.tradingview.com/chart/Q1c5VWwD/?symbol=cdns" TargetMode="External" Id="rId16" /><Relationship Type="http://schemas.openxmlformats.org/officeDocument/2006/relationships/hyperlink" Target="https://www.tradingview.com/chart/Q1c5VWwD/?symbol=thc" TargetMode="External" Id="rId17" /><Relationship Type="http://schemas.openxmlformats.org/officeDocument/2006/relationships/hyperlink" Target="https://www.tradingview.com/chart/Q1c5VWwD/?symbol=uhs" TargetMode="External" Id="rId18" /><Relationship Type="http://schemas.openxmlformats.org/officeDocument/2006/relationships/hyperlink" Target="https://www.tradingview.com/chart/Q1c5VWwD/?symbol=hca" TargetMode="External" Id="rId19" /><Relationship Type="http://schemas.openxmlformats.org/officeDocument/2006/relationships/hyperlink" Target="https://www.tradingview.com/chart/Q1c5VWwD/?symbol=ehc" TargetMode="External" Id="rId20" /><Relationship Type="http://schemas.openxmlformats.org/officeDocument/2006/relationships/hyperlink" Target="https://www.tradingview.com/chart/Q1c5VWwD/?symbol=rnr" TargetMode="External" Id="rId21" /><Relationship Type="http://schemas.openxmlformats.org/officeDocument/2006/relationships/hyperlink" Target="https://www.tradingview.com/chart/Q1c5VWwD/?symbol=vlo" TargetMode="External" Id="rId22" /><Relationship Type="http://schemas.openxmlformats.org/officeDocument/2006/relationships/hyperlink" Target="https://www.tradingview.com/chart/Q1c5VWwD/?symbol=mpc" TargetMode="External" Id="rId23" /><Relationship Type="http://schemas.openxmlformats.org/officeDocument/2006/relationships/hyperlink" Target="https://www.tradingview.com/chart/Q1c5VWwD/?symbol=pbf" TargetMode="External" Id="rId24" /><Relationship Type="http://schemas.openxmlformats.org/officeDocument/2006/relationships/hyperlink" Target="https://www.tradingview.com/chart/Q1c5VWwD/?symbol=dino" TargetMode="External" Id="rId25" /><Relationship Type="http://schemas.openxmlformats.org/officeDocument/2006/relationships/hyperlink" Target="https://www.tradingview.com/chart/Q1c5VWwD/?symbol=psx" TargetMode="External" Id="rId26" /><Relationship Type="http://schemas.openxmlformats.org/officeDocument/2006/relationships/hyperlink" Target="https://www.tradingview.com/chart/Q1c5VWwD/?symbol=vlo" TargetMode="External" Id="rId27" /><Relationship Type="http://schemas.openxmlformats.org/officeDocument/2006/relationships/hyperlink" Target="https://www.tradingview.com/chart/Q1c5VWwD/?symbol=mpc" TargetMode="External" Id="rId28" /><Relationship Type="http://schemas.openxmlformats.org/officeDocument/2006/relationships/hyperlink" Target="https://www.tradingview.com/chart/Q1c5VWwD/?symbol=pbf" TargetMode="External" Id="rId29" /><Relationship Type="http://schemas.openxmlformats.org/officeDocument/2006/relationships/hyperlink" Target="https://www.tradingview.com/chart/Q1c5VWwD/?symbol=dino" TargetMode="External" Id="rId30" /><Relationship Type="http://schemas.openxmlformats.org/officeDocument/2006/relationships/hyperlink" Target="https://www.tradingview.com/chart/Q1c5VWwD/?symbol=psx" TargetMode="External" Id="rId31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cnbc.com/2026/09/16/fed-rate-decision-september-2026.html" TargetMode="External" Id="rId1" /><Relationship Type="http://schemas.openxmlformats.org/officeDocument/2006/relationships/hyperlink" Target="https://www.cnbc.com/2026/09/16/fed-meeting-today-live-updates.html" TargetMode="External" Id="rId2" /><Relationship Type="http://schemas.openxmlformats.org/officeDocument/2006/relationships/hyperlink" Target="https://www.foxbusiness.com/economy/federal-reserve-interest-rate-decision-september-16-2026" TargetMode="External" Id="rId3" /><Relationship Type="http://schemas.openxmlformats.org/officeDocument/2006/relationships/hyperlink" Target="https://www.thestreet.com/stock-market-today/stock-market-today-dow-jones-sp-500-nasdaq-updates-sept-16-2026" TargetMode="External" Id="rId4" /><Relationship Type="http://schemas.openxmlformats.org/officeDocument/2006/relationships/hyperlink" Target="https://www.thestreet.com/stock-market-today/stock-market-today-sept-15-2026-dow-futures-slide-as-oil-prices-surge-and-treasury-yields-hit-2007-highs" TargetMode="External" Id="rId5" /><Relationship Type="http://schemas.openxmlformats.org/officeDocument/2006/relationships/hyperlink" Target="https://www.cnbc.com/2026/09/16/oil-prices-today-brent-wti-hormuz-iran-war.html" TargetMode="External" Id="rId6" /><Relationship Type="http://schemas.openxmlformats.org/officeDocument/2006/relationships/hyperlink" Target="https://www.cnbc.com/2026/09/13/oil-price-iran-war-strait-hormuz-saudi-pipeline.html" TargetMode="External" Id="rId7" /><Relationship Type="http://schemas.openxmlformats.org/officeDocument/2006/relationships/hyperlink" Target="https://www.aljazeera.com/news/2026/9/14/why-saudi-arabias-east-west-pipeline-matters-for-global-oil" TargetMode="External" Id="rId8" /><Relationship Type="http://schemas.openxmlformats.org/officeDocument/2006/relationships/hyperlink" Target="https://en.wikipedia.org/wiki/2026_East%E2%80%93West_Crude_Oil_Pipeline_attack" TargetMode="External" Id="rId9" /><Relationship Type="http://schemas.openxmlformats.org/officeDocument/2006/relationships/hyperlink" Target="https://rbnenergy.com/daily-posts/blog/100bbl-diesel-crack-or-how-2026-exposed-fragility-global-refining" TargetMode="External" Id="rId10" /><Relationship Type="http://schemas.openxmlformats.org/officeDocument/2006/relationships/hyperlink" Target="https://discoveryalert.com/analysis/us-diesel-prices-record-september-2026/" TargetMode="External" Id="rId11" /><Relationship Type="http://schemas.openxmlformats.org/officeDocument/2006/relationships/hyperlink" Target="https://www.pravda.com.ua/eng/news/2026/08/29/8050963/" TargetMode="External" Id="rId12" /><Relationship Type="http://schemas.openxmlformats.org/officeDocument/2006/relationships/hyperlink" Target="https://www.kyivpost.com/post/84579" TargetMode="External" Id="rId13" /><Relationship Type="http://schemas.openxmlformats.org/officeDocument/2006/relationships/hyperlink" Target="https://www.thenationalnews.com/business/2026/07/17/war-risk-shipping-premium-surges-again-as-tensions-escalate-at-strait-of-hormuz/" TargetMode="External" Id="rId14" /><Relationship Type="http://schemas.openxmlformats.org/officeDocument/2006/relationships/hyperlink" Target="https://www.spglobal.com/energy/en/news-research/latest-news/shipping/072226-middle-east-shipping-insurance-costs-rise-on-hormuz-risks-marsh" TargetMode="External" Id="rId15" /><Relationship Type="http://schemas.openxmlformats.org/officeDocument/2006/relationships/hyperlink" Target="https://www.kiplinger.com/investing/economy/this-weeks-economic-calendar" TargetMode="External" Id="rId16" /><Relationship Type="http://schemas.openxmlformats.org/officeDocument/2006/relationships/hyperlink" Target="https://finance.yahoo.com/economy/policy/articles/fomc-september-2026-odds-rate-201618784.html" TargetMode="External" Id="rId17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8" customWidth="1" min="7" max="7"/>
  </cols>
  <sheetData>
    <row r="1" ht="22" customHeight="1">
      <c r="A1" s="1" t="inlineStr">
        <is>
          <t>加息及地緣政治 3 日觀察清單 R1.01</t>
        </is>
      </c>
    </row>
    <row r="2">
      <c r="A2" s="2" t="inlineStr">
        <is>
          <t>基準：2026-09-16 美東收市　·　涵蓋交易日：2026-09-17（四）、09-18（五）、09-21（一）　·　生成：2026-09-17 15:16 HKT　·　claude-opus-5 / high</t>
        </is>
      </c>
    </row>
    <row r="3"/>
    <row r="4">
      <c r="A4" s="3" t="inlineStr">
        <is>
          <t>一、當前 regime：三個同時發生的衝擊</t>
        </is>
      </c>
    </row>
    <row r="5" ht="30" customHeight="1">
      <c r="A5" s="4" t="inlineStr">
        <is>
          <t>面向</t>
        </is>
      </c>
      <c r="B5" s="4" t="inlineStr">
        <is>
          <t>事件</t>
        </is>
      </c>
      <c r="C5" s="4" t="inlineStr">
        <is>
          <t>關鍵數字</t>
        </is>
      </c>
      <c r="D5" s="4" t="inlineStr"/>
      <c r="E5" s="4" t="inlineStr"/>
      <c r="F5" s="4" t="inlineStr"/>
      <c r="G5" s="4" t="inlineStr">
        <is>
          <t>對股票的傳導</t>
        </is>
      </c>
    </row>
    <row r="6" ht="58" customHeight="1">
      <c r="A6" s="5" t="inlineStr">
        <is>
          <t>貨幣政策</t>
        </is>
      </c>
      <c r="B6" s="6" t="inlineStr">
        <is>
          <t>9/16 FOMC 加息 25bp 至 3.75–4.00%，2023 年 7 月以來首次，票數 12-0。主席 Kevin Warsh（非 Powell）</t>
        </is>
      </c>
      <c r="D6" s="6" t="inlineStr">
        <is>
          <t>點陣圖：18 人中 16 人預期年內再加一次，4 人預期兩次；年底中位 4.1%，2027/9 約 4.5%</t>
        </is>
      </c>
      <c r="G6" s="6" t="inlineStr">
        <is>
          <t>折現率上升 → 無盈利長久期資產受創最深；收息型金融受惠，持久期型金融受損</t>
        </is>
      </c>
    </row>
    <row r="7" ht="58" customHeight="1">
      <c r="A7" s="5" t="inlineStr">
        <is>
          <t>利率市場</t>
        </is>
      </c>
      <c r="B7" s="6" t="inlineStr">
        <is>
          <t>10 年期美債孳息突破 5%，19 年新高（2007 年以來最高）</t>
        </is>
      </c>
      <c r="D7" s="6" t="inlineStr">
        <is>
          <t>9/15 盤中 5.04%</t>
        </is>
      </c>
      <c r="G7" s="6" t="inlineStr">
        <is>
          <t>債券代理股（電信、公用、REIT）失去相對吸引力；按揭利率跟升壓住房地產</t>
        </is>
      </c>
    </row>
    <row r="8" ht="58" customHeight="1">
      <c r="A8" s="5" t="inlineStr">
        <is>
          <t>地緣政治</t>
        </is>
      </c>
      <c r="B8" s="6" t="inlineStr">
        <is>
          <t>9/10 無人機（經伊拉克）襲擊沙特 East–West 輸油管。該管是 Hormuz 的替代路線，伊朗封鎖海峽後承載每日 4–5 百萬桶</t>
        </is>
      </c>
      <c r="D8" s="6" t="inlineStr">
        <is>
          <t>油價當周 +8% 破 $100；月內 +16%。9/16 美國能源部長稱「數日內」重啟 → Brent −2.7% 收 $105.83、WTI −3.2% 收 $102.43</t>
        </is>
      </c>
      <c r="G8" s="6" t="inlineStr">
        <is>
          <t>原油供應可望恢復，但中東逾 20% 煉油產能因實體損毀停擺 → 原油與成品油分道揚鑣</t>
        </is>
      </c>
    </row>
    <row r="9"/>
    <row r="10">
      <c r="A10" s="3" t="inlineStr">
        <is>
          <t>二、核心判斷</t>
        </is>
      </c>
    </row>
    <row r="11" ht="30" customHeight="1">
      <c r="A11" s="6" t="inlineStr">
        <is>
          <t>• 未來 3 日只有兩種狀態：A＝輸油管如期重啟、油續回落、通脹預期降溫；B＝修復實際需 5–6 週（業界估計，與能源部長說法矛盾）或 Hormuz 再有船隻遇襲、油再爆上。</t>
        </is>
      </c>
    </row>
    <row r="12" ht="30" customHeight="1">
      <c r="A12" s="6" t="inlineStr">
        <is>
          <t>• 本清單不賭油價方向，而是持有「在 A、B 兩態下都贏」的兩個價差：①裂解價差 vs 原油（煉油商做多裂解、做空原油）；②收保費 vs 持久期（保險 vs 銀行）。</t>
        </is>
      </c>
    </row>
    <row r="13" ht="30" customHeight="1">
      <c r="A13" s="6" t="inlineStr">
        <is>
          <t>• 輸油管重啟恢復的是「原油供應」，不是「煉油產能」——後者因實體損毀無法隨管線修復而回來。這正是 9/16 能源板塊內部出現 7.4 個百分點分歧的原因。</t>
        </is>
      </c>
    </row>
    <row r="14"/>
    <row r="15">
      <c r="A15" s="3" t="inlineStr">
        <is>
          <t>三、清單統計（公式即時計算，隨清單頁改動更新）</t>
        </is>
      </c>
    </row>
    <row r="16" ht="30" customHeight="1">
      <c r="A16" s="4" t="inlineStr">
        <is>
          <t>指標</t>
        </is>
      </c>
      <c r="B16" s="4" t="inlineStr">
        <is>
          <t>數值</t>
        </is>
      </c>
      <c r="C16" s="4" t="inlineStr"/>
      <c r="D16" s="4" t="inlineStr">
        <is>
          <t>指標</t>
        </is>
      </c>
      <c r="E16" s="4" t="inlineStr">
        <is>
          <t>數值</t>
        </is>
      </c>
      <c r="F16" s="4" t="inlineStr"/>
      <c r="G16" s="4" t="inlineStr">
        <is>
          <t>說明</t>
        </is>
      </c>
    </row>
    <row r="17">
      <c r="A17" s="7" t="inlineStr">
        <is>
          <t>受惠股檔數</t>
        </is>
      </c>
      <c r="B17" s="8">
        <f>COUNT('3日受惠清單 Watchlist'!Q9:Q33)</f>
        <v>25.0</v>
      </c>
      <c r="D17" s="7" t="inlineStr">
        <is>
          <t>迴避股檔數</t>
        </is>
      </c>
      <c r="E17" s="8">
        <f>COUNTA('迴避清單 Avoid'!B9:B34)</f>
        <v>26.0</v>
      </c>
      <c r="G17" s="9" t="inlineStr">
        <is>
          <t>兩表合計覆蓋的美股檔數</t>
        </is>
      </c>
    </row>
    <row r="18">
      <c r="A18" s="7" t="inlineStr">
        <is>
          <t>受惠股平均綜合分</t>
        </is>
      </c>
      <c r="B18" s="10">
        <f>AVERAGE('3日受惠清單 Watchlist'!Q9:Q33)</f>
        <v>79.36</v>
      </c>
      <c r="D18" s="7" t="inlineStr">
        <is>
          <t>受惠股 9/16 平均漲跌</t>
        </is>
      </c>
      <c r="E18" s="11">
        <f>AVERAGE('3日受惠清單 Watchlist'!H9:H33)</f>
        <v>0.022517396490427576</v>
      </c>
      <c r="G18" s="9" t="inlineStr">
        <is>
          <t>綜合分為 0–100，權重可於清單頁黃色格調整</t>
        </is>
      </c>
    </row>
    <row r="19">
      <c r="A19" s="7" t="inlineStr">
        <is>
          <t>綜合分 ≥ 80 檔數</t>
        </is>
      </c>
      <c r="B19" s="8">
        <f>COUNTIF('3日受惠清單 Watchlist'!Q9:Q33,"&gt;=80")</f>
        <v>13.0</v>
      </c>
      <c r="D19" s="7" t="inlineStr">
        <is>
          <t>迴避股 9/16 平均漲跌</t>
        </is>
      </c>
      <c r="E19" s="11">
        <f>AVERAGE('迴避清單 Avoid'!G9:G34)</f>
        <v>-0.035372499566752036</v>
      </c>
      <c r="G19" s="9" t="inlineStr">
        <is>
          <t>當日兩表平均表現差距即為輪動幅度</t>
        </is>
      </c>
    </row>
    <row r="20">
      <c r="A20" s="7" t="inlineStr">
        <is>
          <t>9/16 全市中位漲跌</t>
        </is>
      </c>
      <c r="B20" s="12" t="n">
        <v>-0.004868052726254568</v>
      </c>
      <c r="D20" s="7" t="inlineStr">
        <is>
          <t>9/16 市場面板檔數</t>
        </is>
      </c>
      <c r="E20" s="13" t="n">
        <v>1658</v>
      </c>
      <c r="G20" s="9" t="inlineStr">
        <is>
          <t>來源：SubSector 資金流向 Watchlist R11.00 平衡市場面板</t>
        </is>
      </c>
    </row>
    <row r="21"/>
    <row r="22">
      <c r="A22" s="3" t="inlineStr">
        <is>
          <t>四、上一輪判斷的錯誤與修正（透明度）</t>
        </is>
      </c>
    </row>
    <row r="23" ht="30" customHeight="1">
      <c r="A23" s="4" t="inlineStr">
        <is>
          <t>上一輪的判斷</t>
        </is>
      </c>
      <c r="B23" s="4" t="inlineStr"/>
      <c r="C23" s="4" t="inlineStr">
        <is>
          <t>結果</t>
        </is>
      </c>
      <c r="D23" s="4" t="inlineStr"/>
      <c r="E23" s="4" t="inlineStr">
        <is>
          <t>錯在哪裡</t>
        </is>
      </c>
      <c r="F23" s="4" t="inlineStr"/>
      <c r="G23" s="4" t="inlineStr">
        <is>
          <t>本輪如何修正</t>
        </is>
      </c>
    </row>
    <row r="24" ht="62" customHeight="1">
      <c r="A24" s="5" t="inlineStr">
        <is>
          <t>能源上游列為順勢</t>
        </is>
      </c>
      <c r="C24" s="6" t="inlineStr">
        <is>
          <t>9/16 頁岩 E&amp;P −6.42%（成交量 4.57x），為 111 組最差</t>
        </is>
      </c>
      <c r="E24" s="6" t="inlineStr">
        <is>
          <t>交易了「油價水平」而非「油價催化劑」。已 +16% 的倉位，真正風險是供應恢復的頭條，而該頭條 6 日內就出現</t>
        </is>
      </c>
      <c r="G24" s="6" t="inlineStr">
        <is>
          <t>改為持有煉油（裂解價差），其多頭邏輯不需要原油上漲，且供應恢復對它有利</t>
        </is>
      </c>
    </row>
    <row r="25" ht="62" customHeight="1">
      <c r="A25" s="5" t="inlineStr">
        <is>
          <t>銀行列為順勢</t>
        </is>
      </c>
      <c r="C25" s="6" t="inlineStr">
        <is>
          <t>區域銀行 −3.91%（2.40x）、投行 −3.48%（1.91x）</t>
        </is>
      </c>
      <c r="E25" s="6" t="inlineStr">
        <is>
          <t>未區分「收息的金融」與「持久期的金融」。5% 的 10Y 對存款成本、持債虧損、deal flow 是利空</t>
        </is>
      </c>
      <c r="G25" s="6" t="inlineStr">
        <is>
          <t>改為產險與再保：浮存金以 5% 再投資，無存款 beta、無持債虧損，另加 Hormuz 戰爭險硬市場</t>
        </is>
      </c>
    </row>
    <row r="26" ht="62" customHeight="1">
      <c r="A26" s="5" t="inlineStr">
        <is>
          <t>AI 基建列為避開</t>
        </is>
      </c>
      <c r="C26" s="6" t="inlineStr">
        <is>
          <t>9/16 光通訊/CPO +5.61%、AI 資料中心 +2.20%、晶圓代工 +2.47%</t>
        </is>
      </c>
      <c r="E26" s="6" t="inlineStr">
        <is>
          <t>低估了 AI 資本開支對利率的免疫性——Warsh 在聲明中親自點名該開支為通脹來源之一</t>
        </is>
      </c>
      <c r="G26" s="6" t="inlineStr">
        <is>
          <t>納入 AI 半導體，但僅列戰術小注並標註「5 日仍為負、屬反彈非趨勢」，不作核心倉</t>
        </is>
      </c>
    </row>
    <row r="27"/>
    <row r="28">
      <c r="A28" s="2" t="inlineStr">
        <is>
          <t>本表為研究紀錄，非投資建議。所有判斷分數為分析員主觀評分，方法與限制見「數據來源與限制」頁。</t>
        </is>
      </c>
    </row>
  </sheetData>
  <mergeCells count="21">
    <mergeCell ref="A24:B24"/>
    <mergeCell ref="C24:D24"/>
    <mergeCell ref="B7:C7"/>
    <mergeCell ref="E24:F24"/>
    <mergeCell ref="D7:F7"/>
    <mergeCell ref="C26:D26"/>
    <mergeCell ref="A28:G28"/>
    <mergeCell ref="A13:G13"/>
    <mergeCell ref="A25:B25"/>
    <mergeCell ref="C25:D25"/>
    <mergeCell ref="D8:F8"/>
    <mergeCell ref="B8:C8"/>
    <mergeCell ref="A11:G11"/>
    <mergeCell ref="A26:B26"/>
    <mergeCell ref="A1:G1"/>
    <mergeCell ref="E26:F26"/>
    <mergeCell ref="B6:C6"/>
    <mergeCell ref="E25:F25"/>
    <mergeCell ref="A12:G12"/>
    <mergeCell ref="A2:G2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002E7D32"/>
    <outlinePr summaryBelow="1" summaryRight="1"/>
    <pageSetUpPr/>
  </sheetPr>
  <dimension ref="A1:U36"/>
  <sheetViews>
    <sheetView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8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3" customWidth="1" min="11" max="11"/>
    <col width="8" customWidth="1" min="12" max="12"/>
    <col width="7" customWidth="1" min="13" max="13"/>
    <col width="7" customWidth="1" min="14" max="14"/>
    <col width="7" customWidth="1" min="15" max="15"/>
    <col width="7" customWidth="1" min="16" max="16"/>
    <col width="9" customWidth="1" min="17" max="17"/>
    <col width="50" customWidth="1" min="18" max="18"/>
    <col width="22" customWidth="1" min="19" max="19"/>
    <col width="22" customWidth="1" min="20" max="20"/>
    <col width="34" customWidth="1" min="21" max="21"/>
  </cols>
  <sheetData>
    <row r="1" ht="22" customHeight="1">
      <c r="A1" s="1" t="inlineStr">
        <is>
          <t>3 日受惠股清單　Rate-Hike &amp; Geopolitical 3-Day Watchlist R1.01</t>
        </is>
      </c>
    </row>
    <row r="2">
      <c r="A2" s="2" t="inlineStr">
        <is>
          <t>基準 2026-09-16 美東收市　·　H/I/L/Q 欄為公式，黑字＝公式、藍字＝輸入值、黃底＝可調整假設　·　代號可點擊開 TradingView 圖表</t>
        </is>
      </c>
    </row>
    <row r="4">
      <c r="M4" s="3" t="inlineStr">
        <is>
          <t>綜合分權重（黃底＝可調整輸入，改動後 Q 欄即時重算）</t>
        </is>
      </c>
    </row>
    <row r="5">
      <c r="M5" s="14" t="inlineStr">
        <is>
          <t>機制強度</t>
        </is>
      </c>
      <c r="N5" s="14" t="inlineStr">
        <is>
          <t>資金流確認</t>
        </is>
      </c>
      <c r="O5" s="14" t="inlineStr">
        <is>
          <t>未伸展度</t>
        </is>
      </c>
      <c r="P5" s="14" t="inlineStr">
        <is>
          <t>廣度</t>
        </is>
      </c>
      <c r="Q5" s="14" t="inlineStr">
        <is>
          <t>合計</t>
        </is>
      </c>
    </row>
    <row r="6">
      <c r="M6" s="15" t="n">
        <v>0.4</v>
      </c>
      <c r="N6" s="15" t="n">
        <v>0.25</v>
      </c>
      <c r="O6" s="15" t="n">
        <v>0.2</v>
      </c>
      <c r="P6" s="15" t="n">
        <v>0.15</v>
      </c>
      <c r="Q6" s="16">
        <f>SUM(M6:P6)</f>
        <v>1.0</v>
      </c>
    </row>
    <row r="8" ht="30" customHeight="1">
      <c r="A8" s="17" t="inlineStr">
        <is>
          <t>組別</t>
        </is>
      </c>
      <c r="B8" s="17" t="inlineStr">
        <is>
          <t>主題板塊</t>
        </is>
      </c>
      <c r="C8" s="17" t="inlineStr">
        <is>
          <t>代號</t>
        </is>
      </c>
      <c r="D8" s="17" t="inlineStr">
        <is>
          <t>公司</t>
        </is>
      </c>
      <c r="E8" s="17" t="inlineStr">
        <is>
          <t>收市
09-16</t>
        </is>
      </c>
      <c r="F8" s="17" t="inlineStr">
        <is>
          <t>前收
09-15</t>
        </is>
      </c>
      <c r="G8" s="17" t="inlineStr">
        <is>
          <t>5日前收
09-09</t>
        </is>
      </c>
      <c r="H8" s="17" t="inlineStr">
        <is>
          <t>09-16
漲跌%</t>
        </is>
      </c>
      <c r="I8" s="17" t="inlineStr">
        <is>
          <t>5日
漲跌%</t>
        </is>
      </c>
      <c r="J8" s="17" t="inlineStr">
        <is>
          <t>09-16
成交量</t>
        </is>
      </c>
      <c r="K8" s="17" t="inlineStr">
        <is>
          <t>20日
中位量</t>
        </is>
      </c>
      <c r="L8" s="17" t="inlineStr">
        <is>
          <t>相對量</t>
        </is>
      </c>
      <c r="M8" s="17" t="inlineStr">
        <is>
          <t>機制
0-5</t>
        </is>
      </c>
      <c r="N8" s="17" t="inlineStr">
        <is>
          <t>資金流
0-5</t>
        </is>
      </c>
      <c r="O8" s="17" t="inlineStr">
        <is>
          <t>未伸展
0-5</t>
        </is>
      </c>
      <c r="P8" s="17" t="inlineStr">
        <is>
          <t>廣度
0-5</t>
        </is>
      </c>
      <c r="Q8" s="17" t="inlineStr">
        <is>
          <t>綜合分
0-100</t>
        </is>
      </c>
      <c r="R8" s="17" t="inlineStr">
        <is>
          <t>受惠機制（為何這 3 日會贏）</t>
        </is>
      </c>
      <c r="S8" s="17" t="inlineStr">
        <is>
          <t>狀態A：油續跌</t>
        </is>
      </c>
      <c r="T8" s="17" t="inlineStr">
        <is>
          <t>狀態B：油再爆</t>
        </is>
      </c>
      <c r="U8" s="17" t="inlineStr">
        <is>
          <t>失效條件 / 注意</t>
        </is>
      </c>
    </row>
    <row r="9" ht="56" customHeight="1">
      <c r="A9" s="18" t="inlineStr">
        <is>
          <t>①</t>
        </is>
      </c>
      <c r="B9" s="6" t="inlineStr">
        <is>
          <t>煉油與成品油</t>
        </is>
      </c>
      <c r="C9" s="19" t="inlineStr">
        <is>
          <t>VLO</t>
        </is>
      </c>
      <c r="D9" s="6" t="inlineStr">
        <is>
          <t>Valero Energy</t>
        </is>
      </c>
      <c r="E9" s="20" t="n">
        <v>403.28</v>
      </c>
      <c r="F9" s="20" t="n">
        <v>397.04</v>
      </c>
      <c r="G9" s="20" t="n">
        <v>388.95</v>
      </c>
      <c r="H9" s="11">
        <f>E9/F9-1</f>
        <v>0.015716300624622148</v>
      </c>
      <c r="I9" s="11">
        <f>E9/G9-1</f>
        <v>0.0368427818485666</v>
      </c>
      <c r="J9" s="13" t="n">
        <v>3522494</v>
      </c>
      <c r="K9" s="13" t="n">
        <v>2629700</v>
      </c>
      <c r="L9" s="21">
        <f>J9/K9</f>
        <v>1.3395041259459255</v>
      </c>
      <c r="M9" s="22" t="n">
        <v>5</v>
      </c>
      <c r="N9" s="22" t="n">
        <v>5</v>
      </c>
      <c r="O9" s="22" t="n">
        <v>4</v>
      </c>
      <c r="P9" s="22" t="n">
        <v>5</v>
      </c>
      <c r="Q9" s="23">
        <f>(M9*$M$6+N9*$N$6+O9*$O$6+P9*$P$6)*20</f>
        <v>96.0</v>
      </c>
      <c r="R9" s="6" t="inlineStr">
        <is>
          <t>最純粹的美國煉油商，墨西哥灣出口槓桿最高。做多裂解價差、做空原油：輸油管重啟降低原料成本，而中東逾20%煉油產能實體損毀無法隨之恢復</t>
        </is>
      </c>
      <c r="S9" s="6" t="inlineStr">
        <is>
          <t>強（原料成本下降、裂解維持）</t>
        </is>
      </c>
      <c r="T9" s="6" t="inlineStr">
        <is>
          <t>強（成品油價領先原油上漲）</t>
        </is>
      </c>
      <c r="U9" s="6" t="inlineStr">
        <is>
          <t>Hormuz 停火且中東煉廠產能加速修復 → 裂解崩塌</t>
        </is>
      </c>
    </row>
    <row r="10" ht="56" customHeight="1">
      <c r="A10" s="18" t="inlineStr">
        <is>
          <t>①</t>
        </is>
      </c>
      <c r="B10" s="6" t="inlineStr">
        <is>
          <t>煉油與成品油</t>
        </is>
      </c>
      <c r="C10" s="19" t="inlineStr">
        <is>
          <t>PBF</t>
        </is>
      </c>
      <c r="D10" s="6" t="inlineStr">
        <is>
          <t>PBF Energy</t>
        </is>
      </c>
      <c r="E10" s="20" t="n">
        <v>75.93000000000001</v>
      </c>
      <c r="F10" s="20" t="n">
        <v>74.72</v>
      </c>
      <c r="G10" s="20" t="n">
        <v>76.51000000000001</v>
      </c>
      <c r="H10" s="11">
        <f>E10/F10-1</f>
        <v>0.016193790149892973</v>
      </c>
      <c r="I10" s="11">
        <f>E10/G10-1</f>
        <v>-0.007580708404130165</v>
      </c>
      <c r="J10" s="13" t="n">
        <v>3811063</v>
      </c>
      <c r="K10" s="13" t="n">
        <v>2415250</v>
      </c>
      <c r="L10" s="21">
        <f>J10/K10</f>
        <v>1.5779165717834593</v>
      </c>
      <c r="M10" s="22" t="n">
        <v>5</v>
      </c>
      <c r="N10" s="22" t="n">
        <v>5</v>
      </c>
      <c r="O10" s="22" t="n">
        <v>5</v>
      </c>
      <c r="P10" s="22" t="n">
        <v>3</v>
      </c>
      <c r="Q10" s="23">
        <f>(M10*$M$6+N10*$N$6+O10*$O$6+P10*$P$6)*20</f>
        <v>94.0</v>
      </c>
      <c r="R10" s="6" t="inlineStr">
        <is>
          <t>財務槓桿最高，對裂解價差的 beta 最大；5 日仍為 −0.76%，是組內最未伸展的一隻</t>
        </is>
      </c>
      <c r="S10" s="6" t="inlineStr">
        <is>
          <t>強（毛利彈性最大）</t>
        </is>
      </c>
      <c r="T10" s="6" t="inlineStr">
        <is>
          <t>強（彈性最大，雙刃）</t>
        </is>
      </c>
      <c r="U10" s="6" t="inlineStr">
        <is>
          <t>小型股、波動最大；裂解回落時跌幅亦最大</t>
        </is>
      </c>
    </row>
    <row r="11" ht="56" customHeight="1">
      <c r="A11" s="18" t="inlineStr">
        <is>
          <t>①</t>
        </is>
      </c>
      <c r="B11" s="6" t="inlineStr">
        <is>
          <t>煉油與成品油</t>
        </is>
      </c>
      <c r="C11" s="19" t="inlineStr">
        <is>
          <t>DINO</t>
        </is>
      </c>
      <c r="D11" s="6" t="inlineStr">
        <is>
          <t>HF Sinclair</t>
        </is>
      </c>
      <c r="E11" s="20" t="n">
        <v>113.97</v>
      </c>
      <c r="F11" s="20" t="n">
        <v>112.25</v>
      </c>
      <c r="G11" s="20" t="n">
        <v>108.14</v>
      </c>
      <c r="H11" s="11">
        <f>E11/F11-1</f>
        <v>0.015322939866369678</v>
      </c>
      <c r="I11" s="11">
        <f>E11/G11-1</f>
        <v>0.05391159607915674</v>
      </c>
      <c r="J11" s="13" t="n">
        <v>2091749</v>
      </c>
      <c r="K11" s="13" t="n">
        <v>2328700</v>
      </c>
      <c r="L11" s="21">
        <f>J11/K11</f>
        <v>0.8982475200755786</v>
      </c>
      <c r="M11" s="22" t="n">
        <v>5</v>
      </c>
      <c r="N11" s="22" t="n">
        <v>5</v>
      </c>
      <c r="O11" s="22" t="n">
        <v>3</v>
      </c>
      <c r="P11" s="22" t="n">
        <v>5</v>
      </c>
      <c r="Q11" s="23">
        <f>(M11*$M$6+N11*$N$6+O11*$O$6+P11*$P$6)*20</f>
        <v>92.0</v>
      </c>
      <c r="R11" s="6" t="inlineStr">
        <is>
          <t>中陸地區煉廠，柴油佔比高，直接對應柴油裂解創紀錄的 $108/桶與美國柴油首破 $6/加侖</t>
        </is>
      </c>
      <c r="S11" s="6" t="inlineStr">
        <is>
          <t>強</t>
        </is>
      </c>
      <c r="T11" s="6" t="inlineStr">
        <is>
          <t>強</t>
        </is>
      </c>
      <c r="U11" s="6" t="inlineStr">
        <is>
          <t>5 日已 +5.39%，組內最伸展；俄羅斯柴油禁令若於 9/30 到期不續 → 柴油裂解回落</t>
        </is>
      </c>
    </row>
    <row r="12" ht="56" customHeight="1">
      <c r="A12" s="18" t="inlineStr">
        <is>
          <t>①</t>
        </is>
      </c>
      <c r="B12" s="6" t="inlineStr">
        <is>
          <t>煉油與成品油</t>
        </is>
      </c>
      <c r="C12" s="19" t="inlineStr">
        <is>
          <t>MPC</t>
        </is>
      </c>
      <c r="D12" s="6" t="inlineStr">
        <is>
          <t>Marathon Petroleum</t>
        </is>
      </c>
      <c r="E12" s="20" t="n">
        <v>413.92</v>
      </c>
      <c r="F12" s="20" t="n">
        <v>410.84</v>
      </c>
      <c r="G12" s="20" t="n">
        <v>399.44</v>
      </c>
      <c r="H12" s="11">
        <f>E12/F12-1</f>
        <v>0.007496835751144015</v>
      </c>
      <c r="I12" s="11">
        <f>E12/G12-1</f>
        <v>0.03625075105147202</v>
      </c>
      <c r="J12" s="13" t="n">
        <v>2868447</v>
      </c>
      <c r="K12" s="13" t="n">
        <v>2295550</v>
      </c>
      <c r="L12" s="21">
        <f>J12/K12</f>
        <v>1.2495685129925291</v>
      </c>
      <c r="M12" s="22" t="n">
        <v>5</v>
      </c>
      <c r="N12" s="22" t="n">
        <v>4</v>
      </c>
      <c r="O12" s="22" t="n">
        <v>4</v>
      </c>
      <c r="P12" s="22" t="n">
        <v>5</v>
      </c>
      <c r="Q12" s="23">
        <f>(M12*$M$6+N12*$N$6+O12*$O$6+P12*$P$6)*20</f>
        <v>91.0</v>
      </c>
      <c r="R12" s="6" t="inlineStr">
        <is>
          <t>美國煉油產能最大，搭配零售網絡，規模最穩健的參與方式</t>
        </is>
      </c>
      <c r="S12" s="6" t="inlineStr">
        <is>
          <t>強</t>
        </is>
      </c>
      <c r="T12" s="6" t="inlineStr">
        <is>
          <t>強</t>
        </is>
      </c>
      <c r="U12" s="6" t="inlineStr">
        <is>
          <t>同組風險；規模大 → 彈性小於 PBF/DINO</t>
        </is>
      </c>
    </row>
    <row r="13" ht="56" customHeight="1">
      <c r="A13" s="18" t="inlineStr">
        <is>
          <t>①</t>
        </is>
      </c>
      <c r="B13" s="6" t="inlineStr">
        <is>
          <t>煉油與成品油</t>
        </is>
      </c>
      <c r="C13" s="19" t="inlineStr">
        <is>
          <t>PSX</t>
        </is>
      </c>
      <c r="D13" s="6" t="inlineStr">
        <is>
          <t>Phillips 66</t>
        </is>
      </c>
      <c r="E13" s="20" t="n">
        <v>264.63</v>
      </c>
      <c r="F13" s="20" t="n">
        <v>264.93</v>
      </c>
      <c r="G13" s="20" t="n">
        <v>260.78</v>
      </c>
      <c r="H13" s="11">
        <f>E13/F13-1</f>
        <v>-0.0011323745895142068</v>
      </c>
      <c r="I13" s="11">
        <f>E13/G13-1</f>
        <v>0.014763402101388268</v>
      </c>
      <c r="J13" s="13" t="n">
        <v>2670800</v>
      </c>
      <c r="K13" s="13" t="n">
        <v>2685750</v>
      </c>
      <c r="L13" s="21">
        <f>J13/K13</f>
        <v>0.9944335846597785</v>
      </c>
      <c r="M13" s="22" t="n">
        <v>4</v>
      </c>
      <c r="N13" s="22" t="n">
        <v>3</v>
      </c>
      <c r="O13" s="22" t="n">
        <v>4</v>
      </c>
      <c r="P13" s="22" t="n">
        <v>5</v>
      </c>
      <c r="Q13" s="23">
        <f>(M13*$M$6+N13*$N$6+O13*$O$6+P13*$P$6)*20</f>
        <v>78.0</v>
      </c>
      <c r="R13" s="6" t="inlineStr">
        <is>
          <t>中游與化工佔比較高，純煉油度較低；9/16 是組內唯一收跌（−0.11%）</t>
        </is>
      </c>
      <c r="S13" s="6" t="inlineStr">
        <is>
          <t>中</t>
        </is>
      </c>
      <c r="T13" s="6" t="inlineStr">
        <is>
          <t>中</t>
        </is>
      </c>
      <c r="U13" s="6" t="inlineStr">
        <is>
          <t>中游業務使其部分對沖掉裂解上行，純度最低</t>
        </is>
      </c>
    </row>
    <row r="14" ht="56" customHeight="1">
      <c r="A14" s="24" t="inlineStr">
        <is>
          <t>②</t>
        </is>
      </c>
      <c r="B14" s="25" t="inlineStr">
        <is>
          <t>醫院與醫療服務</t>
        </is>
      </c>
      <c r="C14" s="26" t="inlineStr">
        <is>
          <t>THC</t>
        </is>
      </c>
      <c r="D14" s="25" t="inlineStr">
        <is>
          <t>Tenet Healthcare</t>
        </is>
      </c>
      <c r="E14" s="27" t="n">
        <v>265.78</v>
      </c>
      <c r="F14" s="27" t="n">
        <v>260.85</v>
      </c>
      <c r="G14" s="27" t="n">
        <v>269.08</v>
      </c>
      <c r="H14" s="28">
        <f>E14/F14-1</f>
        <v>0.018899750814644234</v>
      </c>
      <c r="I14" s="28">
        <f>E14/G14-1</f>
        <v>-0.012264010703136652</v>
      </c>
      <c r="J14" s="29" t="n">
        <v>628980</v>
      </c>
      <c r="K14" s="29" t="n">
        <v>713550</v>
      </c>
      <c r="L14" s="30">
        <f>J14/K14</f>
        <v>0.8814799243220517</v>
      </c>
      <c r="M14" s="31" t="n">
        <v>4</v>
      </c>
      <c r="N14" s="31" t="n">
        <v>5</v>
      </c>
      <c r="O14" s="31" t="n">
        <v>5</v>
      </c>
      <c r="P14" s="31" t="n">
        <v>5</v>
      </c>
      <c r="Q14" s="32">
        <f>(M14*$M$6+N14*$N$6+O14*$O$6+P14*$P$6)*20</f>
        <v>92.0</v>
      </c>
      <c r="R14" s="25" t="inlineStr">
        <is>
          <t>零石油投入、收入全數本土、近期盈利無久期。5 日仍為 −1.23%，是本組最未伸展的一隻</t>
        </is>
      </c>
      <c r="S14" s="25" t="inlineStr">
        <is>
          <t>強（防守性 + 資金回流）</t>
        </is>
      </c>
      <c r="T14" s="25" t="inlineStr">
        <is>
          <t>強（唯一不受油價傳導的板塊）</t>
        </is>
      </c>
      <c r="U14" s="25" t="inlineStr">
        <is>
          <t>醫保報銷政策消息；週五四巫日引發全面去風險時仍會下跌</t>
        </is>
      </c>
    </row>
    <row r="15" ht="56" customHeight="1">
      <c r="A15" s="24" t="inlineStr">
        <is>
          <t>②</t>
        </is>
      </c>
      <c r="B15" s="25" t="inlineStr">
        <is>
          <t>醫院與醫療服務</t>
        </is>
      </c>
      <c r="C15" s="26" t="inlineStr">
        <is>
          <t>UHS</t>
        </is>
      </c>
      <c r="D15" s="25" t="inlineStr">
        <is>
          <t>Universal Health Services</t>
        </is>
      </c>
      <c r="E15" s="27" t="n">
        <v>181.21</v>
      </c>
      <c r="F15" s="27" t="n">
        <v>176.85</v>
      </c>
      <c r="G15" s="27" t="n">
        <v>175.78</v>
      </c>
      <c r="H15" s="28">
        <f>E15/F15-1</f>
        <v>0.024653661294882667</v>
      </c>
      <c r="I15" s="28">
        <f>E15/G15-1</f>
        <v>0.03089088633519177</v>
      </c>
      <c r="J15" s="29" t="n">
        <v>881541</v>
      </c>
      <c r="K15" s="29" t="n">
        <v>621000</v>
      </c>
      <c r="L15" s="30">
        <f>J15/K15</f>
        <v>1.419550724637681</v>
      </c>
      <c r="M15" s="31" t="n">
        <v>4</v>
      </c>
      <c r="N15" s="31" t="n">
        <v>5</v>
      </c>
      <c r="O15" s="31" t="n">
        <v>4</v>
      </c>
      <c r="P15" s="31" t="n">
        <v>5</v>
      </c>
      <c r="Q15" s="32">
        <f>(M15*$M$6+N15*$N$6+O15*$O$6+P15*$P$6)*20</f>
        <v>88.0</v>
      </c>
      <c r="R15" s="25" t="inlineStr">
        <is>
          <t>9/16 組內最強（+2.47%），成交 1.42x，行為醫療佔比高</t>
        </is>
      </c>
      <c r="S15" s="25" t="inlineStr">
        <is>
          <t>強</t>
        </is>
      </c>
      <c r="T15" s="25" t="inlineStr">
        <is>
          <t>強</t>
        </is>
      </c>
      <c r="U15" s="25" t="inlineStr">
        <is>
          <t>同上；個別州份醫保費率消息</t>
        </is>
      </c>
    </row>
    <row r="16" ht="56" customHeight="1">
      <c r="A16" s="24" t="inlineStr">
        <is>
          <t>②</t>
        </is>
      </c>
      <c r="B16" s="25" t="inlineStr">
        <is>
          <t>醫院與醫療服務</t>
        </is>
      </c>
      <c r="C16" s="26" t="inlineStr">
        <is>
          <t>HCA</t>
        </is>
      </c>
      <c r="D16" s="25" t="inlineStr">
        <is>
          <t>HCA Healthcare</t>
        </is>
      </c>
      <c r="E16" s="27" t="n">
        <v>430.43</v>
      </c>
      <c r="F16" s="27" t="n">
        <v>423.82</v>
      </c>
      <c r="G16" s="27" t="n">
        <v>421.83</v>
      </c>
      <c r="H16" s="28">
        <f>E16/F16-1</f>
        <v>0.015596243688358324</v>
      </c>
      <c r="I16" s="28">
        <f>E16/G16-1</f>
        <v>0.020387359836901098</v>
      </c>
      <c r="J16" s="29" t="n">
        <v>1369642</v>
      </c>
      <c r="K16" s="29" t="n">
        <v>1319750</v>
      </c>
      <c r="L16" s="30">
        <f>J16/K16</f>
        <v>1.0378041295699942</v>
      </c>
      <c r="M16" s="31" t="n">
        <v>4</v>
      </c>
      <c r="N16" s="31" t="n">
        <v>5</v>
      </c>
      <c r="O16" s="31" t="n">
        <v>4</v>
      </c>
      <c r="P16" s="31" t="n">
        <v>5</v>
      </c>
      <c r="Q16" s="32">
        <f>(M16*$M$6+N16*$N$6+O16*$O$6+P16*$P$6)*20</f>
        <v>88.0</v>
      </c>
      <c r="R16" s="25" t="inlineStr">
        <is>
          <t>規模最大、現金流最穩，是防守配置的核心持股</t>
        </is>
      </c>
      <c r="S16" s="25" t="inlineStr">
        <is>
          <t>強</t>
        </is>
      </c>
      <c r="T16" s="25" t="inlineStr">
        <is>
          <t>強</t>
        </is>
      </c>
      <c r="U16" s="25" t="inlineStr">
        <is>
          <t>同上</t>
        </is>
      </c>
    </row>
    <row r="17" ht="56" customHeight="1">
      <c r="A17" s="24" t="inlineStr">
        <is>
          <t>②</t>
        </is>
      </c>
      <c r="B17" s="25" t="inlineStr">
        <is>
          <t>醫院與醫療服務</t>
        </is>
      </c>
      <c r="C17" s="26" t="inlineStr">
        <is>
          <t>EHC</t>
        </is>
      </c>
      <c r="D17" s="25" t="inlineStr">
        <is>
          <t>Encompass Health</t>
        </is>
      </c>
      <c r="E17" s="27" t="n">
        <v>123.91</v>
      </c>
      <c r="F17" s="27" t="n">
        <v>122</v>
      </c>
      <c r="G17" s="27" t="n">
        <v>121.52</v>
      </c>
      <c r="H17" s="28">
        <f>E17/F17-1</f>
        <v>0.015655737704918016</v>
      </c>
      <c r="I17" s="28">
        <f>E17/G17-1</f>
        <v>0.019667544437129703</v>
      </c>
      <c r="J17" s="29" t="n">
        <v>879222</v>
      </c>
      <c r="K17" s="29" t="n">
        <v>753800</v>
      </c>
      <c r="L17" s="30">
        <f>J17/K17</f>
        <v>1.1663863093658795</v>
      </c>
      <c r="M17" s="31" t="n">
        <v>4</v>
      </c>
      <c r="N17" s="31" t="n">
        <v>4</v>
      </c>
      <c r="O17" s="31" t="n">
        <v>4</v>
      </c>
      <c r="P17" s="31" t="n">
        <v>5</v>
      </c>
      <c r="Q17" s="32">
        <f>(M17*$M$6+N17*$N$6+O17*$O$6+P17*$P$6)*20</f>
        <v>83.0</v>
      </c>
      <c r="R17" s="25" t="inlineStr">
        <is>
          <t>康復照護，需求剛性，與經濟周期關聯最低</t>
        </is>
      </c>
      <c r="S17" s="25" t="inlineStr">
        <is>
          <t>強</t>
        </is>
      </c>
      <c r="T17" s="25" t="inlineStr">
        <is>
          <t>強</t>
        </is>
      </c>
      <c r="U17" s="25" t="inlineStr">
        <is>
          <t>同上</t>
        </is>
      </c>
    </row>
    <row r="18" ht="56" customHeight="1">
      <c r="A18" s="24" t="inlineStr">
        <is>
          <t>②</t>
        </is>
      </c>
      <c r="B18" s="25" t="inlineStr">
        <is>
          <t>診斷與生命科學工具</t>
        </is>
      </c>
      <c r="C18" s="26" t="inlineStr">
        <is>
          <t>A</t>
        </is>
      </c>
      <c r="D18" s="25" t="inlineStr">
        <is>
          <t>Agilent Technologies</t>
        </is>
      </c>
      <c r="E18" s="27" t="n">
        <v>153.69</v>
      </c>
      <c r="F18" s="27" t="n">
        <v>150.27</v>
      </c>
      <c r="G18" s="27" t="n">
        <v>144.75</v>
      </c>
      <c r="H18" s="28">
        <f>E18/F18-1</f>
        <v>0.02275903373926913</v>
      </c>
      <c r="I18" s="28">
        <f>E18/G18-1</f>
        <v>0.06176165803108802</v>
      </c>
      <c r="J18" s="29" t="n">
        <v>2507653</v>
      </c>
      <c r="K18" s="29" t="n">
        <v>2570400</v>
      </c>
      <c r="L18" s="30">
        <f>J18/K18</f>
        <v>0.9755886243386244</v>
      </c>
      <c r="M18" s="31" t="n">
        <v>4</v>
      </c>
      <c r="N18" s="31" t="n">
        <v>4</v>
      </c>
      <c r="O18" s="31" t="n">
        <v>3</v>
      </c>
      <c r="P18" s="31" t="n">
        <v>4</v>
      </c>
      <c r="Q18" s="32">
        <f>(M18*$M$6+N18*$N$6+O18*$O$6+P18*$P$6)*20</f>
        <v>76.0</v>
      </c>
      <c r="R18" s="25" t="inlineStr">
        <is>
          <t>5 日分數 100.0（111 組之首）組別的成員；9/16 +2.28% 而 5 日 +6.18%，仍屬可接受</t>
        </is>
      </c>
      <c r="S18" s="25" t="inlineStr">
        <is>
          <t>強</t>
        </is>
      </c>
      <c r="T18" s="25" t="inlineStr">
        <is>
          <t>中強</t>
        </is>
      </c>
      <c r="U18" s="25" t="inlineStr">
        <is>
          <t>5 日組別已 +6.65%，整組偏伸展；中國採購與 NIH 預算消息</t>
        </is>
      </c>
    </row>
    <row r="19" ht="56" customHeight="1">
      <c r="A19" s="24" t="inlineStr">
        <is>
          <t>②</t>
        </is>
      </c>
      <c r="B19" s="25" t="inlineStr">
        <is>
          <t>診斷與生命科學工具</t>
        </is>
      </c>
      <c r="C19" s="26" t="inlineStr">
        <is>
          <t>TMO</t>
        </is>
      </c>
      <c r="D19" s="25" t="inlineStr">
        <is>
          <t>Thermo Fisher Scientific</t>
        </is>
      </c>
      <c r="E19" s="27" t="n">
        <v>648.4299999999999</v>
      </c>
      <c r="F19" s="27" t="n">
        <v>641.39</v>
      </c>
      <c r="G19" s="27" t="n">
        <v>605.6900000000001</v>
      </c>
      <c r="H19" s="28">
        <f>E19/F19-1</f>
        <v>0.010976161150002328</v>
      </c>
      <c r="I19" s="28">
        <f>E19/G19-1</f>
        <v>0.07056414997771121</v>
      </c>
      <c r="J19" s="29" t="n">
        <v>2879941</v>
      </c>
      <c r="K19" s="29" t="n">
        <v>1669300</v>
      </c>
      <c r="L19" s="30">
        <f>J19/K19</f>
        <v>1.7252387228179475</v>
      </c>
      <c r="M19" s="31" t="n">
        <v>4</v>
      </c>
      <c r="N19" s="31" t="n">
        <v>4</v>
      </c>
      <c r="O19" s="31" t="n">
        <v>2</v>
      </c>
      <c r="P19" s="31" t="n">
        <v>4</v>
      </c>
      <c r="Q19" s="32">
        <f>(M19*$M$6+N19*$N$6+O19*$O$6+P19*$P$6)*20</f>
        <v>72.0</v>
      </c>
      <c r="R19" s="25" t="inlineStr">
        <is>
          <t>組內權重最大；資金流確認明確（組別 5 日淨流入 +$45.2 億）</t>
        </is>
      </c>
      <c r="S19" s="25" t="inlineStr">
        <is>
          <t>強</t>
        </is>
      </c>
      <c r="T19" s="25" t="inlineStr">
        <is>
          <t>中強</t>
        </is>
      </c>
      <c r="U19" s="25" t="inlineStr">
        <is>
          <t>5 日 +7.06%，已伸展；追價風險</t>
        </is>
      </c>
    </row>
    <row r="20" ht="56" customHeight="1">
      <c r="A20" s="18" t="inlineStr">
        <is>
          <t>③</t>
        </is>
      </c>
      <c r="B20" s="6" t="inlineStr">
        <is>
          <t>電氣設備與電網</t>
        </is>
      </c>
      <c r="C20" s="19" t="inlineStr">
        <is>
          <t>GEV</t>
        </is>
      </c>
      <c r="D20" s="6" t="inlineStr">
        <is>
          <t>GE Vernova</t>
        </is>
      </c>
      <c r="E20" s="20" t="n">
        <v>925.09</v>
      </c>
      <c r="F20" s="20" t="n">
        <v>882.8099999999999</v>
      </c>
      <c r="G20" s="20" t="n">
        <v>951.04</v>
      </c>
      <c r="H20" s="11">
        <f>E20/F20-1</f>
        <v>0.04789252500538055</v>
      </c>
      <c r="I20" s="11">
        <f>E20/G20-1</f>
        <v>-0.027285918573351164</v>
      </c>
      <c r="J20" s="13" t="n">
        <v>3556586</v>
      </c>
      <c r="K20" s="13" t="n">
        <v>1958000</v>
      </c>
      <c r="L20" s="21">
        <f>J20/K20</f>
        <v>1.816438202247191</v>
      </c>
      <c r="M20" s="22" t="n">
        <v>4</v>
      </c>
      <c r="N20" s="22" t="n">
        <v>5</v>
      </c>
      <c r="O20" s="22" t="n">
        <v>4</v>
      </c>
      <c r="P20" s="22" t="n">
        <v>3</v>
      </c>
      <c r="Q20" s="23">
        <f>(M20*$M$6+N20*$N$6+O20*$O$6+P20*$P$6)*20</f>
        <v>82.00000000000001</v>
      </c>
      <c r="R20" s="6" t="inlineStr">
        <is>
          <t>9/16 +4.79%、成交 1.82x，組內最強。AI 用電中「有訂單、有定價權」的一邊——與零收入的 SMR/鈾形成鏡像（後者 5 日 −17.7%/−16.3%）</t>
        </is>
      </c>
      <c r="S20" s="6" t="inlineStr">
        <is>
          <t>強</t>
        </is>
      </c>
      <c r="T20" s="6" t="inlineStr">
        <is>
          <t>中（高 beta，去風險時同跌）</t>
        </is>
      </c>
      <c r="U20" s="6" t="inlineStr">
        <is>
          <t>高 beta 工業股；9/18 日本央行鷹派 + 四巫日引發全面去槓桿時首當其衝</t>
        </is>
      </c>
    </row>
    <row r="21" ht="56" customHeight="1">
      <c r="A21" s="18" t="inlineStr">
        <is>
          <t>③</t>
        </is>
      </c>
      <c r="B21" s="6" t="inlineStr">
        <is>
          <t>電氣設備與電網</t>
        </is>
      </c>
      <c r="C21" s="19" t="inlineStr">
        <is>
          <t>ETN</t>
        </is>
      </c>
      <c r="D21" s="6" t="inlineStr">
        <is>
          <t>Eaton</t>
        </is>
      </c>
      <c r="E21" s="20" t="n">
        <v>397.8</v>
      </c>
      <c r="F21" s="20" t="n">
        <v>392.4</v>
      </c>
      <c r="G21" s="20" t="n">
        <v>415.22</v>
      </c>
      <c r="H21" s="11">
        <f>E21/F21-1</f>
        <v>0.013761467889908285</v>
      </c>
      <c r="I21" s="11">
        <f>E21/G21-1</f>
        <v>-0.04195366311834692</v>
      </c>
      <c r="J21" s="13" t="n">
        <v>1810629</v>
      </c>
      <c r="K21" s="13" t="n">
        <v>1762250</v>
      </c>
      <c r="L21" s="21">
        <f>J21/K21</f>
        <v>1.0274529720527734</v>
      </c>
      <c r="M21" s="22" t="n">
        <v>4</v>
      </c>
      <c r="N21" s="22" t="n">
        <v>4</v>
      </c>
      <c r="O21" s="22" t="n">
        <v>4</v>
      </c>
      <c r="P21" s="22" t="n">
        <v>3</v>
      </c>
      <c r="Q21" s="23">
        <f>(M21*$M$6+N21*$N$6+O21*$O$6+P21*$P$6)*20</f>
        <v>77.00000000000001</v>
      </c>
      <c r="R21" s="6" t="inlineStr">
        <is>
          <t>資料中心配電龍頭；5 日 −4.20% 代表動能已重置，非伸展狀態</t>
        </is>
      </c>
      <c r="S21" s="6" t="inlineStr">
        <is>
          <t>強</t>
        </is>
      </c>
      <c r="T21" s="6" t="inlineStr">
        <is>
          <t>中</t>
        </is>
      </c>
      <c r="U21" s="6" t="inlineStr">
        <is>
          <t>同上；組別 5 日廣度僅 0.48，內部分歧大</t>
        </is>
      </c>
    </row>
    <row r="22" ht="56" customHeight="1">
      <c r="A22" s="18" t="inlineStr">
        <is>
          <t>③</t>
        </is>
      </c>
      <c r="B22" s="6" t="inlineStr">
        <is>
          <t>電氣設備與電網</t>
        </is>
      </c>
      <c r="C22" s="19" t="inlineStr">
        <is>
          <t>PWR</t>
        </is>
      </c>
      <c r="D22" s="6" t="inlineStr">
        <is>
          <t>Quanta Services</t>
        </is>
      </c>
      <c r="E22" s="20" t="n">
        <v>619.28</v>
      </c>
      <c r="F22" s="20" t="n">
        <v>613.35</v>
      </c>
      <c r="G22" s="20" t="n">
        <v>626.98</v>
      </c>
      <c r="H22" s="11">
        <f>E22/F22-1</f>
        <v>0.009668215537621094</v>
      </c>
      <c r="I22" s="11">
        <f>E22/G22-1</f>
        <v>-0.012281093495805306</v>
      </c>
      <c r="J22" s="13" t="n">
        <v>744668</v>
      </c>
      <c r="K22" s="13" t="n">
        <v>973350</v>
      </c>
      <c r="L22" s="21">
        <f>J22/K22</f>
        <v>0.7650567627266657</v>
      </c>
      <c r="M22" s="22" t="n">
        <v>4</v>
      </c>
      <c r="N22" s="22" t="n">
        <v>3</v>
      </c>
      <c r="O22" s="22" t="n">
        <v>4</v>
      </c>
      <c r="P22" s="22" t="n">
        <v>3</v>
      </c>
      <c r="Q22" s="23">
        <f>(M22*$M$6+N22*$N$6+O22*$O$6+P22*$P$6)*20</f>
        <v>72.00000000000001</v>
      </c>
      <c r="R22" s="6" t="inlineStr">
        <is>
          <t>電網施工訂單；9/16 +0.97%，成交量偏低（0.77x）確認度較弱</t>
        </is>
      </c>
      <c r="S22" s="6" t="inlineStr">
        <is>
          <t>中強</t>
        </is>
      </c>
      <c r="T22" s="6" t="inlineStr">
        <is>
          <t>中</t>
        </is>
      </c>
      <c r="U22" s="6" t="inlineStr">
        <is>
          <t>成交量未確認；施工類對利率較敏感</t>
        </is>
      </c>
    </row>
    <row r="23" ht="56" customHeight="1">
      <c r="A23" s="24" t="inlineStr">
        <is>
          <t>④</t>
        </is>
      </c>
      <c r="B23" s="25" t="inlineStr">
        <is>
          <t>產險與再保</t>
        </is>
      </c>
      <c r="C23" s="26" t="inlineStr">
        <is>
          <t>TRV</t>
        </is>
      </c>
      <c r="D23" s="25" t="inlineStr">
        <is>
          <t>Travelers</t>
        </is>
      </c>
      <c r="E23" s="27" t="n">
        <v>378.92</v>
      </c>
      <c r="F23" s="27" t="n">
        <v>377.97</v>
      </c>
      <c r="G23" s="27" t="n">
        <v>366.85</v>
      </c>
      <c r="H23" s="28">
        <f>E23/F23-1</f>
        <v>0.002513426991560097</v>
      </c>
      <c r="I23" s="28">
        <f>E23/G23-1</f>
        <v>0.032901730952705543</v>
      </c>
      <c r="J23" s="29" t="n">
        <v>1602008</v>
      </c>
      <c r="K23" s="29" t="n">
        <v>1474800</v>
      </c>
      <c r="L23" s="30">
        <f>J23/K23</f>
        <v>1.0862544073772715</v>
      </c>
      <c r="M23" s="31" t="n">
        <v>5</v>
      </c>
      <c r="N23" s="31" t="n">
        <v>4</v>
      </c>
      <c r="O23" s="31" t="n">
        <v>4</v>
      </c>
      <c r="P23" s="31" t="n">
        <v>5</v>
      </c>
      <c r="Q23" s="32">
        <f>(M23*$M$6+N23*$N$6+O23*$O$6+P23*$P$6)*20</f>
        <v>91.0</v>
      </c>
      <c r="R23" s="25" t="inlineStr">
        <is>
          <t>浮存金久期短 → 最快反映 5% 再投資收益。與銀行相反：無存款 beta、無持債虧損。5 日 +3.29% 為組內最佳</t>
        </is>
      </c>
      <c r="S23" s="25" t="inlineStr">
        <is>
          <t>強（息差收益不受油價影響）</t>
        </is>
      </c>
      <c r="T23" s="25" t="inlineStr">
        <is>
          <t>強（戰爭險硬市場加碼）</t>
        </is>
      </c>
      <c r="U23" s="25" t="inlineStr">
        <is>
          <t>大西洋颶風季高峰：一次登陸颶風可一日抵銷三日息差收益</t>
        </is>
      </c>
    </row>
    <row r="24" ht="56" customHeight="1">
      <c r="A24" s="24" t="inlineStr">
        <is>
          <t>④</t>
        </is>
      </c>
      <c r="B24" s="25" t="inlineStr">
        <is>
          <t>產險與再保</t>
        </is>
      </c>
      <c r="C24" s="26" t="inlineStr">
        <is>
          <t>RNR</t>
        </is>
      </c>
      <c r="D24" s="25" t="inlineStr">
        <is>
          <t>RenaissanceRe</t>
        </is>
      </c>
      <c r="E24" s="27" t="n">
        <v>328.43</v>
      </c>
      <c r="F24" s="27" t="n">
        <v>328.7</v>
      </c>
      <c r="G24" s="27" t="n">
        <v>322.53</v>
      </c>
      <c r="H24" s="28">
        <f>E24/F24-1</f>
        <v>-0.0008214177061149908</v>
      </c>
      <c r="I24" s="28">
        <f>E24/G24-1</f>
        <v>0.018292871980901015</v>
      </c>
      <c r="J24" s="29" t="n">
        <v>286739</v>
      </c>
      <c r="K24" s="29" t="n">
        <v>233200</v>
      </c>
      <c r="L24" s="30">
        <f>J24/K24</f>
        <v>1.2295840480274443</v>
      </c>
      <c r="M24" s="31" t="n">
        <v>5</v>
      </c>
      <c r="N24" s="31" t="n">
        <v>3</v>
      </c>
      <c r="O24" s="31" t="n">
        <v>5</v>
      </c>
      <c r="P24" s="31" t="n">
        <v>5</v>
      </c>
      <c r="Q24" s="32">
        <f>(M24*$M$6+N24*$N$6+O24*$O$6+P24*$P$6)*20</f>
        <v>90.0</v>
      </c>
      <c r="R24" s="25" t="inlineStr">
        <is>
          <t>海事／戰爭再保槓桿最直接：Hormuz 戰爭險保費由船體價值 0.25% 抽升至 7.5–10%（$1 億油輪由 $25 萬變 $300–1000 萬）</t>
        </is>
      </c>
      <c r="S24" s="25" t="inlineStr">
        <is>
          <t>中強</t>
        </is>
      </c>
      <c r="T24" s="25" t="inlineStr">
        <is>
          <t>強（戰爭險最直接受惠）</t>
        </is>
      </c>
      <c r="U24" s="25" t="inlineStr">
        <is>
          <t>颶風季 + 實際戰爭損失（已有 UAE 超級油輪遇襲、一名船員身亡）</t>
        </is>
      </c>
    </row>
    <row r="25" ht="56" customHeight="1">
      <c r="A25" s="24" t="inlineStr">
        <is>
          <t>④</t>
        </is>
      </c>
      <c r="B25" s="25" t="inlineStr">
        <is>
          <t>產險與再保</t>
        </is>
      </c>
      <c r="C25" s="26" t="inlineStr">
        <is>
          <t>AIG</t>
        </is>
      </c>
      <c r="D25" s="25" t="inlineStr">
        <is>
          <t>American International Group</t>
        </is>
      </c>
      <c r="E25" s="27" t="n">
        <v>76.06999999999999</v>
      </c>
      <c r="F25" s="27" t="n">
        <v>75.98</v>
      </c>
      <c r="G25" s="27" t="n">
        <v>75.03</v>
      </c>
      <c r="H25" s="28">
        <f>E25/F25-1</f>
        <v>0.001184522242695385</v>
      </c>
      <c r="I25" s="28">
        <f>E25/G25-1</f>
        <v>0.013861122217779354</v>
      </c>
      <c r="J25" s="29" t="n">
        <v>4428000</v>
      </c>
      <c r="K25" s="29" t="n">
        <v>3252850</v>
      </c>
      <c r="L25" s="30">
        <f>J25/K25</f>
        <v>1.3612678113039334</v>
      </c>
      <c r="M25" s="31" t="n">
        <v>4</v>
      </c>
      <c r="N25" s="31" t="n">
        <v>3</v>
      </c>
      <c r="O25" s="31" t="n">
        <v>5</v>
      </c>
      <c r="P25" s="31" t="n">
        <v>5</v>
      </c>
      <c r="Q25" s="32">
        <f>(M25*$M$6+N25*$N$6+O25*$O$6+P25*$P$6)*20</f>
        <v>82.0</v>
      </c>
      <c r="R25" s="25" t="inlineStr">
        <is>
          <t>商業險與特殊險；9/16 僅 +0.12%，屬「未伸展的做多利率」方式</t>
        </is>
      </c>
      <c r="S25" s="25" t="inlineStr">
        <is>
          <t>中強</t>
        </is>
      </c>
      <c r="T25" s="25" t="inlineStr">
        <is>
          <t>強</t>
        </is>
      </c>
      <c r="U25" s="25" t="inlineStr">
        <is>
          <t>同組颶風風險</t>
        </is>
      </c>
    </row>
    <row r="26" ht="56" customHeight="1">
      <c r="A26" s="24" t="inlineStr">
        <is>
          <t>④</t>
        </is>
      </c>
      <c r="B26" s="25" t="inlineStr">
        <is>
          <t>產險與再保</t>
        </is>
      </c>
      <c r="C26" s="26" t="inlineStr">
        <is>
          <t>CB</t>
        </is>
      </c>
      <c r="D26" s="25" t="inlineStr">
        <is>
          <t>Chubb</t>
        </is>
      </c>
      <c r="E26" s="27" t="n">
        <v>341.53</v>
      </c>
      <c r="F26" s="27" t="n">
        <v>341.86</v>
      </c>
      <c r="G26" s="27" t="n">
        <v>337.62</v>
      </c>
      <c r="H26" s="28">
        <f>E26/F26-1</f>
        <v>-0.000965307435792595</v>
      </c>
      <c r="I26" s="28">
        <f>E26/G26-1</f>
        <v>0.011581067472306028</v>
      </c>
      <c r="J26" s="29" t="n">
        <v>1537674</v>
      </c>
      <c r="K26" s="29" t="n">
        <v>1618150</v>
      </c>
      <c r="L26" s="30">
        <f>J26/K26</f>
        <v>0.9502666625467354</v>
      </c>
      <c r="M26" s="31" t="n">
        <v>4</v>
      </c>
      <c r="N26" s="31" t="n">
        <v>3</v>
      </c>
      <c r="O26" s="31" t="n">
        <v>5</v>
      </c>
      <c r="P26" s="31" t="n">
        <v>5</v>
      </c>
      <c r="Q26" s="32">
        <f>(M26*$M$6+N26*$N$6+O26*$O$6+P26*$P$6)*20</f>
        <v>82.0</v>
      </c>
      <c r="R26" s="25" t="inlineStr">
        <is>
          <t>規模最大、最穩；組別 5 日廣度 0.84 為全表最高，代表整組齊上而非一兩隻拉動</t>
        </is>
      </c>
      <c r="S26" s="25" t="inlineStr">
        <is>
          <t>中強</t>
        </is>
      </c>
      <c r="T26" s="25" t="inlineStr">
        <is>
          <t>強</t>
        </is>
      </c>
      <c r="U26" s="25" t="inlineStr">
        <is>
          <t>同組颶風風險</t>
        </is>
      </c>
    </row>
    <row r="27" ht="56" customHeight="1">
      <c r="A27" s="18" t="inlineStr">
        <is>
          <t>⑤</t>
        </is>
      </c>
      <c r="B27" s="6" t="inlineStr">
        <is>
          <t>AI半導體（戰術）</t>
        </is>
      </c>
      <c r="C27" s="19" t="inlineStr">
        <is>
          <t>SNPS</t>
        </is>
      </c>
      <c r="D27" s="6" t="inlineStr">
        <is>
          <t>Synopsys</t>
        </is>
      </c>
      <c r="E27" s="20" t="n">
        <v>378.47</v>
      </c>
      <c r="F27" s="20" t="n">
        <v>367.7</v>
      </c>
      <c r="G27" s="20" t="n">
        <v>393.22</v>
      </c>
      <c r="H27" s="11">
        <f>E27/F27-1</f>
        <v>0.02929018221376123</v>
      </c>
      <c r="I27" s="11">
        <f>E27/G27-1</f>
        <v>-0.03751080819897257</v>
      </c>
      <c r="J27" s="13" t="n">
        <v>1719694</v>
      </c>
      <c r="K27" s="13" t="n">
        <v>1674600</v>
      </c>
      <c r="L27" s="21">
        <f>J27/K27</f>
        <v>1.0269282216648752</v>
      </c>
      <c r="M27" s="22" t="n">
        <v>3</v>
      </c>
      <c r="N27" s="22" t="n">
        <v>5</v>
      </c>
      <c r="O27" s="22" t="n">
        <v>3</v>
      </c>
      <c r="P27" s="22" t="n">
        <v>3</v>
      </c>
      <c r="Q27" s="23">
        <f>(M27*$M$6+N27*$N$6+O27*$O$6+P27*$P$6)*20</f>
        <v>70.0</v>
      </c>
      <c r="R27" s="6" t="inlineStr">
        <is>
          <t>EDA：現金流最穩、波幅最小的參與方式。9/16 +2.93%。Warsh 在聲明中點名「強勁的 AI 資本開支」為通脹來源，等於官方確認該開支不受利率影響</t>
        </is>
      </c>
      <c r="S27" s="6" t="inlineStr">
        <is>
          <t>中</t>
        </is>
      </c>
      <c r="T27" s="6" t="inlineStr">
        <is>
          <t>中</t>
        </is>
      </c>
      <c r="U27" s="6" t="inlineStr">
        <is>
          <t>僅建議小注。組別 5 日 −3.75%，屬反彈非趨勢</t>
        </is>
      </c>
    </row>
    <row r="28" ht="56" customHeight="1">
      <c r="A28" s="18" t="inlineStr">
        <is>
          <t>⑤</t>
        </is>
      </c>
      <c r="B28" s="6" t="inlineStr">
        <is>
          <t>AI半導體（戰術）</t>
        </is>
      </c>
      <c r="C28" s="19" t="inlineStr">
        <is>
          <t>CDNS</t>
        </is>
      </c>
      <c r="D28" s="6" t="inlineStr">
        <is>
          <t>Cadence Design Systems</t>
        </is>
      </c>
      <c r="E28" s="20" t="n">
        <v>279.9</v>
      </c>
      <c r="F28" s="20" t="n">
        <v>273.96</v>
      </c>
      <c r="G28" s="20" t="n">
        <v>284.6</v>
      </c>
      <c r="H28" s="11">
        <f>E28/F28-1</f>
        <v>0.021681997371879147</v>
      </c>
      <c r="I28" s="11">
        <f>E28/G28-1</f>
        <v>-0.016514406184118258</v>
      </c>
      <c r="J28" s="13" t="n">
        <v>2495946</v>
      </c>
      <c r="K28" s="13" t="n">
        <v>2244900</v>
      </c>
      <c r="L28" s="21">
        <f>J28/K28</f>
        <v>1.1118294801550181</v>
      </c>
      <c r="M28" s="22" t="n">
        <v>3</v>
      </c>
      <c r="N28" s="22" t="n">
        <v>5</v>
      </c>
      <c r="O28" s="22" t="n">
        <v>3</v>
      </c>
      <c r="P28" s="22" t="n">
        <v>3</v>
      </c>
      <c r="Q28" s="23">
        <f>(M28*$M$6+N28*$N$6+O28*$O$6+P28*$P$6)*20</f>
        <v>70.0</v>
      </c>
      <c r="R28" s="6" t="inlineStr">
        <is>
          <t>同上，EDA 雙雄；9/16 +2.17%</t>
        </is>
      </c>
      <c r="S28" s="6" t="inlineStr">
        <is>
          <t>中</t>
        </is>
      </c>
      <c r="T28" s="6" t="inlineStr">
        <is>
          <t>中</t>
        </is>
      </c>
      <c r="U28" s="6" t="inlineStr">
        <is>
          <t>同上</t>
        </is>
      </c>
    </row>
    <row r="29" ht="56" customHeight="1">
      <c r="A29" s="18" t="inlineStr">
        <is>
          <t>⑤</t>
        </is>
      </c>
      <c r="B29" s="6" t="inlineStr">
        <is>
          <t>AI半導體（戰術）</t>
        </is>
      </c>
      <c r="C29" s="19" t="inlineStr">
        <is>
          <t>COHR</t>
        </is>
      </c>
      <c r="D29" s="6" t="inlineStr">
        <is>
          <t>Coherent</t>
        </is>
      </c>
      <c r="E29" s="20" t="n">
        <v>289.93</v>
      </c>
      <c r="F29" s="20" t="n">
        <v>271.17</v>
      </c>
      <c r="G29" s="20" t="n">
        <v>303.48</v>
      </c>
      <c r="H29" s="11">
        <f>E29/F29-1</f>
        <v>0.06918169414020725</v>
      </c>
      <c r="I29" s="11">
        <f>E29/G29-1</f>
        <v>-0.04464874126795837</v>
      </c>
      <c r="J29" s="13" t="n">
        <v>7505429</v>
      </c>
      <c r="K29" s="13" t="n">
        <v>5354200</v>
      </c>
      <c r="L29" s="21">
        <f>J29/K29</f>
        <v>1.4017834597138694</v>
      </c>
      <c r="M29" s="22" t="n">
        <v>3</v>
      </c>
      <c r="N29" s="22" t="n">
        <v>5</v>
      </c>
      <c r="O29" s="22" t="n">
        <v>1</v>
      </c>
      <c r="P29" s="22" t="n">
        <v>2</v>
      </c>
      <c r="Q29" s="23">
        <f>(M29*$M$6+N29*$N$6+O29*$O$6+P29*$P$6)*20</f>
        <v>59.0</v>
      </c>
      <c r="R29" s="6" t="inlineStr">
        <is>
          <t>光通訊/CPO：9/16 全表最強組別（+5.61%、廣度 1.00、成交 1.50x）</t>
        </is>
      </c>
      <c r="S29" s="6" t="inlineStr">
        <is>
          <t>中</t>
        </is>
      </c>
      <c r="T29" s="6" t="inlineStr">
        <is>
          <t>中</t>
        </is>
      </c>
      <c r="U29" s="6" t="inlineStr">
        <is>
          <t>⚠ 不建議追：5 日仍 −4.46%，組別 5 日淨流出 −$132.9 億。單日彈 5–9% 撞正週五四巫日最易被打回</t>
        </is>
      </c>
    </row>
    <row r="30" ht="56" customHeight="1">
      <c r="A30" s="18" t="inlineStr">
        <is>
          <t>⑤</t>
        </is>
      </c>
      <c r="B30" s="6" t="inlineStr">
        <is>
          <t>AI半導體（戰術）</t>
        </is>
      </c>
      <c r="C30" s="19" t="inlineStr">
        <is>
          <t>LITE</t>
        </is>
      </c>
      <c r="D30" s="6" t="inlineStr">
        <is>
          <t>Lumentum</t>
        </is>
      </c>
      <c r="E30" s="20" t="n">
        <v>919.4</v>
      </c>
      <c r="F30" s="20" t="n">
        <v>838.96</v>
      </c>
      <c r="G30" s="20" t="n">
        <v>988.98</v>
      </c>
      <c r="H30" s="11">
        <f>E30/F30-1</f>
        <v>0.09588061409363968</v>
      </c>
      <c r="I30" s="11">
        <f>E30/G30-1</f>
        <v>-0.07035531557766594</v>
      </c>
      <c r="J30" s="13" t="n">
        <v>6452242</v>
      </c>
      <c r="K30" s="13" t="n">
        <v>3876650</v>
      </c>
      <c r="L30" s="21">
        <f>J30/K30</f>
        <v>1.6643860033792062</v>
      </c>
      <c r="M30" s="22" t="n">
        <v>3</v>
      </c>
      <c r="N30" s="22" t="n">
        <v>5</v>
      </c>
      <c r="O30" s="22" t="n">
        <v>1</v>
      </c>
      <c r="P30" s="22" t="n">
        <v>2</v>
      </c>
      <c r="Q30" s="23">
        <f>(M30*$M$6+N30*$N$6+O30*$O$6+P30*$P$6)*20</f>
        <v>59.0</v>
      </c>
      <c r="R30" s="6" t="inlineStr">
        <is>
          <t>9/16 +9.59%、成交 1.66x，當日全表個股最強</t>
        </is>
      </c>
      <c r="S30" s="6" t="inlineStr">
        <is>
          <t>中</t>
        </is>
      </c>
      <c r="T30" s="6" t="inlineStr">
        <is>
          <t>中</t>
        </is>
      </c>
      <c r="U30" s="6" t="inlineStr">
        <is>
          <t>⚠ 不建議追：5 日 −7.04%，純粹壞週後的反彈</t>
        </is>
      </c>
    </row>
    <row r="31" ht="56" customHeight="1">
      <c r="A31" s="18" t="inlineStr">
        <is>
          <t>⑤</t>
        </is>
      </c>
      <c r="B31" s="6" t="inlineStr">
        <is>
          <t>AI半導體（戰術）</t>
        </is>
      </c>
      <c r="C31" s="19" t="inlineStr">
        <is>
          <t>CRDO</t>
        </is>
      </c>
      <c r="D31" s="6" t="inlineStr">
        <is>
          <t>Credo Technology</t>
        </is>
      </c>
      <c r="E31" s="20" t="n">
        <v>161.49</v>
      </c>
      <c r="F31" s="20" t="n">
        <v>150.39</v>
      </c>
      <c r="G31" s="20" t="n">
        <v>167.92</v>
      </c>
      <c r="H31" s="11">
        <f>E31/F31-1</f>
        <v>0.07380809894274898</v>
      </c>
      <c r="I31" s="11">
        <f>E31/G31-1</f>
        <v>-0.038292043830395306</v>
      </c>
      <c r="J31" s="13" t="n">
        <v>8837959</v>
      </c>
      <c r="K31" s="13" t="n">
        <v>6192050</v>
      </c>
      <c r="L31" s="21">
        <f>J31/K31</f>
        <v>1.42730743453299</v>
      </c>
      <c r="M31" s="22" t="n">
        <v>3</v>
      </c>
      <c r="N31" s="22" t="n">
        <v>5</v>
      </c>
      <c r="O31" s="22" t="n">
        <v>1</v>
      </c>
      <c r="P31" s="22" t="n">
        <v>2</v>
      </c>
      <c r="Q31" s="23">
        <f>(M31*$M$6+N31*$N$6+O31*$O$6+P31*$P$6)*20</f>
        <v>59.0</v>
      </c>
      <c r="R31" s="6" t="inlineStr">
        <is>
          <t>9/16 +7.38%，AI 互連</t>
        </is>
      </c>
      <c r="S31" s="6" t="inlineStr">
        <is>
          <t>中</t>
        </is>
      </c>
      <c r="T31" s="6" t="inlineStr">
        <is>
          <t>中</t>
        </is>
      </c>
      <c r="U31" s="6" t="inlineStr">
        <is>
          <t>⚠ 不建議追：5 日 −3.83%，小型高 beta</t>
        </is>
      </c>
    </row>
    <row r="32" ht="56" customHeight="1">
      <c r="A32" s="24" t="inlineStr">
        <is>
          <t>⑥</t>
        </is>
      </c>
      <c r="B32" s="25" t="inlineStr">
        <is>
          <t>鋼鐵（觀察）</t>
        </is>
      </c>
      <c r="C32" s="26" t="inlineStr">
        <is>
          <t>NUE</t>
        </is>
      </c>
      <c r="D32" s="25" t="inlineStr">
        <is>
          <t>Nucor</t>
        </is>
      </c>
      <c r="E32" s="27" t="n">
        <v>260.68</v>
      </c>
      <c r="F32" s="27" t="n">
        <v>258.82</v>
      </c>
      <c r="G32" s="27" t="n">
        <v>257.91</v>
      </c>
      <c r="H32" s="28">
        <f>E32/F32-1</f>
        <v>0.007186461633567731</v>
      </c>
      <c r="I32" s="28">
        <f>E32/G32-1</f>
        <v>0.010740180683183942</v>
      </c>
      <c r="J32" s="29" t="n">
        <v>1089648</v>
      </c>
      <c r="K32" s="29" t="n">
        <v>1081400</v>
      </c>
      <c r="L32" s="30">
        <f>J32/K32</f>
        <v>1.0076271499907528</v>
      </c>
      <c r="M32" s="31" t="n">
        <v>3</v>
      </c>
      <c r="N32" s="31" t="n">
        <v>4</v>
      </c>
      <c r="O32" s="31" t="n">
        <v>4</v>
      </c>
      <c r="P32" s="31" t="n">
        <v>4</v>
      </c>
      <c r="Q32" s="32">
        <f>(M32*$M$6+N32*$N$6+O32*$O$6+P32*$P$6)*20</f>
        <v>72.0</v>
      </c>
      <c r="R32" s="25" t="inlineStr">
        <is>
          <t>本土、關稅保護、戰爭與基建需求，對利率不如建商敏感。9/16 +0.72%，組別廣度 1.00</t>
        </is>
      </c>
      <c r="S32" s="25" t="inlineStr">
        <is>
          <t>中</t>
        </is>
      </c>
      <c r="T32" s="25" t="inlineStr">
        <is>
          <t>中強</t>
        </is>
      </c>
      <c r="U32" s="25" t="inlineStr">
        <is>
          <t>僅觀察不建議新倉：組別 5 日僅 +0.10%，方向未確立</t>
        </is>
      </c>
    </row>
    <row r="33" ht="56" customHeight="1">
      <c r="A33" s="24" t="inlineStr">
        <is>
          <t>⑥</t>
        </is>
      </c>
      <c r="B33" s="25" t="inlineStr">
        <is>
          <t>鋼鐵（觀察）</t>
        </is>
      </c>
      <c r="C33" s="26" t="inlineStr">
        <is>
          <t>CLF</t>
        </is>
      </c>
      <c r="D33" s="25" t="inlineStr">
        <is>
          <t>Cleveland-Cliffs</t>
        </is>
      </c>
      <c r="E33" s="27" t="n">
        <v>12.15</v>
      </c>
      <c r="F33" s="27" t="n">
        <v>11.79</v>
      </c>
      <c r="G33" s="27" t="n">
        <v>12.09</v>
      </c>
      <c r="H33" s="28">
        <f>E33/F33-1</f>
        <v>0.03053435114503822</v>
      </c>
      <c r="I33" s="28">
        <f>E33/G33-1</f>
        <v>0.00496277915632759</v>
      </c>
      <c r="J33" s="29" t="n">
        <v>14277992</v>
      </c>
      <c r="K33" s="29" t="n">
        <v>12008650</v>
      </c>
      <c r="L33" s="30">
        <f>J33/K33</f>
        <v>1.1889756134119989</v>
      </c>
      <c r="M33" s="31" t="n">
        <v>3</v>
      </c>
      <c r="N33" s="31" t="n">
        <v>4</v>
      </c>
      <c r="O33" s="31" t="n">
        <v>4</v>
      </c>
      <c r="P33" s="31" t="n">
        <v>3</v>
      </c>
      <c r="Q33" s="32">
        <f>(M33*$M$6+N33*$N$6+O33*$O$6+P33*$P$6)*20</f>
        <v>69.0</v>
      </c>
      <c r="R33" s="25" t="inlineStr">
        <is>
          <t>9/16 +3.05%，組內最強；高槓桿小型股</t>
        </is>
      </c>
      <c r="S33" s="25" t="inlineStr">
        <is>
          <t>中</t>
        </is>
      </c>
      <c r="T33" s="25" t="inlineStr">
        <is>
          <t>中強</t>
        </is>
      </c>
      <c r="U33" s="25" t="inlineStr">
        <is>
          <t>同上；高負債對 5% 利率敏感</t>
        </is>
      </c>
    </row>
    <row r="34">
      <c r="A34" s="33" t="n"/>
      <c r="B34" s="34" t="inlineStr">
        <is>
          <t>組合平均</t>
        </is>
      </c>
      <c r="C34" s="33" t="n"/>
      <c r="D34" s="33" t="n"/>
      <c r="E34" s="33" t="n"/>
      <c r="F34" s="33" t="n"/>
      <c r="G34" s="33" t="n"/>
      <c r="H34" s="35">
        <f>AVERAGE(H9:H33)</f>
        <v>0.022517396490427576</v>
      </c>
      <c r="I34" s="35">
        <f>AVERAGE(I9:I33)</f>
        <v>0.00514772691231713</v>
      </c>
      <c r="J34" s="33" t="n"/>
      <c r="K34" s="33" t="n"/>
      <c r="L34" s="36">
        <f>AVERAGE(L9:L33)</f>
        <v>1.213235079185607</v>
      </c>
      <c r="M34" s="33" t="n"/>
      <c r="N34" s="33" t="n"/>
      <c r="O34" s="33" t="n"/>
      <c r="P34" s="33" t="n"/>
      <c r="Q34" s="37">
        <f>AVERAGE(Q9:Q33)</f>
        <v>79.36</v>
      </c>
      <c r="R34" s="33" t="n"/>
      <c r="S34" s="33" t="n"/>
      <c r="T34" s="33" t="n"/>
      <c r="U34" s="33" t="n"/>
    </row>
    <row r="36">
      <c r="A36" s="9" t="inlineStr">
        <is>
          <t>組別說明：① 煉油＝最高信心（兩態皆贏）　② 醫療服務／工具＝資金流最確認　③ 電網＝AI 用電中有收入的一邊　④ 產險再保＝唯一「想要」5% 孳息的金融　⑤ AI 半導體＝戰術小注　⑥ 鋼鐵＝觀察不建倉</t>
        </is>
      </c>
    </row>
  </sheetData>
  <mergeCells count="4">
    <mergeCell ref="A1:U1"/>
    <mergeCell ref="A36:U36"/>
    <mergeCell ref="M4:Q4"/>
    <mergeCell ref="A2:U2"/>
  </mergeCells>
  <hyperlinks>
    <hyperlink ref="C9" r:id="rId1"/>
    <hyperlink ref="C10" r:id="rId2"/>
    <hyperlink ref="C11" r:id="rId3"/>
    <hyperlink ref="C12" r:id="rId4"/>
    <hyperlink ref="C13" r:id="rId5"/>
    <hyperlink ref="C14" r:id="rId6"/>
    <hyperlink ref="C15" r:id="rId7"/>
    <hyperlink ref="C16" r:id="rId8"/>
    <hyperlink ref="C17" r:id="rId9"/>
    <hyperlink ref="C18" r:id="rId10"/>
    <hyperlink ref="C19" r:id="rId11"/>
    <hyperlink ref="C20" r:id="rId12"/>
    <hyperlink ref="C21" r:id="rId13"/>
    <hyperlink ref="C22" r:id="rId14"/>
    <hyperlink ref="C23" r:id="rId15"/>
    <hyperlink ref="C24" r:id="rId16"/>
    <hyperlink ref="C25" r:id="rId17"/>
    <hyperlink ref="C26" r:id="rId18"/>
    <hyperlink ref="C27" r:id="rId19"/>
    <hyperlink ref="C28" r:id="rId20"/>
    <hyperlink ref="C29" r:id="rId21"/>
    <hyperlink ref="C30" r:id="rId22"/>
    <hyperlink ref="C31" r:id="rId23"/>
    <hyperlink ref="C32" r:id="rId24"/>
    <hyperlink ref="C33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00B71C1C"/>
    <outlinePr summaryBelow="1" summaryRight="1"/>
    <pageSetUpPr/>
  </sheetPr>
  <dimension ref="A1:M37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3" customWidth="1" min="10" max="10"/>
    <col width="8" customWidth="1" min="11" max="11"/>
    <col width="56" customWidth="1" min="12" max="12"/>
    <col width="34" customWidth="1" min="13" max="13"/>
  </cols>
  <sheetData>
    <row r="1" ht="22" customHeight="1">
      <c r="A1" s="1" t="inlineStr">
        <is>
          <t>3 日迴避清單　Avoid List R1.01</t>
        </is>
      </c>
    </row>
    <row r="2">
      <c r="A2" s="2" t="inlineStr">
        <is>
          <t>基準 2026-09-16 美東收市　·　G/H/K 欄為公式　·　代號可點擊開 TradingView 圖表　·　列出「有具體理由」的迴避標的，非泛泛看淡</t>
        </is>
      </c>
    </row>
    <row r="8" ht="30" customHeight="1">
      <c r="A8" s="17" t="inlineStr">
        <is>
          <t>類別</t>
        </is>
      </c>
      <c r="B8" s="17" t="inlineStr">
        <is>
          <t>代號</t>
        </is>
      </c>
      <c r="C8" s="17" t="inlineStr">
        <is>
          <t>公司</t>
        </is>
      </c>
      <c r="D8" s="17" t="inlineStr">
        <is>
          <t>收市
09-16</t>
        </is>
      </c>
      <c r="E8" s="17" t="inlineStr">
        <is>
          <t>前收
09-15</t>
        </is>
      </c>
      <c r="F8" s="17" t="inlineStr">
        <is>
          <t>5日前收
09-09</t>
        </is>
      </c>
      <c r="G8" s="17" t="inlineStr">
        <is>
          <t>09-16
漲跌%</t>
        </is>
      </c>
      <c r="H8" s="17" t="inlineStr">
        <is>
          <t>5日
漲跌%</t>
        </is>
      </c>
      <c r="I8" s="17" t="inlineStr">
        <is>
          <t>09-16
成交量</t>
        </is>
      </c>
      <c r="J8" s="17" t="inlineStr">
        <is>
          <t>20日
中位量</t>
        </is>
      </c>
      <c r="K8" s="17" t="inlineStr">
        <is>
          <t>相對量</t>
        </is>
      </c>
      <c r="L8" s="17" t="inlineStr">
        <is>
          <t>迴避理由</t>
        </is>
      </c>
      <c r="M8" s="17" t="inlineStr">
        <is>
          <t>何時反手做多</t>
        </is>
      </c>
    </row>
    <row r="9" ht="46" customHeight="1">
      <c r="A9" s="38" t="inlineStr">
        <is>
          <t>頁岩E&amp;P／油服</t>
        </is>
      </c>
      <c r="B9" s="39" t="inlineStr">
        <is>
          <t>FANG</t>
        </is>
      </c>
      <c r="C9" s="40" t="inlineStr">
        <is>
          <t>Diamondback Energy</t>
        </is>
      </c>
      <c r="D9" s="41" t="n">
        <v>194.54</v>
      </c>
      <c r="E9" s="41" t="n">
        <v>211.53</v>
      </c>
      <c r="F9" s="41" t="n">
        <v>202.63</v>
      </c>
      <c r="G9" s="42">
        <f>D9/E9-1</f>
        <v>-0.08031957641942045</v>
      </c>
      <c r="H9" s="42">
        <f>D9/F9-1</f>
        <v>-0.03992498642846565</v>
      </c>
      <c r="I9" s="43" t="n">
        <v>15400011</v>
      </c>
      <c r="J9" s="43" t="n">
        <v>1852750</v>
      </c>
      <c r="K9" s="44">
        <f>I9/J9</f>
        <v>8.311974632303333</v>
      </c>
      <c r="L9" s="40" t="inlineStr">
        <is>
          <t>擁擠多倉在 8.31x 成交量下爆掉——全表最極端的量能。前一交易日同組 APA 才創 52 週新高</t>
        </is>
      </c>
      <c r="M9" s="40" t="inlineStr">
        <is>
          <t>輸油管修復證實需 5–6 週，且量能回落至 1.5x 以下</t>
        </is>
      </c>
    </row>
    <row r="10" ht="46" customHeight="1">
      <c r="A10" s="38" t="inlineStr">
        <is>
          <t>頁岩E&amp;P／油服</t>
        </is>
      </c>
      <c r="B10" s="39" t="inlineStr">
        <is>
          <t>OXY</t>
        </is>
      </c>
      <c r="C10" s="40" t="inlineStr">
        <is>
          <t>Occidental Petroleum</t>
        </is>
      </c>
      <c r="D10" s="41" t="n">
        <v>59.36</v>
      </c>
      <c r="E10" s="41" t="n">
        <v>63.52</v>
      </c>
      <c r="F10" s="41" t="n">
        <v>61.3</v>
      </c>
      <c r="G10" s="42">
        <f>D10/E10-1</f>
        <v>-0.06549118387909325</v>
      </c>
      <c r="H10" s="42">
        <f>D10/F10-1</f>
        <v>-0.031647634584012985</v>
      </c>
      <c r="I10" s="43" t="n">
        <v>11536216</v>
      </c>
      <c r="J10" s="43" t="n">
        <v>7087900</v>
      </c>
      <c r="K10" s="44">
        <f>I10/J10</f>
        <v>1.627592940080983</v>
      </c>
      <c r="L10" s="40" t="inlineStr">
        <is>
          <t>同上；−6.55%、成交 1.63x</t>
        </is>
      </c>
      <c r="M10" s="40" t="inlineStr"/>
    </row>
    <row r="11" ht="46" customHeight="1">
      <c r="A11" s="38" t="inlineStr">
        <is>
          <t>頁岩E&amp;P／油服</t>
        </is>
      </c>
      <c r="B11" s="39" t="inlineStr">
        <is>
          <t>COP</t>
        </is>
      </c>
      <c r="C11" s="40" t="inlineStr">
        <is>
          <t>ConocoPhillips</t>
        </is>
      </c>
      <c r="D11" s="41" t="n">
        <v>132.54</v>
      </c>
      <c r="E11" s="41" t="n">
        <v>141.22</v>
      </c>
      <c r="F11" s="41" t="n">
        <v>136.53</v>
      </c>
      <c r="G11" s="42">
        <f>D11/E11-1</f>
        <v>-0.06146438181560687</v>
      </c>
      <c r="H11" s="42">
        <f>D11/F11-1</f>
        <v>-0.029224346297517134</v>
      </c>
      <c r="I11" s="43" t="n">
        <v>9045920</v>
      </c>
      <c r="J11" s="43" t="n">
        <v>6032150</v>
      </c>
      <c r="K11" s="44">
        <f>I11/J11</f>
        <v>1.4996178808550849</v>
      </c>
      <c r="L11" s="40" t="inlineStr">
        <is>
          <t>同上；−6.15%、成交 1.50x</t>
        </is>
      </c>
      <c r="M11" s="40" t="inlineStr"/>
    </row>
    <row r="12" ht="46" customHeight="1">
      <c r="A12" s="38" t="inlineStr">
        <is>
          <t>頁岩E&amp;P／油服</t>
        </is>
      </c>
      <c r="B12" s="39" t="inlineStr">
        <is>
          <t>EOG</t>
        </is>
      </c>
      <c r="C12" s="40" t="inlineStr">
        <is>
          <t>EOG Resources</t>
        </is>
      </c>
      <c r="D12" s="41" t="n">
        <v>144.93</v>
      </c>
      <c r="E12" s="41" t="n">
        <v>153.74</v>
      </c>
      <c r="F12" s="41" t="n">
        <v>147.01</v>
      </c>
      <c r="G12" s="42">
        <f>D12/E12-1</f>
        <v>-0.057304540132691595</v>
      </c>
      <c r="H12" s="42">
        <f>D12/F12-1</f>
        <v>-0.014148697367525886</v>
      </c>
      <c r="I12" s="43" t="n">
        <v>4385565</v>
      </c>
      <c r="J12" s="43" t="n">
        <v>2869250</v>
      </c>
      <c r="K12" s="44">
        <f>I12/J12</f>
        <v>1.5284708547529842</v>
      </c>
      <c r="L12" s="40" t="inlineStr">
        <is>
          <t>同上；−5.73%、成交 1.53x</t>
        </is>
      </c>
      <c r="M12" s="40" t="inlineStr"/>
    </row>
    <row r="13" ht="46" customHeight="1">
      <c r="A13" s="38" t="inlineStr">
        <is>
          <t>頁岩E&amp;P／油服</t>
        </is>
      </c>
      <c r="B13" s="39" t="inlineStr">
        <is>
          <t>DVN</t>
        </is>
      </c>
      <c r="C13" s="40" t="inlineStr">
        <is>
          <t>Devon Energy</t>
        </is>
      </c>
      <c r="D13" s="41" t="n">
        <v>48.44</v>
      </c>
      <c r="E13" s="41" t="n">
        <v>51.33</v>
      </c>
      <c r="F13" s="41" t="n">
        <v>48.98</v>
      </c>
      <c r="G13" s="42">
        <f>D13/E13-1</f>
        <v>-0.05630235729592836</v>
      </c>
      <c r="H13" s="42">
        <f>D13/F13-1</f>
        <v>-0.01102490812576562</v>
      </c>
      <c r="I13" s="43" t="n">
        <v>14976497</v>
      </c>
      <c r="J13" s="43" t="n">
        <v>10321150</v>
      </c>
      <c r="K13" s="44">
        <f>I13/J13</f>
        <v>1.4510492532324402</v>
      </c>
      <c r="L13" s="40" t="inlineStr">
        <is>
          <t>同上；−5.63%、成交 1.45x</t>
        </is>
      </c>
      <c r="M13" s="40" t="inlineStr"/>
    </row>
    <row r="14" ht="46" customHeight="1">
      <c r="A14" s="38" t="inlineStr">
        <is>
          <t>頁岩E&amp;P／油服</t>
        </is>
      </c>
      <c r="B14" s="39" t="inlineStr">
        <is>
          <t>SLB</t>
        </is>
      </c>
      <c r="C14" s="40" t="inlineStr">
        <is>
          <t>SLB (Schlumberger)</t>
        </is>
      </c>
      <c r="D14" s="41" t="n">
        <v>52.3</v>
      </c>
      <c r="E14" s="41" t="n">
        <v>54.2</v>
      </c>
      <c r="F14" s="41" t="n">
        <v>57.05</v>
      </c>
      <c r="G14" s="42">
        <f>D14/E14-1</f>
        <v>-0.035055350553505615</v>
      </c>
      <c r="H14" s="42">
        <f>D14/F14-1</f>
        <v>-0.08326029798422441</v>
      </c>
      <c r="I14" s="43" t="n">
        <v>21322320</v>
      </c>
      <c r="J14" s="43" t="n">
        <v>11813250</v>
      </c>
      <c r="K14" s="44">
        <f>I14/J14</f>
        <v>1.8049495270141578</v>
      </c>
      <c r="L14" s="40" t="inlineStr">
        <is>
          <t>油服 5 日 −8.33%；上游資本開支預期隨油價回落而下修</t>
        </is>
      </c>
      <c r="M14" s="40" t="inlineStr"/>
    </row>
    <row r="15" ht="46" customHeight="1">
      <c r="A15" s="38" t="inlineStr">
        <is>
          <t>頁岩E&amp;P／油服</t>
        </is>
      </c>
      <c r="B15" s="39" t="inlineStr">
        <is>
          <t>HAL</t>
        </is>
      </c>
      <c r="C15" s="40" t="inlineStr">
        <is>
          <t>Halliburton</t>
        </is>
      </c>
      <c r="D15" s="41" t="n">
        <v>34.51</v>
      </c>
      <c r="E15" s="41" t="n">
        <v>35.67</v>
      </c>
      <c r="F15" s="41" t="n">
        <v>37.13</v>
      </c>
      <c r="G15" s="42">
        <f>D15/E15-1</f>
        <v>-0.0325203252032521</v>
      </c>
      <c r="H15" s="42">
        <f>D15/F15-1</f>
        <v>-0.07056288715324543</v>
      </c>
      <c r="I15" s="43" t="n">
        <v>13783174</v>
      </c>
      <c r="J15" s="43" t="n">
        <v>9902350</v>
      </c>
      <c r="K15" s="44">
        <f>I15/J15</f>
        <v>1.3919093952445631</v>
      </c>
      <c r="L15" s="40" t="inlineStr">
        <is>
          <t>同上；5 日 −7.06%</t>
        </is>
      </c>
      <c r="M15" s="40" t="inlineStr"/>
    </row>
    <row r="16" ht="46" customHeight="1">
      <c r="A16" s="38" t="inlineStr">
        <is>
          <t>頁岩E&amp;P／油服</t>
        </is>
      </c>
      <c r="B16" s="39" t="inlineStr">
        <is>
          <t>RIG</t>
        </is>
      </c>
      <c r="C16" s="40" t="inlineStr">
        <is>
          <t>Transocean</t>
        </is>
      </c>
      <c r="D16" s="41" t="n">
        <v>5.54</v>
      </c>
      <c r="E16" s="41" t="n">
        <v>5.94</v>
      </c>
      <c r="F16" s="41" t="n">
        <v>5.71</v>
      </c>
      <c r="G16" s="42">
        <f>D16/E16-1</f>
        <v>-0.06734006734006737</v>
      </c>
      <c r="H16" s="42">
        <f>D16/F16-1</f>
        <v>-0.02977232924693518</v>
      </c>
      <c r="I16" s="43" t="n">
        <v>58121780</v>
      </c>
      <c r="J16" s="43" t="n">
        <v>39924850</v>
      </c>
      <c r="K16" s="44">
        <f>I16/J16</f>
        <v>1.4557795458217127</v>
      </c>
      <c r="L16" s="40" t="inlineStr">
        <is>
          <t>海上鑽井組 9/16 −5.47%，為 111 組第 109 位</t>
        </is>
      </c>
      <c r="M16" s="40" t="inlineStr"/>
    </row>
    <row r="17" ht="46" customHeight="1">
      <c r="A17" s="38" t="inlineStr">
        <is>
          <t>綜合油氣巨頭</t>
        </is>
      </c>
      <c r="B17" s="39" t="inlineStr">
        <is>
          <t>XOM</t>
        </is>
      </c>
      <c r="C17" s="40" t="inlineStr">
        <is>
          <t>Exxon Mobil</t>
        </is>
      </c>
      <c r="D17" s="41" t="n">
        <v>163.32</v>
      </c>
      <c r="E17" s="41" t="n">
        <v>169.32</v>
      </c>
      <c r="F17" s="41" t="n">
        <v>164.23</v>
      </c>
      <c r="G17" s="42">
        <f>D17/E17-1</f>
        <v>-0.03543586109142449</v>
      </c>
      <c r="H17" s="42">
        <f>D17/F17-1</f>
        <v>-0.0055410095597637765</v>
      </c>
      <c r="I17" s="43" t="n">
        <v>13428810</v>
      </c>
      <c r="J17" s="43" t="n">
        <v>13779050</v>
      </c>
      <c r="K17" s="44">
        <f>I17/J17</f>
        <v>0.9745817019315555</v>
      </c>
      <c r="L17" s="40" t="inlineStr">
        <is>
          <t>−3.54%；上游佔比高，與煉油分部的對沖不足以抵銷</t>
        </is>
      </c>
      <c r="M17" s="40" t="inlineStr">
        <is>
          <t>下游佔比提升或裂解利潤入賬體現</t>
        </is>
      </c>
    </row>
    <row r="18" ht="46" customHeight="1">
      <c r="A18" s="38" t="inlineStr">
        <is>
          <t>綜合油氣巨頭</t>
        </is>
      </c>
      <c r="B18" s="39" t="inlineStr">
        <is>
          <t>CVX</t>
        </is>
      </c>
      <c r="C18" s="40" t="inlineStr">
        <is>
          <t>Chevron</t>
        </is>
      </c>
      <c r="D18" s="41" t="n">
        <v>211.54</v>
      </c>
      <c r="E18" s="41" t="n">
        <v>217.77</v>
      </c>
      <c r="F18" s="41" t="n">
        <v>213.81</v>
      </c>
      <c r="G18" s="42">
        <f>D18/E18-1</f>
        <v>-0.028608164577306416</v>
      </c>
      <c r="H18" s="42">
        <f>D18/F18-1</f>
        <v>-0.010616902857677468</v>
      </c>
      <c r="I18" s="43" t="n">
        <v>8045164</v>
      </c>
      <c r="J18" s="43" t="n">
        <v>7908100</v>
      </c>
      <c r="K18" s="44">
        <f>I18/J18</f>
        <v>1.017332102527788</v>
      </c>
      <c r="L18" s="40" t="inlineStr">
        <is>
          <t>−2.86%；同上</t>
        </is>
      </c>
      <c r="M18" s="40" t="inlineStr"/>
    </row>
    <row r="19" ht="46" customHeight="1">
      <c r="A19" s="38" t="inlineStr">
        <is>
          <t>區域銀行</t>
        </is>
      </c>
      <c r="B19" s="39" t="inlineStr">
        <is>
          <t>USB</t>
        </is>
      </c>
      <c r="C19" s="40" t="inlineStr">
        <is>
          <t>U.S. Bancorp</t>
        </is>
      </c>
      <c r="D19" s="41" t="n">
        <v>59.73</v>
      </c>
      <c r="E19" s="41" t="n">
        <v>62.22</v>
      </c>
      <c r="F19" s="41" t="n">
        <v>62.11</v>
      </c>
      <c r="G19" s="42">
        <f>D19/E19-1</f>
        <v>-0.04001928640308583</v>
      </c>
      <c r="H19" s="42">
        <f>D19/F19-1</f>
        <v>-0.03831911125422638</v>
      </c>
      <c r="I19" s="43" t="n">
        <v>17454429</v>
      </c>
      <c r="J19" s="43" t="n">
        <v>6283850</v>
      </c>
      <c r="K19" s="44">
        <f>I19/J19</f>
        <v>2.777664807403105</v>
      </c>
      <c r="L19" s="40" t="inlineStr">
        <is>
          <t>5% 的 10Y ＝ 持債未實現虧損擴大 + 存款成本上升 + CRE 曝險。−4.00%、成交 2.78x 屬明顯分派</t>
        </is>
      </c>
      <c r="M19" s="40" t="inlineStr">
        <is>
          <t>孳息曲線轉陡（長端回落而短端不動）</t>
        </is>
      </c>
    </row>
    <row r="20" ht="46" customHeight="1">
      <c r="A20" s="38" t="inlineStr">
        <is>
          <t>區域銀行</t>
        </is>
      </c>
      <c r="B20" s="39" t="inlineStr">
        <is>
          <t>PNC</t>
        </is>
      </c>
      <c r="C20" s="40" t="inlineStr">
        <is>
          <t>PNC Financial</t>
        </is>
      </c>
      <c r="D20" s="41" t="n">
        <v>231.49</v>
      </c>
      <c r="E20" s="41" t="n">
        <v>240.78</v>
      </c>
      <c r="F20" s="41" t="n">
        <v>240.69</v>
      </c>
      <c r="G20" s="42">
        <f>D20/E20-1</f>
        <v>-0.03858293878229091</v>
      </c>
      <c r="H20" s="42">
        <f>D20/F20-1</f>
        <v>-0.03822344094062902</v>
      </c>
      <c r="I20" s="43" t="n">
        <v>2752968</v>
      </c>
      <c r="J20" s="43" t="n">
        <v>1456000</v>
      </c>
      <c r="K20" s="44">
        <f>I20/J20</f>
        <v>1.8907747252747253</v>
      </c>
      <c r="L20" s="40" t="inlineStr">
        <is>
          <t>同上；−3.86%、成交 1.89x</t>
        </is>
      </c>
      <c r="M20" s="40" t="inlineStr"/>
    </row>
    <row r="21" ht="46" customHeight="1">
      <c r="A21" s="38" t="inlineStr">
        <is>
          <t>區域銀行</t>
        </is>
      </c>
      <c r="B21" s="39" t="inlineStr">
        <is>
          <t>ZION</t>
        </is>
      </c>
      <c r="C21" s="40" t="inlineStr">
        <is>
          <t>Zions Bancorporation</t>
        </is>
      </c>
      <c r="D21" s="41" t="n">
        <v>65.47</v>
      </c>
      <c r="E21" s="41" t="n">
        <v>67.98999999999999</v>
      </c>
      <c r="F21" s="41" t="n">
        <v>68.11</v>
      </c>
      <c r="G21" s="42">
        <f>D21/E21-1</f>
        <v>-0.037064274157964316</v>
      </c>
      <c r="H21" s="42">
        <f>D21/F21-1</f>
        <v>-0.03876082807223613</v>
      </c>
      <c r="I21" s="43" t="n">
        <v>2312683</v>
      </c>
      <c r="J21" s="43" t="n">
        <v>1298600</v>
      </c>
      <c r="K21" s="44">
        <f>I21/J21</f>
        <v>1.780904820576005</v>
      </c>
      <c r="L21" s="40" t="inlineStr">
        <is>
          <t>同上；−3.71%、成交 1.78x</t>
        </is>
      </c>
      <c r="M21" s="40" t="inlineStr"/>
    </row>
    <row r="22" ht="46" customHeight="1">
      <c r="A22" s="38" t="inlineStr">
        <is>
          <t>投行與資本巿場</t>
        </is>
      </c>
      <c r="B22" s="39" t="inlineStr">
        <is>
          <t>GS</t>
        </is>
      </c>
      <c r="C22" s="40" t="inlineStr">
        <is>
          <t>Goldman Sachs</t>
        </is>
      </c>
      <c r="D22" s="41" t="n">
        <v>937.98</v>
      </c>
      <c r="E22" s="41" t="n">
        <v>976.67</v>
      </c>
      <c r="F22" s="41" t="n">
        <v>1028.78</v>
      </c>
      <c r="G22" s="42">
        <f>D22/E22-1</f>
        <v>-0.03961419926894438</v>
      </c>
      <c r="H22" s="42">
        <f>D22/F22-1</f>
        <v>-0.08825988063531554</v>
      </c>
      <c r="I22" s="43" t="n">
        <v>3546168</v>
      </c>
      <c r="J22" s="43" t="n">
        <v>1800900</v>
      </c>
      <c r="K22" s="44">
        <f>I22/J22</f>
        <v>1.9691087789438615</v>
      </c>
      <c r="L22" s="40" t="inlineStr">
        <is>
          <t>5 日 −8.83%；孳息 5% 下 IPO/M&amp;A 窗口關閉，deal flow 凍結</t>
        </is>
      </c>
      <c r="M22" s="40" t="inlineStr">
        <is>
          <t>孳息回落至 4.5% 以下且併購公告回升</t>
        </is>
      </c>
    </row>
    <row r="23" ht="46" customHeight="1">
      <c r="A23" s="38" t="inlineStr">
        <is>
          <t>投行與資本巿場</t>
        </is>
      </c>
      <c r="B23" s="39" t="inlineStr">
        <is>
          <t>MS</t>
        </is>
      </c>
      <c r="C23" s="40" t="inlineStr">
        <is>
          <t>Morgan Stanley</t>
        </is>
      </c>
      <c r="D23" s="41" t="n">
        <v>202.42</v>
      </c>
      <c r="E23" s="41" t="n">
        <v>206.28</v>
      </c>
      <c r="F23" s="41" t="n">
        <v>215.35</v>
      </c>
      <c r="G23" s="42">
        <f>D23/E23-1</f>
        <v>-0.018712429707194222</v>
      </c>
      <c r="H23" s="42">
        <f>D23/F23-1</f>
        <v>-0.060041792430926444</v>
      </c>
      <c r="I23" s="43" t="n">
        <v>6999366</v>
      </c>
      <c r="J23" s="43" t="n">
        <v>3925900</v>
      </c>
      <c r="K23" s="44">
        <f>I23/J23</f>
        <v>1.7828691510226955</v>
      </c>
      <c r="L23" s="40" t="inlineStr">
        <is>
          <t>同上；5 日 −6.00%</t>
        </is>
      </c>
      <c r="M23" s="40" t="inlineStr"/>
    </row>
    <row r="24" ht="46" customHeight="1">
      <c r="A24" s="38" t="inlineStr">
        <is>
          <t>鈾與核燃料／SMR</t>
        </is>
      </c>
      <c r="B24" s="39" t="inlineStr">
        <is>
          <t>OKLO</t>
        </is>
      </c>
      <c r="C24" s="40" t="inlineStr">
        <is>
          <t>Oklo</t>
        </is>
      </c>
      <c r="D24" s="41" t="n">
        <v>35.62</v>
      </c>
      <c r="E24" s="41" t="n">
        <v>35.98</v>
      </c>
      <c r="F24" s="41" t="n">
        <v>42.57</v>
      </c>
      <c r="G24" s="42">
        <f>D24/E24-1</f>
        <v>-0.010005558643690904</v>
      </c>
      <c r="H24" s="42">
        <f>D24/F24-1</f>
        <v>-0.1632605120977214</v>
      </c>
      <c r="I24" s="43" t="n">
        <v>7791736</v>
      </c>
      <c r="J24" s="43" t="n">
        <v>7796150</v>
      </c>
      <c r="K24" s="44">
        <f>I24/J24</f>
        <v>0.9994338231049942</v>
      </c>
      <c r="L24" s="40" t="inlineStr">
        <is>
          <t>零收入、長久期，加息周期中最先被殺。5 日 −16.33%（組別 −17.74%，111 組最差之一）</t>
        </is>
      </c>
      <c r="M24" s="40" t="inlineStr">
        <is>
          <t>孳息見頂回落，或簽訂有實質現金流的 offtake</t>
        </is>
      </c>
    </row>
    <row r="25" ht="46" customHeight="1">
      <c r="A25" s="38" t="inlineStr">
        <is>
          <t>鈾與核燃料／SMR</t>
        </is>
      </c>
      <c r="B25" s="39" t="inlineStr">
        <is>
          <t>CCJ</t>
        </is>
      </c>
      <c r="C25" s="40" t="inlineStr">
        <is>
          <t>Cameco</t>
        </is>
      </c>
      <c r="D25" s="41" t="n">
        <v>90.90000000000001</v>
      </c>
      <c r="E25" s="41" t="n">
        <v>91.20999999999999</v>
      </c>
      <c r="F25" s="41" t="n">
        <v>100.41</v>
      </c>
      <c r="G25" s="42">
        <f>D25/E25-1</f>
        <v>-0.003398750137046269</v>
      </c>
      <c r="H25" s="42">
        <f>D25/F25-1</f>
        <v>-0.0947116821033761</v>
      </c>
      <c r="I25" s="43" t="n">
        <v>2114588</v>
      </c>
      <c r="J25" s="43" t="n">
        <v>2289300</v>
      </c>
      <c r="K25" s="44">
        <f>I25/J25</f>
        <v>0.9236832219455728</v>
      </c>
      <c r="L25" s="40" t="inlineStr">
        <is>
          <t>鈾組 5 日 −16.32%，廣度 0.04（幾乎全組下跌）</t>
        </is>
      </c>
      <c r="M25" s="40" t="inlineStr"/>
    </row>
    <row r="26" ht="46" customHeight="1">
      <c r="A26" s="38" t="inlineStr">
        <is>
          <t>稀土與關鍵礦產</t>
        </is>
      </c>
      <c r="B26" s="39" t="inlineStr">
        <is>
          <t>MP</t>
        </is>
      </c>
      <c r="C26" s="40" t="inlineStr">
        <is>
          <t>MP Materials</t>
        </is>
      </c>
      <c r="D26" s="41" t="n">
        <v>48.99</v>
      </c>
      <c r="E26" s="41" t="n">
        <v>49.17</v>
      </c>
      <c r="F26" s="41" t="n">
        <v>54.3</v>
      </c>
      <c r="G26" s="42">
        <f>D26/E26-1</f>
        <v>-0.0036607687614399476</v>
      </c>
      <c r="H26" s="42">
        <f>D26/F26-1</f>
        <v>-0.09779005524861872</v>
      </c>
      <c r="I26" s="43" t="n">
        <v>3766247</v>
      </c>
      <c r="J26" s="43" t="n">
        <v>4808850</v>
      </c>
      <c r="K26" s="44">
        <f>I26/J26</f>
        <v>0.7831907836592948</v>
      </c>
      <c r="L26" s="40" t="inlineStr">
        <is>
          <t>5 日 −9.78%（組別 −13.96%）；同屬長久期主題股</t>
        </is>
      </c>
      <c r="M26" s="40" t="inlineStr"/>
    </row>
    <row r="27" ht="46" customHeight="1">
      <c r="A27" s="38" t="inlineStr">
        <is>
          <t>住宅建築商</t>
        </is>
      </c>
      <c r="B27" s="39" t="inlineStr">
        <is>
          <t>DHI</t>
        </is>
      </c>
      <c r="C27" s="40" t="inlineStr">
        <is>
          <t>D.R. Horton</t>
        </is>
      </c>
      <c r="D27" s="41" t="n">
        <v>138.32</v>
      </c>
      <c r="E27" s="41" t="n">
        <v>140.2</v>
      </c>
      <c r="F27" s="41" t="n">
        <v>138.93</v>
      </c>
      <c r="G27" s="42">
        <f>D27/E27-1</f>
        <v>-0.013409415121255264</v>
      </c>
      <c r="H27" s="42">
        <f>D27/F27-1</f>
        <v>-0.004390700352695731</v>
      </c>
      <c r="I27" s="43" t="n">
        <v>3932995</v>
      </c>
      <c r="J27" s="43" t="n">
        <v>1928200</v>
      </c>
      <c r="K27" s="44">
        <f>I27/J27</f>
        <v>2.0397235763924906</v>
      </c>
      <c r="L27" s="40" t="inlineStr">
        <is>
          <t>10Y 5% → 按揭利率跟升。已在 2.04x 成交量下下跌，而 9/17（週四）8 月新屋開工就是直接的向下催化劑</t>
        </is>
      </c>
      <c r="M27" s="40" t="inlineStr">
        <is>
          <t>10Y 明確跌穿 4.5%</t>
        </is>
      </c>
    </row>
    <row r="28" ht="46" customHeight="1">
      <c r="A28" s="38" t="inlineStr">
        <is>
          <t>住宅建築商</t>
        </is>
      </c>
      <c r="B28" s="39" t="inlineStr">
        <is>
          <t>LEN</t>
        </is>
      </c>
      <c r="C28" s="40" t="inlineStr">
        <is>
          <t>Lennar</t>
        </is>
      </c>
      <c r="D28" s="41" t="n">
        <v>78.36</v>
      </c>
      <c r="E28" s="41" t="n">
        <v>80.06999999999999</v>
      </c>
      <c r="F28" s="41" t="n">
        <v>80.76000000000001</v>
      </c>
      <c r="G28" s="42">
        <f>D28/E28-1</f>
        <v>-0.021356313225927237</v>
      </c>
      <c r="H28" s="42">
        <f>D28/F28-1</f>
        <v>-0.029717682020802494</v>
      </c>
      <c r="I28" s="43" t="n">
        <v>6117645</v>
      </c>
      <c r="J28" s="43" t="n">
        <v>2451200</v>
      </c>
      <c r="K28" s="44">
        <f>I28/J28</f>
        <v>2.4957755385117495</v>
      </c>
      <c r="L28" s="40" t="inlineStr">
        <is>
          <t>同上；成交 2.50x</t>
        </is>
      </c>
      <c r="M28" s="40" t="inlineStr"/>
    </row>
    <row r="29" ht="46" customHeight="1">
      <c r="A29" s="38" t="inlineStr">
        <is>
          <t>數位資產</t>
        </is>
      </c>
      <c r="B29" s="39" t="inlineStr">
        <is>
          <t>COIN</t>
        </is>
      </c>
      <c r="C29" s="40" t="inlineStr">
        <is>
          <t>Coinbase</t>
        </is>
      </c>
      <c r="D29" s="41" t="n">
        <v>164.51</v>
      </c>
      <c r="E29" s="41" t="n">
        <v>172.11</v>
      </c>
      <c r="F29" s="41" t="n">
        <v>174.72</v>
      </c>
      <c r="G29" s="42">
        <f>D29/E29-1</f>
        <v>-0.04415780605426778</v>
      </c>
      <c r="H29" s="42">
        <f>D29/F29-1</f>
        <v>-0.05843635531135538</v>
      </c>
      <c r="I29" s="43" t="n">
        <v>13685409</v>
      </c>
      <c r="J29" s="43" t="n">
        <v>9628700</v>
      </c>
      <c r="K29" s="44">
        <f>I29/J29</f>
        <v>1.4213142999574189</v>
      </c>
      <c r="L29" s="40" t="inlineStr">
        <is>
          <t>實質利率 beta 最高的一類；−4.42%（組別 5 日 −8.10%、淨流出 −$81.2 億）</t>
        </is>
      </c>
      <c r="M29" s="40" t="inlineStr">
        <is>
          <t>實質利率見頂</t>
        </is>
      </c>
    </row>
    <row r="30" ht="46" customHeight="1">
      <c r="A30" s="38" t="inlineStr">
        <is>
          <t>貨運與物流</t>
        </is>
      </c>
      <c r="B30" s="39" t="inlineStr">
        <is>
          <t>FDX</t>
        </is>
      </c>
      <c r="C30" s="40" t="inlineStr">
        <is>
          <t>FedEx</t>
        </is>
      </c>
      <c r="D30" s="41" t="n">
        <v>301.72</v>
      </c>
      <c r="E30" s="41" t="n">
        <v>308.26</v>
      </c>
      <c r="F30" s="41" t="n">
        <v>309.19</v>
      </c>
      <c r="G30" s="42">
        <f>D30/E30-1</f>
        <v>-0.021215856744306594</v>
      </c>
      <c r="H30" s="42">
        <f>D30/F30-1</f>
        <v>-0.0241599016785794</v>
      </c>
      <c r="I30" s="43" t="n">
        <v>1578698</v>
      </c>
      <c r="J30" s="43" t="n">
        <v>1287650</v>
      </c>
      <c r="K30" s="44">
        <f>I30/J30</f>
        <v>1.226030365394323</v>
      </c>
      <c r="L30" s="40" t="inlineStr">
        <is>
          <t>指引下調屬多日重估而非一日事件；組別 9/16 −4.94%、成交 3.15x</t>
        </is>
      </c>
      <c r="M30" s="40" t="inlineStr">
        <is>
          <t>指引重設後的首次上修</t>
        </is>
      </c>
    </row>
    <row r="31" ht="46" customHeight="1">
      <c r="A31" s="38" t="inlineStr">
        <is>
          <t>貨運與物流</t>
        </is>
      </c>
      <c r="B31" s="39" t="inlineStr">
        <is>
          <t>UPS</t>
        </is>
      </c>
      <c r="C31" s="40" t="inlineStr">
        <is>
          <t>United Parcel Service</t>
        </is>
      </c>
      <c r="D31" s="41" t="n">
        <v>98.77</v>
      </c>
      <c r="E31" s="41" t="n">
        <v>102.35</v>
      </c>
      <c r="F31" s="41" t="n">
        <v>99.22</v>
      </c>
      <c r="G31" s="42">
        <f>D31/E31-1</f>
        <v>-0.0349780166096727</v>
      </c>
      <c r="H31" s="42">
        <f>D31/F31-1</f>
        <v>-0.004535375932271712</v>
      </c>
      <c r="I31" s="43" t="n">
        <v>4943050</v>
      </c>
      <c r="J31" s="43" t="n">
        <v>3717400</v>
      </c>
      <c r="K31" s="44">
        <f>I31/J31</f>
        <v>1.3297062463011782</v>
      </c>
      <c r="L31" s="40" t="inlineStr">
        <is>
          <t>同上；−3.50%</t>
        </is>
      </c>
      <c r="M31" s="40" t="inlineStr"/>
    </row>
    <row r="32" ht="46" customHeight="1">
      <c r="A32" s="38" t="inlineStr">
        <is>
          <t>電信／債券代理</t>
        </is>
      </c>
      <c r="B32" s="39" t="inlineStr">
        <is>
          <t>T</t>
        </is>
      </c>
      <c r="C32" s="40" t="inlineStr">
        <is>
          <t>AT&amp;T</t>
        </is>
      </c>
      <c r="D32" s="41" t="n">
        <v>25.86</v>
      </c>
      <c r="E32" s="41" t="n">
        <v>26.72</v>
      </c>
      <c r="F32" s="41" t="n">
        <v>25.15</v>
      </c>
      <c r="G32" s="42">
        <f>D32/E32-1</f>
        <v>-0.03218562874251496</v>
      </c>
      <c r="H32" s="42">
        <f>D32/F32-1</f>
        <v>0.028230616302186817</v>
      </c>
      <c r="I32" s="43" t="n">
        <v>37788742</v>
      </c>
      <c r="J32" s="43" t="n">
        <v>32823800</v>
      </c>
      <c r="K32" s="44">
        <f>I32/J32</f>
        <v>1.1512604268853697</v>
      </c>
      <c r="L32" s="40" t="inlineStr">
        <is>
          <t>5% 無風險利率下股息吸引力被壓縮；−3.22%</t>
        </is>
      </c>
      <c r="M32" s="40" t="inlineStr">
        <is>
          <t>孳息回落</t>
        </is>
      </c>
    </row>
    <row r="33" ht="46" customHeight="1">
      <c r="A33" s="38" t="inlineStr">
        <is>
          <t>電信／債券代理</t>
        </is>
      </c>
      <c r="B33" s="39" t="inlineStr">
        <is>
          <t>VZ</t>
        </is>
      </c>
      <c r="C33" s="40" t="inlineStr">
        <is>
          <t>Verizon</t>
        </is>
      </c>
      <c r="D33" s="41" t="n">
        <v>49.76</v>
      </c>
      <c r="E33" s="41" t="n">
        <v>51.45</v>
      </c>
      <c r="F33" s="41" t="n">
        <v>49.74</v>
      </c>
      <c r="G33" s="42">
        <f>D33/E33-1</f>
        <v>-0.032847424684159465</v>
      </c>
      <c r="H33" s="42">
        <f>D33/F33-1</f>
        <v>0.0004020908725370642</v>
      </c>
      <c r="I33" s="43" t="n">
        <v>24326001</v>
      </c>
      <c r="J33" s="43" t="n">
        <v>18057600</v>
      </c>
      <c r="K33" s="44">
        <f>I33/J33</f>
        <v>1.3471336722488039</v>
      </c>
      <c r="L33" s="40" t="inlineStr">
        <is>
          <t>同上；−3.28%</t>
        </is>
      </c>
      <c r="M33" s="40" t="inlineStr"/>
    </row>
    <row r="34" ht="46" customHeight="1">
      <c r="A34" s="38" t="inlineStr">
        <is>
          <t>再生能源</t>
        </is>
      </c>
      <c r="B34" s="39" t="inlineStr">
        <is>
          <t>NEE</t>
        </is>
      </c>
      <c r="C34" s="40" t="inlineStr">
        <is>
          <t>NextEra Energy</t>
        </is>
      </c>
      <c r="D34" s="41" t="n">
        <v>80.37</v>
      </c>
      <c r="E34" s="41" t="n">
        <v>81.06999999999999</v>
      </c>
      <c r="F34" s="41" t="n">
        <v>82.65000000000001</v>
      </c>
      <c r="G34" s="42">
        <f>D34/E34-1</f>
        <v>-0.008634513383495634</v>
      </c>
      <c r="H34" s="42">
        <f>D34/F34-1</f>
        <v>-0.02758620689655178</v>
      </c>
      <c r="I34" s="43" t="n">
        <v>9620130</v>
      </c>
      <c r="J34" s="43" t="n">
        <v>11151200</v>
      </c>
      <c r="K34" s="44">
        <f>I34/J34</f>
        <v>0.8626990817131789</v>
      </c>
      <c r="L34" s="40" t="inlineStr">
        <is>
          <t>公用事業 + 再生能源雙重久期曝險；組別 9/16 −2.67%</t>
        </is>
      </c>
      <c r="M34" s="40" t="inlineStr">
        <is>
          <t>孳息回落 + 稅務抵免政策明朗</t>
        </is>
      </c>
    </row>
    <row r="35">
      <c r="A35" s="45" t="n"/>
      <c r="B35" s="45" t="n"/>
      <c r="C35" s="46" t="inlineStr">
        <is>
          <t>組合平均</t>
        </is>
      </c>
      <c r="D35" s="45" t="n"/>
      <c r="E35" s="45" t="n"/>
      <c r="F35" s="45" t="n"/>
      <c r="G35" s="47">
        <f>AVERAGE(G9:G34)</f>
        <v>-0.035372499566752036</v>
      </c>
      <c r="H35" s="47">
        <f>AVERAGE(H9:H34)</f>
        <v>-0.04097249297714292</v>
      </c>
      <c r="I35" s="45" t="n"/>
      <c r="J35" s="45" t="n"/>
      <c r="K35" s="48">
        <f>AVERAGE(K9:K34)</f>
        <v>1.7632511981961299</v>
      </c>
      <c r="L35" s="45" t="n"/>
      <c r="M35" s="45" t="n"/>
    </row>
    <row r="37" ht="30" customHeight="1">
      <c r="A37" s="9" t="inlineStr">
        <is>
          <t>註：迴避＝未來 3 日不新增多倉，非建議沽空。FANG 的 8.31x 成交量屬投降式放量，此類日子有時反而是階段底；但在 +16% 月線漲幅後遇上供應恢復頭條，3 日內的基準情境是震盪而非 V 型反彈。</t>
        </is>
      </c>
    </row>
  </sheetData>
  <mergeCells count="3">
    <mergeCell ref="A2:M2"/>
    <mergeCell ref="A1:M1"/>
    <mergeCell ref="A37:M37"/>
  </mergeCells>
  <hyperlinks>
    <hyperlink ref="B9" r:id="rId1"/>
    <hyperlink ref="B10" r:id="rId2"/>
    <hyperlink ref="B11" r:id="rId3"/>
    <hyperlink ref="B12" r:id="rId4"/>
    <hyperlink ref="B13" r:id="rId5"/>
    <hyperlink ref="B14" r:id="rId6"/>
    <hyperlink ref="B15" r:id="rId7"/>
    <hyperlink ref="B16" r:id="rId8"/>
    <hyperlink ref="B17" r:id="rId9"/>
    <hyperlink ref="B18" r:id="rId10"/>
    <hyperlink ref="B19" r:id="rId11"/>
    <hyperlink ref="B20" r:id="rId12"/>
    <hyperlink ref="B21" r:id="rId13"/>
    <hyperlink ref="B22" r:id="rId14"/>
    <hyperlink ref="B23" r:id="rId15"/>
    <hyperlink ref="B24" r:id="rId16"/>
    <hyperlink ref="B25" r:id="rId17"/>
    <hyperlink ref="B26" r:id="rId18"/>
    <hyperlink ref="B27" r:id="rId19"/>
    <hyperlink ref="B28" r:id="rId20"/>
    <hyperlink ref="B29" r:id="rId21"/>
    <hyperlink ref="B30" r:id="rId22"/>
    <hyperlink ref="B31" r:id="rId23"/>
    <hyperlink ref="B32" r:id="rId24"/>
    <hyperlink ref="B33" r:id="rId25"/>
    <hyperlink ref="B34" r:id="rId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002E5A88"/>
    <outlinePr summaryBelow="1" summaryRight="1"/>
    <pageSetUpPr/>
  </sheetPr>
  <dimension ref="A1:W121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32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  <col width="8" customWidth="1" min="12" max="12"/>
    <col width="13" customWidth="1" min="13" max="13"/>
    <col width="13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30" customWidth="1" min="23" max="23"/>
  </cols>
  <sheetData>
    <row r="1" ht="22" customHeight="1">
      <c r="A1" s="1" t="inlineStr">
        <is>
          <t>111 個子板塊資金流證據（可追溯全表）</t>
        </is>
      </c>
    </row>
    <row r="2">
      <c r="A2" s="2" t="inlineStr">
        <is>
          <t>來源：SubSector 資金流向 Watchlist R11.00　·　視窗 2026-09-10 → 2026-09-16　·　按 5 日綜合分排序　·　成分股可點擊　·　※ 淨額含 9/16 未結算成交量，屬臨時值</t>
        </is>
      </c>
    </row>
    <row r="8" ht="30" customHeight="1">
      <c r="A8" s="17" t="inlineStr">
        <is>
          <t>5日
排名</t>
        </is>
      </c>
      <c r="B8" s="17" t="inlineStr">
        <is>
          <t>子板塊</t>
        </is>
      </c>
      <c r="C8" s="17" t="inlineStr">
        <is>
          <t>English</t>
        </is>
      </c>
      <c r="D8" s="17" t="inlineStr">
        <is>
          <t>大板塊</t>
        </is>
      </c>
      <c r="E8" s="17" t="inlineStr">
        <is>
          <t>5日
分數</t>
        </is>
      </c>
      <c r="F8" s="17" t="inlineStr">
        <is>
          <t>09-16
分數</t>
        </is>
      </c>
      <c r="G8" s="17" t="inlineStr">
        <is>
          <t>09-16
漲跌%</t>
        </is>
      </c>
      <c r="H8" s="17" t="inlineStr">
        <is>
          <t>5日
漲跌%</t>
        </is>
      </c>
      <c r="I8" s="17" t="inlineStr">
        <is>
          <t>09-16
廣度</t>
        </is>
      </c>
      <c r="J8" s="17" t="inlineStr">
        <is>
          <t>5日
廣度</t>
        </is>
      </c>
      <c r="K8" s="17" t="inlineStr">
        <is>
          <t>09-16
相對量</t>
        </is>
      </c>
      <c r="L8" s="17" t="inlineStr">
        <is>
          <t>斜率</t>
        </is>
      </c>
      <c r="M8" s="17" t="inlineStr">
        <is>
          <t>09-16 淨額※
(US$ 百萬)</t>
        </is>
      </c>
      <c r="N8" s="17" t="inlineStr">
        <is>
          <t>5日 淨額※
(US$ 百萬)</t>
        </is>
      </c>
      <c r="O8" s="17" t="inlineStr">
        <is>
          <t>成分股
1</t>
        </is>
      </c>
      <c r="P8" s="17" t="inlineStr">
        <is>
          <t>成分股
2</t>
        </is>
      </c>
      <c r="Q8" s="17" t="inlineStr">
        <is>
          <t>成分股
3</t>
        </is>
      </c>
      <c r="R8" s="17" t="inlineStr">
        <is>
          <t>成分股
4</t>
        </is>
      </c>
      <c r="S8" s="17" t="inlineStr">
        <is>
          <t>成分股
5</t>
        </is>
      </c>
      <c r="T8" s="17" t="inlineStr">
        <is>
          <t>成分股
6</t>
        </is>
      </c>
      <c r="U8" s="17" t="inlineStr">
        <is>
          <t>成分股
7</t>
        </is>
      </c>
      <c r="V8" s="17" t="inlineStr">
        <is>
          <t>成分股
8</t>
        </is>
      </c>
      <c r="W8" s="17" t="inlineStr">
        <is>
          <t>備註</t>
        </is>
      </c>
    </row>
    <row r="9">
      <c r="A9" s="49">
        <f>ROW()-8</f>
        <v>1.0</v>
      </c>
      <c r="B9" s="50" t="inlineStr">
        <is>
          <t>診斷與生命科學工具</t>
        </is>
      </c>
      <c r="C9" s="51" t="inlineStr">
        <is>
          <t>Diagnostics &amp; Life-Science Tools</t>
        </is>
      </c>
      <c r="D9" s="51" t="inlineStr">
        <is>
          <t>醫療保健 Health Care</t>
        </is>
      </c>
      <c r="E9" s="52" t="n">
        <v>100</v>
      </c>
      <c r="F9" s="52" t="n">
        <v>93.63636363636364</v>
      </c>
      <c r="G9" s="53" t="n">
        <v>0.0147073996766291</v>
      </c>
      <c r="H9" s="53" t="n">
        <v>0.06650981331874806</v>
      </c>
      <c r="I9" s="54" t="n">
        <v>1</v>
      </c>
      <c r="J9" s="54" t="n">
        <v>0.75</v>
      </c>
      <c r="K9" s="55" t="n">
        <v>1.625250297880566</v>
      </c>
      <c r="L9" s="56" t="n">
        <v>0.5549825229981689</v>
      </c>
      <c r="M9" s="57" t="n">
        <v>397.4116040642455</v>
      </c>
      <c r="N9" s="57" t="n">
        <v>4514.759456609045</v>
      </c>
      <c r="O9" s="58" t="inlineStr">
        <is>
          <t>TMO</t>
        </is>
      </c>
      <c r="P9" s="58" t="inlineStr">
        <is>
          <t>DHR</t>
        </is>
      </c>
      <c r="Q9" s="58" t="inlineStr">
        <is>
          <t>A</t>
        </is>
      </c>
      <c r="R9" s="58" t="inlineStr">
        <is>
          <t>ILMN</t>
        </is>
      </c>
      <c r="S9" s="59" t="n"/>
      <c r="T9" s="59" t="n"/>
      <c r="U9" s="59" t="n"/>
      <c r="V9" s="59" t="n"/>
      <c r="W9" s="60" t="inlineStr">
        <is>
          <t>★ 第②組：5 日分數 111 組之首，但 5 日已 +6.65%</t>
        </is>
      </c>
    </row>
    <row r="10">
      <c r="A10" s="61">
        <f>ROW()-8</f>
        <v>2.0</v>
      </c>
      <c r="B10" s="6" t="inlineStr">
        <is>
          <t>網絡安全</t>
        </is>
      </c>
      <c r="C10" s="9" t="inlineStr">
        <is>
          <t>Cybersecurity</t>
        </is>
      </c>
      <c r="D10" s="9" t="inlineStr">
        <is>
          <t>資訊科技 Information Technology</t>
        </is>
      </c>
      <c r="E10" s="62" t="n">
        <v>99.09090909090909</v>
      </c>
      <c r="F10" s="62" t="n">
        <v>70</v>
      </c>
      <c r="G10" s="11" t="n">
        <v>-0.006352915441720297</v>
      </c>
      <c r="H10" s="11" t="n">
        <v>0.1440760091779885</v>
      </c>
      <c r="I10" s="63" t="n">
        <v>0.6</v>
      </c>
      <c r="J10" s="63" t="n">
        <v>0.72</v>
      </c>
      <c r="K10" s="64" t="n">
        <v>1.205607604696467</v>
      </c>
      <c r="L10" s="65" t="n">
        <v>0.1996764615748604</v>
      </c>
      <c r="M10" s="66" t="n">
        <v>756.1281230197794</v>
      </c>
      <c r="N10" s="66" t="n">
        <v>13175.11465225679</v>
      </c>
      <c r="O10" s="19" t="inlineStr">
        <is>
          <t>PANW</t>
        </is>
      </c>
      <c r="P10" s="19" t="inlineStr">
        <is>
          <t>CRWD</t>
        </is>
      </c>
      <c r="Q10" s="19" t="inlineStr">
        <is>
          <t>ZS</t>
        </is>
      </c>
      <c r="R10" s="19" t="inlineStr">
        <is>
          <t>FTNT</t>
        </is>
      </c>
      <c r="S10" s="19" t="inlineStr">
        <is>
          <t>S</t>
        </is>
      </c>
      <c r="W10" s="6" t="inlineStr"/>
    </row>
    <row r="11">
      <c r="A11" s="49">
        <f>ROW()-8</f>
        <v>3.0</v>
      </c>
      <c r="B11" s="50" t="inlineStr">
        <is>
          <t>醫院與醫療服務</t>
        </is>
      </c>
      <c r="C11" s="51" t="inlineStr">
        <is>
          <t>Hospitals &amp; Providers</t>
        </is>
      </c>
      <c r="D11" s="51" t="inlineStr">
        <is>
          <t>醫療保健 Health Care</t>
        </is>
      </c>
      <c r="E11" s="52" t="n">
        <v>98.18181818181819</v>
      </c>
      <c r="F11" s="52" t="n">
        <v>99.09090909090909</v>
      </c>
      <c r="G11" s="53" t="n">
        <v>0.01870132918695183</v>
      </c>
      <c r="H11" s="53" t="n">
        <v>0.01469788548862438</v>
      </c>
      <c r="I11" s="54" t="n">
        <v>1</v>
      </c>
      <c r="J11" s="54" t="n">
        <v>0.7</v>
      </c>
      <c r="K11" s="55" t="n">
        <v>1.125792685761358</v>
      </c>
      <c r="L11" s="56" t="n">
        <v>0.5069603157760544</v>
      </c>
      <c r="M11" s="57" t="n">
        <v>551.3408511175368</v>
      </c>
      <c r="N11" s="57" t="n">
        <v>775.5022086022274</v>
      </c>
      <c r="O11" s="58" t="inlineStr">
        <is>
          <t>HCA</t>
        </is>
      </c>
      <c r="P11" s="58" t="inlineStr">
        <is>
          <t>THC</t>
        </is>
      </c>
      <c r="Q11" s="58" t="inlineStr">
        <is>
          <t>UHS</t>
        </is>
      </c>
      <c r="R11" s="58" t="inlineStr">
        <is>
          <t>EHC</t>
        </is>
      </c>
      <c r="S11" s="59" t="n"/>
      <c r="T11" s="59" t="n"/>
      <c r="U11" s="59" t="n"/>
      <c r="V11" s="59" t="n"/>
      <c r="W11" s="60" t="inlineStr">
        <is>
          <t>★ 第②組：9/16 廣度 1.00，5 日僅 +1.47% ＝ 未伸展</t>
        </is>
      </c>
    </row>
    <row r="12">
      <c r="A12" s="49">
        <f>ROW()-8</f>
        <v>4.0</v>
      </c>
      <c r="B12" s="50" t="inlineStr">
        <is>
          <t>煉油與成品油</t>
        </is>
      </c>
      <c r="C12" s="51" t="inlineStr">
        <is>
          <t>Refining &amp; Marketing</t>
        </is>
      </c>
      <c r="D12" s="51" t="inlineStr">
        <is>
          <t>能源 Energy</t>
        </is>
      </c>
      <c r="E12" s="52" t="n">
        <v>97.27272727272728</v>
      </c>
      <c r="F12" s="52" t="n">
        <v>97.27272727272728</v>
      </c>
      <c r="G12" s="53" t="n">
        <v>0.0093509290969786</v>
      </c>
      <c r="H12" s="53" t="n">
        <v>0.03544814901133653</v>
      </c>
      <c r="I12" s="54" t="n">
        <v>1</v>
      </c>
      <c r="J12" s="54" t="n">
        <v>0.6</v>
      </c>
      <c r="K12" s="55" t="n">
        <v>1.3313237270705</v>
      </c>
      <c r="L12" s="56" t="n">
        <v>0.7038523495613236</v>
      </c>
      <c r="M12" s="57" t="n">
        <v>1645.190660135147</v>
      </c>
      <c r="N12" s="57" t="n">
        <v>-1170.092037468956</v>
      </c>
      <c r="O12" s="58" t="inlineStr">
        <is>
          <t>MPC</t>
        </is>
      </c>
      <c r="P12" s="58" t="inlineStr">
        <is>
          <t>PSX</t>
        </is>
      </c>
      <c r="Q12" s="58" t="inlineStr">
        <is>
          <t>VLO</t>
        </is>
      </c>
      <c r="R12" s="58" t="inlineStr">
        <is>
          <t>DINO</t>
        </is>
      </c>
      <c r="S12" s="59" t="n"/>
      <c r="T12" s="59" t="n"/>
      <c r="U12" s="59" t="n"/>
      <c r="V12" s="59" t="n"/>
      <c r="W12" s="60" t="inlineStr">
        <is>
          <t>★ 本清單第①組：9/16 能源板塊中唯一上升，與頁岩 E&amp;P 同日相差 7.4 個百分點</t>
        </is>
      </c>
    </row>
    <row r="13">
      <c r="A13" s="61">
        <f>ROW()-8</f>
        <v>5.0</v>
      </c>
      <c r="B13" s="6" t="inlineStr">
        <is>
          <t>電子硬件與EMS/連接器</t>
        </is>
      </c>
      <c r="C13" s="9" t="inlineStr">
        <is>
          <t>Electronic Hardware, EMS &amp; Connectors</t>
        </is>
      </c>
      <c r="D13" s="9" t="inlineStr">
        <is>
          <t>資訊科技 Information Technology</t>
        </is>
      </c>
      <c r="E13" s="62" t="n">
        <v>96.36363636363636</v>
      </c>
      <c r="F13" s="62" t="n">
        <v>91.81818181818183</v>
      </c>
      <c r="G13" s="11" t="n">
        <v>0.006927673818712139</v>
      </c>
      <c r="H13" s="11" t="n">
        <v>-0.00691109155417835</v>
      </c>
      <c r="I13" s="63" t="n">
        <v>0.8333333333333334</v>
      </c>
      <c r="J13" s="63" t="n">
        <v>0.5666666666666667</v>
      </c>
      <c r="K13" s="64" t="n">
        <v>1.502363419336113</v>
      </c>
      <c r="L13" s="65" t="n">
        <v>0.04189702769631602</v>
      </c>
      <c r="M13" s="66" t="n">
        <v>-4145.374030832468</v>
      </c>
      <c r="N13" s="66" t="n">
        <v>26421.86909970992</v>
      </c>
      <c r="O13" s="19" t="inlineStr">
        <is>
          <t>AAPL</t>
        </is>
      </c>
      <c r="P13" s="19" t="inlineStr">
        <is>
          <t>DELL</t>
        </is>
      </c>
      <c r="Q13" s="19" t="inlineStr">
        <is>
          <t>FLEX</t>
        </is>
      </c>
      <c r="R13" s="19" t="inlineStr">
        <is>
          <t>JBL</t>
        </is>
      </c>
      <c r="S13" s="19" t="inlineStr">
        <is>
          <t>APH</t>
        </is>
      </c>
      <c r="T13" s="19" t="inlineStr">
        <is>
          <t>TEL</t>
        </is>
      </c>
      <c r="W13" s="6" t="inlineStr"/>
    </row>
    <row r="14">
      <c r="A14" s="49">
        <f>ROW()-8</f>
        <v>6.0</v>
      </c>
      <c r="B14" s="50" t="inlineStr">
        <is>
          <t>產險與再保</t>
        </is>
      </c>
      <c r="C14" s="51" t="inlineStr">
        <is>
          <t>P&amp;C Insurance &amp; Reinsurance</t>
        </is>
      </c>
      <c r="D14" s="51" t="inlineStr">
        <is>
          <t>金融 Financials</t>
        </is>
      </c>
      <c r="E14" s="52" t="n">
        <v>95.45454545454545</v>
      </c>
      <c r="F14" s="52" t="n">
        <v>69.09090909090909</v>
      </c>
      <c r="G14" s="53" t="n">
        <v>-0.003521787399278153</v>
      </c>
      <c r="H14" s="53" t="n">
        <v>0.01831947258000399</v>
      </c>
      <c r="I14" s="54" t="n">
        <v>0.8</v>
      </c>
      <c r="J14" s="54" t="n">
        <v>0.84</v>
      </c>
      <c r="K14" s="55" t="n">
        <v>1.047535314453079</v>
      </c>
      <c r="L14" s="56" t="n">
        <v>-0.06348111999715823</v>
      </c>
      <c r="M14" s="57" t="n">
        <v>-108.3040659062218</v>
      </c>
      <c r="N14" s="57" t="n">
        <v>1456.184808085425</v>
      </c>
      <c r="O14" s="58" t="inlineStr">
        <is>
          <t>CB</t>
        </is>
      </c>
      <c r="P14" s="58" t="inlineStr">
        <is>
          <t>TRV</t>
        </is>
      </c>
      <c r="Q14" s="58" t="inlineStr">
        <is>
          <t>PGR</t>
        </is>
      </c>
      <c r="R14" s="58" t="inlineStr">
        <is>
          <t>AIG</t>
        </is>
      </c>
      <c r="S14" s="58" t="inlineStr">
        <is>
          <t>RNR</t>
        </is>
      </c>
      <c r="T14" s="59" t="n"/>
      <c r="U14" s="59" t="n"/>
      <c r="V14" s="59" t="n"/>
      <c r="W14" s="60" t="inlineStr">
        <is>
          <t>★ 第④組：5 日廣度 0.84 為全表最高</t>
        </is>
      </c>
    </row>
    <row r="15">
      <c r="A15" s="61">
        <f>ROW()-8</f>
        <v>7.0</v>
      </c>
      <c r="B15" s="6" t="inlineStr">
        <is>
          <t>國防科技與無人機</t>
        </is>
      </c>
      <c r="C15" s="9" t="inlineStr">
        <is>
          <t>Defense Tech &amp; Drones</t>
        </is>
      </c>
      <c r="D15" s="9" t="inlineStr">
        <is>
          <t>工業 Industrials</t>
        </is>
      </c>
      <c r="E15" s="62" t="n">
        <v>94.54545454545455</v>
      </c>
      <c r="F15" s="62" t="n">
        <v>67.27272727272727</v>
      </c>
      <c r="G15" s="11" t="n">
        <v>-0.02970561080210393</v>
      </c>
      <c r="H15" s="11" t="n">
        <v>-0.004556237269644936</v>
      </c>
      <c r="I15" s="63" t="n">
        <v>0.5</v>
      </c>
      <c r="J15" s="63" t="n">
        <v>0.6</v>
      </c>
      <c r="K15" s="64" t="n">
        <v>1.386029410179289</v>
      </c>
      <c r="L15" s="65" t="n">
        <v>0.01817132353408753</v>
      </c>
      <c r="M15" s="66" t="n">
        <v>429.3105714489286</v>
      </c>
      <c r="N15" s="66" t="n">
        <v>490.6382500348421</v>
      </c>
      <c r="O15" s="19" t="inlineStr">
        <is>
          <t>AVAV</t>
        </is>
      </c>
      <c r="P15" s="19" t="inlineStr">
        <is>
          <t>KTOS</t>
        </is>
      </c>
      <c r="Q15" s="19" t="inlineStr">
        <is>
          <t>RCAT</t>
        </is>
      </c>
      <c r="R15" s="19" t="inlineStr">
        <is>
          <t>ONDS</t>
        </is>
      </c>
      <c r="W15" s="6" t="inlineStr"/>
    </row>
    <row r="16">
      <c r="A16" s="61">
        <f>ROW()-8</f>
        <v>8.0</v>
      </c>
      <c r="B16" s="6" t="inlineStr">
        <is>
          <t>資料/分析平台</t>
        </is>
      </c>
      <c r="C16" s="9" t="inlineStr">
        <is>
          <t>Data &amp; Analytics Platforms</t>
        </is>
      </c>
      <c r="D16" s="9" t="inlineStr">
        <is>
          <t>資訊科技 Information Technology</t>
        </is>
      </c>
      <c r="E16" s="62" t="n">
        <v>93.63636363636364</v>
      </c>
      <c r="F16" s="62" t="n">
        <v>92.72727272727272</v>
      </c>
      <c r="G16" s="11" t="n">
        <v>0.008486264073020888</v>
      </c>
      <c r="H16" s="11" t="n">
        <v>0.02592805416796895</v>
      </c>
      <c r="I16" s="63" t="n">
        <v>1</v>
      </c>
      <c r="J16" s="63" t="n">
        <v>0.65</v>
      </c>
      <c r="K16" s="64" t="n">
        <v>0.8020581635508029</v>
      </c>
      <c r="L16" s="65" t="n">
        <v>0.3171355922272995</v>
      </c>
      <c r="M16" s="66" t="n">
        <v>2973.796198505534</v>
      </c>
      <c r="N16" s="66" t="n">
        <v>6137.622761025026</v>
      </c>
      <c r="O16" s="19" t="inlineStr">
        <is>
          <t>PLTR</t>
        </is>
      </c>
      <c r="P16" s="19" t="inlineStr">
        <is>
          <t>SNOW</t>
        </is>
      </c>
      <c r="Q16" s="19" t="inlineStr">
        <is>
          <t>MDB</t>
        </is>
      </c>
      <c r="R16" s="19" t="inlineStr">
        <is>
          <t>DDOG</t>
        </is>
      </c>
      <c r="W16" s="6" t="inlineStr"/>
    </row>
    <row r="17">
      <c r="A17" s="61">
        <f>ROW()-8</f>
        <v>9.0</v>
      </c>
      <c r="B17" s="6" t="inlineStr">
        <is>
          <t>大型網絡平台與數位廣告</t>
        </is>
      </c>
      <c r="C17" s="9" t="inlineStr">
        <is>
          <t>Mega-cap Internet &amp; Digital Ads</t>
        </is>
      </c>
      <c r="D17" s="9" t="inlineStr">
        <is>
          <t>通訊服務 Communication Services</t>
        </is>
      </c>
      <c r="E17" s="62" t="n">
        <v>92.72727272727272</v>
      </c>
      <c r="F17" s="62" t="n">
        <v>61.81818181818181</v>
      </c>
      <c r="G17" s="11" t="n">
        <v>-0.0007679324084282069</v>
      </c>
      <c r="H17" s="11" t="n">
        <v>0.03361909620908765</v>
      </c>
      <c r="I17" s="63" t="n">
        <v>0.5</v>
      </c>
      <c r="J17" s="63" t="n">
        <v>0.7</v>
      </c>
      <c r="K17" s="64" t="n">
        <v>0.9535824662793015</v>
      </c>
      <c r="L17" s="65" t="n">
        <v>-0.01762402510814777</v>
      </c>
      <c r="M17" s="66" t="n">
        <v>-11879.12453732675</v>
      </c>
      <c r="N17" s="66" t="n">
        <v>-4885.075520857718</v>
      </c>
      <c r="O17" s="19" t="inlineStr">
        <is>
          <t>GOOGL</t>
        </is>
      </c>
      <c r="P17" s="19" t="inlineStr">
        <is>
          <t>META</t>
        </is>
      </c>
      <c r="W17" s="6" t="inlineStr"/>
    </row>
    <row r="18">
      <c r="A18" s="61">
        <f>ROW()-8</f>
        <v>10.0</v>
      </c>
      <c r="B18" s="6" t="inlineStr">
        <is>
          <t>社交與線上社群</t>
        </is>
      </c>
      <c r="C18" s="9" t="inlineStr">
        <is>
          <t>Social &amp; Community Platforms</t>
        </is>
      </c>
      <c r="D18" s="9" t="inlineStr">
        <is>
          <t>通訊服務 Communication Services</t>
        </is>
      </c>
      <c r="E18" s="62" t="n">
        <v>91.81818181818183</v>
      </c>
      <c r="F18" s="62" t="n">
        <v>29.09090909090909</v>
      </c>
      <c r="G18" s="11" t="n">
        <v>-0.01397922908801319</v>
      </c>
      <c r="H18" s="11" t="n">
        <v>0.05676234552344694</v>
      </c>
      <c r="I18" s="63" t="n">
        <v>0</v>
      </c>
      <c r="J18" s="63" t="n">
        <v>0.7</v>
      </c>
      <c r="K18" s="64" t="n">
        <v>0.9974107302445214</v>
      </c>
      <c r="L18" s="65" t="n">
        <v>-0.7771863077161241</v>
      </c>
      <c r="M18" s="66" t="n">
        <v>-539.5471961505601</v>
      </c>
      <c r="N18" s="66" t="n">
        <v>724.9017188428047</v>
      </c>
      <c r="O18" s="19" t="inlineStr">
        <is>
          <t>PINS</t>
        </is>
      </c>
      <c r="P18" s="19" t="inlineStr">
        <is>
          <t>SNAP</t>
        </is>
      </c>
      <c r="Q18" s="19" t="inlineStr">
        <is>
          <t>RDDT</t>
        </is>
      </c>
      <c r="R18" s="19" t="inlineStr">
        <is>
          <t>MTCH</t>
        </is>
      </c>
      <c r="W18" s="6" t="inlineStr"/>
    </row>
    <row r="19">
      <c r="A19" s="49">
        <f>ROW()-8</f>
        <v>11.0</v>
      </c>
      <c r="B19" s="50" t="inlineStr">
        <is>
          <t>鋼鐵</t>
        </is>
      </c>
      <c r="C19" s="51" t="inlineStr">
        <is>
          <t>Steel</t>
        </is>
      </c>
      <c r="D19" s="51" t="inlineStr">
        <is>
          <t>原材料 Materials</t>
        </is>
      </c>
      <c r="E19" s="52" t="n">
        <v>90.90909090909091</v>
      </c>
      <c r="F19" s="52" t="n">
        <v>87.27272727272727</v>
      </c>
      <c r="G19" s="53" t="n">
        <v>0.009862419876434131</v>
      </c>
      <c r="H19" s="53" t="n">
        <v>0.001036517545482729</v>
      </c>
      <c r="I19" s="54" t="n">
        <v>1</v>
      </c>
      <c r="J19" s="54" t="n">
        <v>0.65</v>
      </c>
      <c r="K19" s="55" t="n">
        <v>1.03895184820834</v>
      </c>
      <c r="L19" s="56" t="n">
        <v>0.2912175914728005</v>
      </c>
      <c r="M19" s="57" t="n">
        <v>-84.03842594442797</v>
      </c>
      <c r="N19" s="57" t="n">
        <v>113.6909051946858</v>
      </c>
      <c r="O19" s="58" t="inlineStr">
        <is>
          <t>NUE</t>
        </is>
      </c>
      <c r="P19" s="58" t="inlineStr">
        <is>
          <t>STLD</t>
        </is>
      </c>
      <c r="Q19" s="58" t="inlineStr">
        <is>
          <t>CLF</t>
        </is>
      </c>
      <c r="R19" s="58" t="inlineStr">
        <is>
          <t>RS</t>
        </is>
      </c>
      <c r="S19" s="59" t="n"/>
      <c r="T19" s="59" t="n"/>
      <c r="U19" s="59" t="n"/>
      <c r="V19" s="59" t="n"/>
      <c r="W19" s="60" t="inlineStr">
        <is>
          <t>★ 第⑥組：觀察，方向未確立</t>
        </is>
      </c>
    </row>
    <row r="20">
      <c r="A20" s="61">
        <f>ROW()-8</f>
        <v>12.0</v>
      </c>
      <c r="B20" s="6" t="inlineStr">
        <is>
          <t>壽險與年金</t>
        </is>
      </c>
      <c r="C20" s="9" t="inlineStr">
        <is>
          <t>Life Insurance &amp; Annuities</t>
        </is>
      </c>
      <c r="D20" s="9" t="inlineStr">
        <is>
          <t>金融 Financials</t>
        </is>
      </c>
      <c r="E20" s="62" t="n">
        <v>90</v>
      </c>
      <c r="F20" s="62" t="n">
        <v>49.09090909090909</v>
      </c>
      <c r="G20" s="11" t="n">
        <v>-0.01197166634324562</v>
      </c>
      <c r="H20" s="11" t="n">
        <v>0.007634740987962685</v>
      </c>
      <c r="I20" s="63" t="n">
        <v>0.2</v>
      </c>
      <c r="J20" s="63" t="n">
        <v>0.76</v>
      </c>
      <c r="K20" s="64" t="n">
        <v>1.401370919003115</v>
      </c>
      <c r="L20" s="65" t="n">
        <v>-0.2495563861851629</v>
      </c>
      <c r="M20" s="66" t="n">
        <v>-97.22220544603542</v>
      </c>
      <c r="N20" s="66" t="n">
        <v>1154.674777552481</v>
      </c>
      <c r="O20" s="19" t="inlineStr">
        <is>
          <t>MET</t>
        </is>
      </c>
      <c r="P20" s="19" t="inlineStr">
        <is>
          <t>PRU</t>
        </is>
      </c>
      <c r="Q20" s="19" t="inlineStr">
        <is>
          <t>AFL</t>
        </is>
      </c>
      <c r="R20" s="19" t="inlineStr">
        <is>
          <t>LNC</t>
        </is>
      </c>
      <c r="S20" s="19" t="inlineStr">
        <is>
          <t>EQH</t>
        </is>
      </c>
      <c r="W20" s="6" t="inlineStr"/>
    </row>
    <row r="21">
      <c r="A21" s="61">
        <f>ROW()-8</f>
        <v>13.0</v>
      </c>
      <c r="B21" s="6" t="inlineStr">
        <is>
          <t>醫療器械</t>
        </is>
      </c>
      <c r="C21" s="9" t="inlineStr">
        <is>
          <t>Medical Devices</t>
        </is>
      </c>
      <c r="D21" s="9" t="inlineStr">
        <is>
          <t>醫療保健 Health Care</t>
        </is>
      </c>
      <c r="E21" s="62" t="n">
        <v>89.09090909090909</v>
      </c>
      <c r="F21" s="62" t="n">
        <v>77.27272727272727</v>
      </c>
      <c r="G21" s="11" t="n">
        <v>0.003412391808957937</v>
      </c>
      <c r="H21" s="11" t="n">
        <v>0.0143715486348579</v>
      </c>
      <c r="I21" s="63" t="n">
        <v>0.8</v>
      </c>
      <c r="J21" s="63" t="n">
        <v>0.64</v>
      </c>
      <c r="K21" s="64" t="n">
        <v>1.350563614210017</v>
      </c>
      <c r="L21" s="65" t="n">
        <v>0.1665291612212193</v>
      </c>
      <c r="M21" s="66" t="n">
        <v>-1508.274815663668</v>
      </c>
      <c r="N21" s="66" t="n">
        <v>-1883.996747899686</v>
      </c>
      <c r="O21" s="19" t="inlineStr">
        <is>
          <t>ABT</t>
        </is>
      </c>
      <c r="P21" s="19" t="inlineStr">
        <is>
          <t>MDT</t>
        </is>
      </c>
      <c r="Q21" s="19" t="inlineStr">
        <is>
          <t>SYK</t>
        </is>
      </c>
      <c r="R21" s="19" t="inlineStr">
        <is>
          <t>BSX</t>
        </is>
      </c>
      <c r="S21" s="19" t="inlineStr">
        <is>
          <t>ISRG</t>
        </is>
      </c>
      <c r="W21" s="6" t="inlineStr"/>
    </row>
    <row r="22">
      <c r="A22" s="49">
        <f>ROW()-8</f>
        <v>14.0</v>
      </c>
      <c r="B22" s="50" t="inlineStr">
        <is>
          <t>電氣設備與電網</t>
        </is>
      </c>
      <c r="C22" s="51" t="inlineStr">
        <is>
          <t>Electrical Equipment &amp; Grid</t>
        </is>
      </c>
      <c r="D22" s="51" t="inlineStr">
        <is>
          <t>工業 Industrials</t>
        </is>
      </c>
      <c r="E22" s="52" t="n">
        <v>88.18181818181819</v>
      </c>
      <c r="F22" s="52" t="n">
        <v>94.54545454545455</v>
      </c>
      <c r="G22" s="53" t="n">
        <v>0.01291889461606435</v>
      </c>
      <c r="H22" s="53" t="n">
        <v>-0.02876587996376923</v>
      </c>
      <c r="I22" s="54" t="n">
        <v>0.8</v>
      </c>
      <c r="J22" s="54" t="n">
        <v>0.48</v>
      </c>
      <c r="K22" s="55" t="n">
        <v>1.336499914649474</v>
      </c>
      <c r="L22" s="56" t="n">
        <v>0.3174821202280442</v>
      </c>
      <c r="M22" s="57" t="n">
        <v>1202.113169685403</v>
      </c>
      <c r="N22" s="57" t="n">
        <v>-734.5229901694686</v>
      </c>
      <c r="O22" s="58" t="inlineStr">
        <is>
          <t>ETN</t>
        </is>
      </c>
      <c r="P22" s="58" t="inlineStr">
        <is>
          <t>EMR</t>
        </is>
      </c>
      <c r="Q22" s="58" t="inlineStr">
        <is>
          <t>PWR</t>
        </is>
      </c>
      <c r="R22" s="58" t="inlineStr">
        <is>
          <t>HUBB</t>
        </is>
      </c>
      <c r="S22" s="58" t="inlineStr">
        <is>
          <t>GEV</t>
        </is>
      </c>
      <c r="T22" s="59" t="n"/>
      <c r="U22" s="59" t="n"/>
      <c r="V22" s="59" t="n"/>
      <c r="W22" s="60" t="inlineStr">
        <is>
          <t>★ 第③組：9/16 單日 94.5 分而 5 日 −2.88% ＝ 動能已重置</t>
        </is>
      </c>
    </row>
    <row r="23">
      <c r="A23" s="61">
        <f>ROW()-8</f>
        <v>15.0</v>
      </c>
      <c r="B23" s="6" t="inlineStr">
        <is>
          <t>家庭與個人護理</t>
        </is>
      </c>
      <c r="C23" s="9" t="inlineStr">
        <is>
          <t>Household &amp; Personal Care</t>
        </is>
      </c>
      <c r="D23" s="9" t="inlineStr">
        <is>
          <t>必需消費 Consumer Staples</t>
        </is>
      </c>
      <c r="E23" s="62" t="n">
        <v>87.27272727272727</v>
      </c>
      <c r="F23" s="62" t="n">
        <v>73.63636363636363</v>
      </c>
      <c r="G23" s="11" t="n">
        <v>0.000113248835726143</v>
      </c>
      <c r="H23" s="11" t="n">
        <v>-0.00317676331028971</v>
      </c>
      <c r="I23" s="63" t="n">
        <v>0.6</v>
      </c>
      <c r="J23" s="63" t="n">
        <v>0.64</v>
      </c>
      <c r="K23" s="64" t="n">
        <v>1.056700927664365</v>
      </c>
      <c r="L23" s="65" t="n">
        <v>0.08640644037640861</v>
      </c>
      <c r="M23" s="66" t="n">
        <v>-571.2034273848842</v>
      </c>
      <c r="N23" s="66" t="n">
        <v>-730.651807074442</v>
      </c>
      <c r="O23" s="19" t="inlineStr">
        <is>
          <t>PG</t>
        </is>
      </c>
      <c r="P23" s="19" t="inlineStr">
        <is>
          <t>CL</t>
        </is>
      </c>
      <c r="Q23" s="19" t="inlineStr">
        <is>
          <t>KMB</t>
        </is>
      </c>
      <c r="R23" s="19" t="inlineStr">
        <is>
          <t>CHD</t>
        </is>
      </c>
      <c r="S23" s="19" t="inlineStr">
        <is>
          <t>EL</t>
        </is>
      </c>
      <c r="W23" s="6" t="inlineStr"/>
    </row>
    <row r="24">
      <c r="A24" s="61">
        <f>ROW()-8</f>
        <v>16.0</v>
      </c>
      <c r="B24" s="6" t="inlineStr">
        <is>
          <t>辦公樓REIT</t>
        </is>
      </c>
      <c r="C24" s="9" t="inlineStr">
        <is>
          <t>Office REITs</t>
        </is>
      </c>
      <c r="D24" s="9" t="inlineStr">
        <is>
          <t>房地產 Real Estate</t>
        </is>
      </c>
      <c r="E24" s="62" t="n">
        <v>86.36363636363636</v>
      </c>
      <c r="F24" s="62" t="n">
        <v>90</v>
      </c>
      <c r="G24" s="11" t="n">
        <v>0.002105665681455843</v>
      </c>
      <c r="H24" s="11" t="n">
        <v>0.0003164156649511085</v>
      </c>
      <c r="I24" s="63" t="n">
        <v>1</v>
      </c>
      <c r="J24" s="63" t="n">
        <v>0.55</v>
      </c>
      <c r="K24" s="64" t="n">
        <v>1.435241001538009</v>
      </c>
      <c r="L24" s="65" t="n">
        <v>0.08642301507426156</v>
      </c>
      <c r="M24" s="66" t="n">
        <v>70.51005867028969</v>
      </c>
      <c r="N24" s="66" t="n">
        <v>-70.60602097964555</v>
      </c>
      <c r="O24" s="19" t="inlineStr">
        <is>
          <t>BXP</t>
        </is>
      </c>
      <c r="P24" s="19" t="inlineStr">
        <is>
          <t>VNO</t>
        </is>
      </c>
      <c r="Q24" s="19" t="inlineStr">
        <is>
          <t>SLG</t>
        </is>
      </c>
      <c r="R24" s="19" t="inlineStr">
        <is>
          <t>HIW</t>
        </is>
      </c>
      <c r="W24" s="6" t="inlineStr"/>
    </row>
    <row r="25">
      <c r="A25" s="61">
        <f>ROW()-8</f>
        <v>17.0</v>
      </c>
      <c r="B25" s="6" t="inlineStr">
        <is>
          <t>AI資料中心建設</t>
        </is>
      </c>
      <c r="C25" s="9" t="inlineStr">
        <is>
          <t>AI Data Center Buildout</t>
        </is>
      </c>
      <c r="D25" s="9" t="inlineStr">
        <is>
          <t>資訊科技 Information Technology</t>
        </is>
      </c>
      <c r="E25" s="62" t="n">
        <v>85.45454545454545</v>
      </c>
      <c r="F25" s="62" t="n">
        <v>96.36363636363636</v>
      </c>
      <c r="G25" s="11" t="n">
        <v>0.02203038853327382</v>
      </c>
      <c r="H25" s="11" t="n">
        <v>-0.02745777537299599</v>
      </c>
      <c r="I25" s="63" t="n">
        <v>1</v>
      </c>
      <c r="J25" s="63" t="n">
        <v>0.48</v>
      </c>
      <c r="K25" s="64" t="n">
        <v>1.34496473187168</v>
      </c>
      <c r="L25" s="65" t="n">
        <v>0.4742518842296336</v>
      </c>
      <c r="M25" s="66" t="n">
        <v>-523.5590383138583</v>
      </c>
      <c r="N25" s="66" t="n">
        <v>-2392.565945063428</v>
      </c>
      <c r="O25" s="19" t="inlineStr">
        <is>
          <t>VRT</t>
        </is>
      </c>
      <c r="P25" s="19" t="inlineStr">
        <is>
          <t>SMCI</t>
        </is>
      </c>
      <c r="Q25" s="19" t="inlineStr">
        <is>
          <t>ANET</t>
        </is>
      </c>
      <c r="R25" s="19" t="inlineStr">
        <is>
          <t>MOD</t>
        </is>
      </c>
      <c r="S25" s="19" t="inlineStr">
        <is>
          <t>CIEN</t>
        </is>
      </c>
      <c r="W25" s="6" t="inlineStr"/>
    </row>
    <row r="26">
      <c r="A26" s="61">
        <f>ROW()-8</f>
        <v>18.0</v>
      </c>
      <c r="B26" s="6" t="inlineStr">
        <is>
          <t>人力與商業服務</t>
        </is>
      </c>
      <c r="C26" s="9" t="inlineStr">
        <is>
          <t>Staffing &amp; Business Services</t>
        </is>
      </c>
      <c r="D26" s="9" t="inlineStr">
        <is>
          <t>工業 Industrials</t>
        </is>
      </c>
      <c r="E26" s="62" t="n">
        <v>84.54545454545455</v>
      </c>
      <c r="F26" s="62" t="n">
        <v>47.27272727272727</v>
      </c>
      <c r="G26" s="11" t="n">
        <v>-0.01267197160125182</v>
      </c>
      <c r="H26" s="11" t="n">
        <v>0.005551543168347495</v>
      </c>
      <c r="I26" s="63" t="n">
        <v>0.2</v>
      </c>
      <c r="J26" s="63" t="n">
        <v>0.5600000000000001</v>
      </c>
      <c r="K26" s="64" t="n">
        <v>1.223869059109687</v>
      </c>
      <c r="L26" s="65" t="n">
        <v>-0.202791030693377</v>
      </c>
      <c r="M26" s="66" t="n">
        <v>-581.5302985039349</v>
      </c>
      <c r="N26" s="66" t="n">
        <v>264.9714284715011</v>
      </c>
      <c r="O26" s="19" t="inlineStr">
        <is>
          <t>ADP</t>
        </is>
      </c>
      <c r="P26" s="19" t="inlineStr">
        <is>
          <t>PAYX</t>
        </is>
      </c>
      <c r="Q26" s="19" t="inlineStr">
        <is>
          <t>MAN</t>
        </is>
      </c>
      <c r="R26" s="19" t="inlineStr">
        <is>
          <t>RHI</t>
        </is>
      </c>
      <c r="S26" s="19" t="inlineStr">
        <is>
          <t>CTAS</t>
        </is>
      </c>
      <c r="W26" s="6" t="inlineStr"/>
    </row>
    <row r="27">
      <c r="A27" s="61">
        <f>ROW()-8</f>
        <v>19.0</v>
      </c>
      <c r="B27" s="6" t="inlineStr">
        <is>
          <t>工業與物流REIT</t>
        </is>
      </c>
      <c r="C27" s="9" t="inlineStr">
        <is>
          <t>Industrial &amp; Logistics REITs</t>
        </is>
      </c>
      <c r="D27" s="9" t="inlineStr">
        <is>
          <t>房地產 Real Estate</t>
        </is>
      </c>
      <c r="E27" s="62" t="n">
        <v>83.63636363636363</v>
      </c>
      <c r="F27" s="62" t="n">
        <v>51.81818181818182</v>
      </c>
      <c r="G27" s="11" t="n">
        <v>-0.00506680604684262</v>
      </c>
      <c r="H27" s="11" t="n">
        <v>-0.002460022569619857</v>
      </c>
      <c r="I27" s="63" t="n">
        <v>0.75</v>
      </c>
      <c r="J27" s="63" t="n">
        <v>0.65</v>
      </c>
      <c r="K27" s="64" t="n">
        <v>1.238964433877962</v>
      </c>
      <c r="L27" s="65" t="n">
        <v>0.08581950091495867</v>
      </c>
      <c r="M27" s="66" t="n">
        <v>-261.5330111207509</v>
      </c>
      <c r="N27" s="66" t="n">
        <v>322.3396470999854</v>
      </c>
      <c r="O27" s="19" t="inlineStr">
        <is>
          <t>PLD</t>
        </is>
      </c>
      <c r="P27" s="19" t="inlineStr">
        <is>
          <t>EGP</t>
        </is>
      </c>
      <c r="Q27" s="19" t="inlineStr">
        <is>
          <t>FR</t>
        </is>
      </c>
      <c r="R27" s="19" t="inlineStr">
        <is>
          <t>STAG</t>
        </is>
      </c>
      <c r="W27" s="6" t="inlineStr"/>
    </row>
    <row r="28">
      <c r="A28" s="61">
        <f>ROW()-8</f>
        <v>20.0</v>
      </c>
      <c r="B28" s="6" t="inlineStr">
        <is>
          <t>串流影音</t>
        </is>
      </c>
      <c r="C28" s="9" t="inlineStr">
        <is>
          <t>Streaming Video</t>
        </is>
      </c>
      <c r="D28" s="9" t="inlineStr">
        <is>
          <t>通訊服務 Communication Services</t>
        </is>
      </c>
      <c r="E28" s="62" t="n">
        <v>82.72727272727273</v>
      </c>
      <c r="F28" s="62" t="n">
        <v>56.36363636363636</v>
      </c>
      <c r="G28" s="11" t="n">
        <v>-0.005480305990433726</v>
      </c>
      <c r="H28" s="11" t="n">
        <v>0.01326094283196833</v>
      </c>
      <c r="I28" s="63" t="n">
        <v>0.5</v>
      </c>
      <c r="J28" s="63" t="n">
        <v>0.75</v>
      </c>
      <c r="K28" s="64" t="n">
        <v>1.166114473930272</v>
      </c>
      <c r="L28" s="65" t="n">
        <v>-0.4746198375504532</v>
      </c>
      <c r="M28" s="66" t="n">
        <v>-2117.13188110672</v>
      </c>
      <c r="N28" s="66" t="n">
        <v>956.1932477617197</v>
      </c>
      <c r="O28" s="19" t="inlineStr">
        <is>
          <t>NFLX</t>
        </is>
      </c>
      <c r="P28" s="19" t="inlineStr">
        <is>
          <t>DIS</t>
        </is>
      </c>
      <c r="Q28" s="19" t="inlineStr">
        <is>
          <t>WBD</t>
        </is>
      </c>
      <c r="R28" s="19" t="inlineStr">
        <is>
          <t>ROKU</t>
        </is>
      </c>
      <c r="W28" s="6" t="inlineStr"/>
    </row>
    <row r="29">
      <c r="A29" s="61">
        <f>ROW()-8</f>
        <v>21.0</v>
      </c>
      <c r="B29" s="6" t="inlineStr">
        <is>
          <t>數位醫療與遠距醫療</t>
        </is>
      </c>
      <c r="C29" s="9" t="inlineStr">
        <is>
          <t>Digital Health &amp; Telehealth</t>
        </is>
      </c>
      <c r="D29" s="9" t="inlineStr">
        <is>
          <t>醫療保健 Health Care</t>
        </is>
      </c>
      <c r="E29" s="62" t="n">
        <v>81.81818181818183</v>
      </c>
      <c r="F29" s="62" t="n">
        <v>80</v>
      </c>
      <c r="G29" s="11" t="n">
        <v>-0.00386403894173884</v>
      </c>
      <c r="H29" s="11" t="n">
        <v>0.03728190988295133</v>
      </c>
      <c r="I29" s="63" t="n">
        <v>0.75</v>
      </c>
      <c r="J29" s="63" t="n">
        <v>0.7</v>
      </c>
      <c r="K29" s="64" t="n">
        <v>0.9557402059422179</v>
      </c>
      <c r="L29" s="65" t="n">
        <v>-0.191581033557987</v>
      </c>
      <c r="M29" s="66" t="n">
        <v>1.789333263907976</v>
      </c>
      <c r="N29" s="66" t="n">
        <v>-136.3528927460558</v>
      </c>
      <c r="O29" s="19" t="inlineStr">
        <is>
          <t>HIMS</t>
        </is>
      </c>
      <c r="P29" s="19" t="inlineStr">
        <is>
          <t>TDOC</t>
        </is>
      </c>
      <c r="Q29" s="19" t="inlineStr">
        <is>
          <t>DOCS</t>
        </is>
      </c>
      <c r="R29" s="19" t="inlineStr">
        <is>
          <t>OSCR</t>
        </is>
      </c>
      <c r="W29" s="6" t="inlineStr"/>
    </row>
    <row r="30">
      <c r="A30" s="61">
        <f>ROW()-8</f>
        <v>22.0</v>
      </c>
      <c r="B30" s="6" t="inlineStr">
        <is>
          <t>資料中心REIT</t>
        </is>
      </c>
      <c r="C30" s="9" t="inlineStr">
        <is>
          <t>Data Center REITs</t>
        </is>
      </c>
      <c r="D30" s="9" t="inlineStr">
        <is>
          <t>房地產 Real Estate</t>
        </is>
      </c>
      <c r="E30" s="62" t="n">
        <v>80.90909090909091</v>
      </c>
      <c r="F30" s="62" t="n">
        <v>89.09090909090909</v>
      </c>
      <c r="G30" s="11" t="n">
        <v>0.00957855401319474</v>
      </c>
      <c r="H30" s="11" t="n">
        <v>-0.03408256880763949</v>
      </c>
      <c r="I30" s="63" t="n">
        <v>1</v>
      </c>
      <c r="J30" s="63" t="n">
        <v>0.6</v>
      </c>
      <c r="K30" s="64" t="n">
        <v>1.18704841103682</v>
      </c>
      <c r="L30" s="65" t="n">
        <v>0.5188731062723523</v>
      </c>
      <c r="M30" s="66" t="n">
        <v>-300.0930912442223</v>
      </c>
      <c r="N30" s="66" t="n">
        <v>-748.4603578771826</v>
      </c>
      <c r="O30" s="19" t="inlineStr">
        <is>
          <t>EQIX</t>
        </is>
      </c>
      <c r="P30" s="19" t="inlineStr">
        <is>
          <t>DLR</t>
        </is>
      </c>
      <c r="W30" s="6" t="inlineStr"/>
    </row>
    <row r="31">
      <c r="A31" s="61">
        <f>ROW()-8</f>
        <v>23.0</v>
      </c>
      <c r="B31" s="6" t="inlineStr">
        <is>
          <t>大型藥廠</t>
        </is>
      </c>
      <c r="C31" s="9" t="inlineStr">
        <is>
          <t>Large-cap Pharma</t>
        </is>
      </c>
      <c r="D31" s="9" t="inlineStr">
        <is>
          <t>醫療保健 Health Care</t>
        </is>
      </c>
      <c r="E31" s="62" t="n">
        <v>80</v>
      </c>
      <c r="F31" s="62" t="n">
        <v>79.09090909090909</v>
      </c>
      <c r="G31" s="11" t="n">
        <v>0.0003786682748338118</v>
      </c>
      <c r="H31" s="11" t="n">
        <v>0.002755908482171332</v>
      </c>
      <c r="I31" s="63" t="n">
        <v>1</v>
      </c>
      <c r="J31" s="63" t="n">
        <v>0.7</v>
      </c>
      <c r="K31" s="64" t="n">
        <v>0.785715915991252</v>
      </c>
      <c r="L31" s="65" t="n">
        <v>0.2028767186301885</v>
      </c>
      <c r="M31" s="66" t="n">
        <v>-469.2101942798664</v>
      </c>
      <c r="N31" s="66" t="n">
        <v>-7867.742580723522</v>
      </c>
      <c r="O31" s="19" t="inlineStr">
        <is>
          <t>LLY</t>
        </is>
      </c>
      <c r="P31" s="19" t="inlineStr">
        <is>
          <t>JNJ</t>
        </is>
      </c>
      <c r="Q31" s="19" t="inlineStr">
        <is>
          <t>PFE</t>
        </is>
      </c>
      <c r="R31" s="19" t="inlineStr">
        <is>
          <t>MRK</t>
        </is>
      </c>
      <c r="S31" s="19" t="inlineStr">
        <is>
          <t>ABBV</t>
        </is>
      </c>
      <c r="T31" s="19" t="inlineStr">
        <is>
          <t>BMY</t>
        </is>
      </c>
      <c r="W31" s="6" t="inlineStr"/>
    </row>
    <row r="32">
      <c r="A32" s="61">
        <f>ROW()-8</f>
        <v>24.0</v>
      </c>
      <c r="B32" s="6" t="inlineStr">
        <is>
          <t>支付與收單</t>
        </is>
      </c>
      <c r="C32" s="9" t="inlineStr">
        <is>
          <t>Payments &amp; Merchant Acquiring</t>
        </is>
      </c>
      <c r="D32" s="9" t="inlineStr">
        <is>
          <t>金融 Financials</t>
        </is>
      </c>
      <c r="E32" s="62" t="n">
        <v>79.09090909090909</v>
      </c>
      <c r="F32" s="62" t="n">
        <v>33.63636363636363</v>
      </c>
      <c r="G32" s="11" t="n">
        <v>-0.01863085197905652</v>
      </c>
      <c r="H32" s="11" t="n">
        <v>-0.004629860092419502</v>
      </c>
      <c r="I32" s="63" t="n">
        <v>0</v>
      </c>
      <c r="J32" s="63" t="n">
        <v>0.64</v>
      </c>
      <c r="K32" s="64" t="n">
        <v>0.9983795062508201</v>
      </c>
      <c r="L32" s="65" t="n">
        <v>-0.286816357183939</v>
      </c>
      <c r="M32" s="66" t="n">
        <v>-1822.745562904437</v>
      </c>
      <c r="N32" s="66" t="n">
        <v>2501.655654602409</v>
      </c>
      <c r="O32" s="19" t="inlineStr">
        <is>
          <t>V</t>
        </is>
      </c>
      <c r="P32" s="19" t="inlineStr">
        <is>
          <t>MA</t>
        </is>
      </c>
      <c r="Q32" s="19" t="inlineStr">
        <is>
          <t>PYPL</t>
        </is>
      </c>
      <c r="R32" s="19" t="inlineStr">
        <is>
          <t>GPN</t>
        </is>
      </c>
      <c r="S32" s="19" t="inlineStr">
        <is>
          <t>TOST</t>
        </is>
      </c>
      <c r="W32" s="6" t="inlineStr"/>
    </row>
    <row r="33">
      <c r="A33" s="61">
        <f>ROW()-8</f>
        <v>25.0</v>
      </c>
      <c r="B33" s="6" t="inlineStr">
        <is>
          <t>工業自動化與機器人</t>
        </is>
      </c>
      <c r="C33" s="9" t="inlineStr">
        <is>
          <t>Industrial Automation &amp; Robotics</t>
        </is>
      </c>
      <c r="D33" s="9" t="inlineStr">
        <is>
          <t>工業 Industrials</t>
        </is>
      </c>
      <c r="E33" s="62" t="n">
        <v>78.18181818181819</v>
      </c>
      <c r="F33" s="62" t="n">
        <v>85.45454545454545</v>
      </c>
      <c r="G33" s="11" t="n">
        <v>0.006788472877597596</v>
      </c>
      <c r="H33" s="11" t="n">
        <v>-0.0341275552004261</v>
      </c>
      <c r="I33" s="63" t="n">
        <v>0.75</v>
      </c>
      <c r="J33" s="63" t="n">
        <v>0.55</v>
      </c>
      <c r="K33" s="64" t="n">
        <v>1.150485524548476</v>
      </c>
      <c r="L33" s="65" t="n">
        <v>0.2898512803232309</v>
      </c>
      <c r="M33" s="66" t="n">
        <v>-215.1288632355647</v>
      </c>
      <c r="N33" s="66" t="n">
        <v>-1792.070998168962</v>
      </c>
      <c r="O33" s="19" t="inlineStr">
        <is>
          <t>ROK</t>
        </is>
      </c>
      <c r="P33" s="19" t="inlineStr">
        <is>
          <t>SYM</t>
        </is>
      </c>
      <c r="Q33" s="19" t="inlineStr">
        <is>
          <t>NDSN</t>
        </is>
      </c>
      <c r="R33" s="19" t="inlineStr">
        <is>
          <t>TER</t>
        </is>
      </c>
      <c r="W33" s="6" t="inlineStr"/>
    </row>
    <row r="34">
      <c r="A34" s="61">
        <f>ROW()-8</f>
        <v>26.0</v>
      </c>
      <c r="B34" s="6" t="inlineStr">
        <is>
          <t>航太與國防</t>
        </is>
      </c>
      <c r="C34" s="9" t="inlineStr">
        <is>
          <t>Aerospace &amp; Defense</t>
        </is>
      </c>
      <c r="D34" s="9" t="inlineStr">
        <is>
          <t>工業 Industrials</t>
        </is>
      </c>
      <c r="E34" s="62" t="n">
        <v>77.27272727272727</v>
      </c>
      <c r="F34" s="62" t="n">
        <v>55.45454545454545</v>
      </c>
      <c r="G34" s="11" t="n">
        <v>-0.002601857682669221</v>
      </c>
      <c r="H34" s="11" t="n">
        <v>0.008583394769504649</v>
      </c>
      <c r="I34" s="63" t="n">
        <v>0.8333333333333334</v>
      </c>
      <c r="J34" s="63" t="n">
        <v>0.7</v>
      </c>
      <c r="K34" s="64" t="n">
        <v>1.640087692502753</v>
      </c>
      <c r="L34" s="65" t="n">
        <v>-0.0517130562517248</v>
      </c>
      <c r="M34" s="66" t="n">
        <v>-197.3634244021052</v>
      </c>
      <c r="N34" s="66" t="n">
        <v>-550.463209865591</v>
      </c>
      <c r="O34" s="19" t="inlineStr">
        <is>
          <t>LMT</t>
        </is>
      </c>
      <c r="P34" s="19" t="inlineStr">
        <is>
          <t>RTX</t>
        </is>
      </c>
      <c r="Q34" s="19" t="inlineStr">
        <is>
          <t>NOC</t>
        </is>
      </c>
      <c r="R34" s="19" t="inlineStr">
        <is>
          <t>GD</t>
        </is>
      </c>
      <c r="S34" s="19" t="inlineStr">
        <is>
          <t>LHX</t>
        </is>
      </c>
      <c r="T34" s="19" t="inlineStr">
        <is>
          <t>BA</t>
        </is>
      </c>
      <c r="W34" s="6" t="inlineStr"/>
    </row>
    <row r="35">
      <c r="A35" s="61">
        <f>ROW()-8</f>
        <v>27.0</v>
      </c>
      <c r="B35" s="6" t="inlineStr">
        <is>
          <t>教育與消費服務</t>
        </is>
      </c>
      <c r="C35" s="9" t="inlineStr">
        <is>
          <t>Education &amp; Consumer Services</t>
        </is>
      </c>
      <c r="D35" s="9" t="inlineStr">
        <is>
          <t>非必需消費 Consumer Discretionary</t>
        </is>
      </c>
      <c r="E35" s="62" t="n">
        <v>76.36363636363637</v>
      </c>
      <c r="F35" s="62" t="n">
        <v>23.63636363636364</v>
      </c>
      <c r="G35" s="11" t="n">
        <v>-0.01346540119022577</v>
      </c>
      <c r="H35" s="11" t="n">
        <v>0.006931417495858794</v>
      </c>
      <c r="I35" s="63" t="n">
        <v>0</v>
      </c>
      <c r="J35" s="63" t="n">
        <v>0.7333333333333333</v>
      </c>
      <c r="K35" s="64" t="n">
        <v>1.294809400730324</v>
      </c>
      <c r="L35" s="65" t="n">
        <v>-0.2106284805980068</v>
      </c>
      <c r="M35" s="66" t="n">
        <v>-119.2822238007081</v>
      </c>
      <c r="N35" s="66" t="n">
        <v>-85.30136987447212</v>
      </c>
      <c r="O35" s="19" t="inlineStr">
        <is>
          <t>LRN</t>
        </is>
      </c>
      <c r="P35" s="19" t="inlineStr">
        <is>
          <t>HRB</t>
        </is>
      </c>
      <c r="Q35" s="19" t="inlineStr">
        <is>
          <t>SCI</t>
        </is>
      </c>
      <c r="W35" s="6" t="inlineStr"/>
    </row>
    <row r="36">
      <c r="A36" s="61">
        <f>ROW()-8</f>
        <v>28.0</v>
      </c>
      <c r="B36" s="6" t="inlineStr">
        <is>
          <t>酒精飲品</t>
        </is>
      </c>
      <c r="C36" s="9" t="inlineStr">
        <is>
          <t>Alcoholic Beverages</t>
        </is>
      </c>
      <c r="D36" s="9" t="inlineStr">
        <is>
          <t>必需消費 Consumer Staples</t>
        </is>
      </c>
      <c r="E36" s="62" t="n">
        <v>75.45454545454545</v>
      </c>
      <c r="F36" s="62" t="n">
        <v>57.27272727272727</v>
      </c>
      <c r="G36" s="11" t="n">
        <v>-0.005981426197709583</v>
      </c>
      <c r="H36" s="11" t="n">
        <v>0.005804994924511808</v>
      </c>
      <c r="I36" s="63" t="n">
        <v>0.75</v>
      </c>
      <c r="J36" s="63" t="n">
        <v>0.7</v>
      </c>
      <c r="K36" s="64" t="n">
        <v>1.157011724721882</v>
      </c>
      <c r="L36" s="65" t="n">
        <v>-0.2033801474624461</v>
      </c>
      <c r="M36" s="66" t="n">
        <v>-251.6683408632101</v>
      </c>
      <c r="N36" s="66" t="n">
        <v>-310.4525706545719</v>
      </c>
      <c r="O36" s="19" t="inlineStr">
        <is>
          <t>STZ</t>
        </is>
      </c>
      <c r="P36" s="19" t="inlineStr">
        <is>
          <t>BF.B</t>
        </is>
      </c>
      <c r="Q36" s="19" t="inlineStr">
        <is>
          <t>TAP</t>
        </is>
      </c>
      <c r="R36" s="19" t="inlineStr">
        <is>
          <t>DEO</t>
        </is>
      </c>
      <c r="W36" s="6" t="inlineStr"/>
    </row>
    <row r="37">
      <c r="A37" s="61">
        <f>ROW()-8</f>
        <v>29.0</v>
      </c>
      <c r="B37" s="6" t="inlineStr">
        <is>
          <t>傳媒與娛樂內容</t>
        </is>
      </c>
      <c r="C37" s="9" t="inlineStr">
        <is>
          <t>Media &amp; Entertainment Content</t>
        </is>
      </c>
      <c r="D37" s="9" t="inlineStr">
        <is>
          <t>通訊服務 Communication Services</t>
        </is>
      </c>
      <c r="E37" s="62" t="n">
        <v>74.54545454545455</v>
      </c>
      <c r="F37" s="62" t="n">
        <v>78.18181818181819</v>
      </c>
      <c r="G37" s="11" t="n">
        <v>-0.00804888510267654</v>
      </c>
      <c r="H37" s="11" t="n">
        <v>-0.01925019827617613</v>
      </c>
      <c r="I37" s="63" t="n">
        <v>0.5</v>
      </c>
      <c r="J37" s="63" t="n">
        <v>0.45</v>
      </c>
      <c r="K37" s="64" t="n">
        <v>1.111242703764281</v>
      </c>
      <c r="L37" s="65" t="n">
        <v>0.236457614560101</v>
      </c>
      <c r="M37" s="66" t="n">
        <v>-180.8884624365631</v>
      </c>
      <c r="N37" s="66" t="n">
        <v>-426.9616494547012</v>
      </c>
      <c r="O37" s="19" t="inlineStr">
        <is>
          <t>LYV</t>
        </is>
      </c>
      <c r="P37" s="19" t="inlineStr">
        <is>
          <t>FWONK</t>
        </is>
      </c>
      <c r="Q37" s="19" t="inlineStr">
        <is>
          <t>NWSA</t>
        </is>
      </c>
      <c r="R37" s="19" t="inlineStr">
        <is>
          <t>PARA</t>
        </is>
      </c>
      <c r="W37" s="6" t="inlineStr"/>
    </row>
    <row r="38">
      <c r="A38" s="61">
        <f>ROW()-8</f>
        <v>30.0</v>
      </c>
      <c r="B38" s="6" t="inlineStr">
        <is>
          <t>食品加工</t>
        </is>
      </c>
      <c r="C38" s="9" t="inlineStr">
        <is>
          <t>Packaged Food</t>
        </is>
      </c>
      <c r="D38" s="9" t="inlineStr">
        <is>
          <t>必需消費 Consumer Staples</t>
        </is>
      </c>
      <c r="E38" s="62" t="n">
        <v>73.63636363636363</v>
      </c>
      <c r="F38" s="62" t="n">
        <v>80.90909090909091</v>
      </c>
      <c r="G38" s="11" t="n">
        <v>0.004777772125334478</v>
      </c>
      <c r="H38" s="11" t="n">
        <v>-0.001207565236929886</v>
      </c>
      <c r="I38" s="63" t="n">
        <v>1</v>
      </c>
      <c r="J38" s="63" t="n">
        <v>0.6</v>
      </c>
      <c r="K38" s="64" t="n">
        <v>1.000992061015644</v>
      </c>
      <c r="L38" s="65" t="n">
        <v>0.3735844452842058</v>
      </c>
      <c r="M38" s="66" t="n">
        <v>-332.3958168838709</v>
      </c>
      <c r="N38" s="66" t="n">
        <v>-411.2675306048438</v>
      </c>
      <c r="O38" s="19" t="inlineStr">
        <is>
          <t>GIS</t>
        </is>
      </c>
      <c r="P38" s="19" t="inlineStr">
        <is>
          <t>KHC</t>
        </is>
      </c>
      <c r="Q38" s="19" t="inlineStr">
        <is>
          <t>HSY</t>
        </is>
      </c>
      <c r="R38" s="19" t="inlineStr">
        <is>
          <t>CAG</t>
        </is>
      </c>
      <c r="W38" s="6" t="inlineStr"/>
    </row>
    <row r="39">
      <c r="A39" s="61">
        <f>ROW()-8</f>
        <v>31.0</v>
      </c>
      <c r="B39" s="6" t="inlineStr">
        <is>
          <t>煙草與尼古丁</t>
        </is>
      </c>
      <c r="C39" s="9" t="inlineStr">
        <is>
          <t>Tobacco &amp; Nicotine</t>
        </is>
      </c>
      <c r="D39" s="9" t="inlineStr">
        <is>
          <t>必需消費 Consumer Staples</t>
        </is>
      </c>
      <c r="E39" s="62" t="n">
        <v>72.72727272727273</v>
      </c>
      <c r="F39" s="62" t="n">
        <v>59.09090909090909</v>
      </c>
      <c r="G39" s="11" t="n">
        <v>-0.002260610171001284</v>
      </c>
      <c r="H39" s="11" t="n">
        <v>0.00718832804751135</v>
      </c>
      <c r="I39" s="63" t="n">
        <v>0.6666666666666666</v>
      </c>
      <c r="J39" s="63" t="n">
        <v>0.6</v>
      </c>
      <c r="K39" s="64" t="n">
        <v>0.8250403452643589</v>
      </c>
      <c r="L39" s="65" t="n">
        <v>-0.111813119885324</v>
      </c>
      <c r="M39" s="66" t="n">
        <v>-485.4783593630632</v>
      </c>
      <c r="N39" s="66" t="n">
        <v>-676.7908678875182</v>
      </c>
      <c r="O39" s="19" t="inlineStr">
        <is>
          <t>PM</t>
        </is>
      </c>
      <c r="P39" s="19" t="inlineStr">
        <is>
          <t>MO</t>
        </is>
      </c>
      <c r="Q39" s="19" t="inlineStr">
        <is>
          <t>TPB</t>
        </is>
      </c>
      <c r="W39" s="6" t="inlineStr"/>
    </row>
    <row r="40">
      <c r="A40" s="61">
        <f>ROW()-8</f>
        <v>32.0</v>
      </c>
      <c r="B40" s="6" t="inlineStr">
        <is>
          <t>IT服務與系統整合</t>
        </is>
      </c>
      <c r="C40" s="9" t="inlineStr">
        <is>
          <t>IT Services &amp; Consulting</t>
        </is>
      </c>
      <c r="D40" s="9" t="inlineStr">
        <is>
          <t>資訊科技 Information Technology</t>
        </is>
      </c>
      <c r="E40" s="62" t="n">
        <v>71.81818181818181</v>
      </c>
      <c r="F40" s="62" t="n">
        <v>9.090909090909092</v>
      </c>
      <c r="G40" s="11" t="n">
        <v>-0.03167567978175796</v>
      </c>
      <c r="H40" s="11" t="n">
        <v>0.03316730053850514</v>
      </c>
      <c r="I40" s="63" t="n">
        <v>0</v>
      </c>
      <c r="J40" s="63" t="n">
        <v>0.64</v>
      </c>
      <c r="K40" s="64" t="n">
        <v>1.001331788340923</v>
      </c>
      <c r="L40" s="65" t="n">
        <v>-0.5034760727167289</v>
      </c>
      <c r="M40" s="66" t="n">
        <v>-1209.216953887892</v>
      </c>
      <c r="N40" s="66" t="n">
        <v>1351.596634316817</v>
      </c>
      <c r="O40" s="19" t="inlineStr">
        <is>
          <t>ACN</t>
        </is>
      </c>
      <c r="P40" s="19" t="inlineStr">
        <is>
          <t>IBM</t>
        </is>
      </c>
      <c r="Q40" s="19" t="inlineStr">
        <is>
          <t>INFY</t>
        </is>
      </c>
      <c r="R40" s="19" t="inlineStr">
        <is>
          <t>CTSH</t>
        </is>
      </c>
      <c r="S40" s="19" t="inlineStr">
        <is>
          <t>EPAM</t>
        </is>
      </c>
      <c r="W40" s="6" t="inlineStr"/>
    </row>
    <row r="41">
      <c r="A41" s="67">
        <f>ROW()-8</f>
        <v>33.0</v>
      </c>
      <c r="B41" s="38" t="inlineStr">
        <is>
          <t>電信營運商</t>
        </is>
      </c>
      <c r="C41" s="68" t="inlineStr">
        <is>
          <t>Telecom Carriers</t>
        </is>
      </c>
      <c r="D41" s="68" t="inlineStr">
        <is>
          <t>通訊服務 Communication Services</t>
        </is>
      </c>
      <c r="E41" s="69" t="n">
        <v>70.90909090909091</v>
      </c>
      <c r="F41" s="69" t="n">
        <v>4.545454545454546</v>
      </c>
      <c r="G41" s="42" t="n">
        <v>-0.02945367548431347</v>
      </c>
      <c r="H41" s="42" t="n">
        <v>0.007520563504833211</v>
      </c>
      <c r="I41" s="70" t="n">
        <v>0</v>
      </c>
      <c r="J41" s="70" t="n">
        <v>0.7333333333333333</v>
      </c>
      <c r="K41" s="71" t="n">
        <v>1.341607844866861</v>
      </c>
      <c r="L41" s="72" t="n">
        <v>-0.6173210050742517</v>
      </c>
      <c r="M41" s="73" t="n">
        <v>-1559.900865826294</v>
      </c>
      <c r="N41" s="73" t="n">
        <v>-460.4528834457648</v>
      </c>
      <c r="O41" s="39" t="inlineStr">
        <is>
          <t>T</t>
        </is>
      </c>
      <c r="P41" s="39" t="inlineStr">
        <is>
          <t>VZ</t>
        </is>
      </c>
      <c r="Q41" s="39" t="inlineStr">
        <is>
          <t>TMUS</t>
        </is>
      </c>
      <c r="R41" s="74" t="n"/>
      <c r="S41" s="74" t="n"/>
      <c r="T41" s="74" t="n"/>
      <c r="U41" s="74" t="n"/>
      <c r="V41" s="74" t="n"/>
      <c r="W41" s="40" t="inlineStr">
        <is>
          <t>✕ 迴避：債券代理股</t>
        </is>
      </c>
    </row>
    <row r="42">
      <c r="A42" s="49">
        <f>ROW()-8</f>
        <v>34.0</v>
      </c>
      <c r="B42" s="50" t="inlineStr">
        <is>
          <t>光通訊/CPO</t>
        </is>
      </c>
      <c r="C42" s="51" t="inlineStr">
        <is>
          <t>Optical Networking &amp; CPO</t>
        </is>
      </c>
      <c r="D42" s="51" t="inlineStr">
        <is>
          <t>資訊科技 Information Technology</t>
        </is>
      </c>
      <c r="E42" s="52" t="n">
        <v>70</v>
      </c>
      <c r="F42" s="52" t="n">
        <v>100</v>
      </c>
      <c r="G42" s="53" t="n">
        <v>0.05608786418291185</v>
      </c>
      <c r="H42" s="53" t="n">
        <v>-0.0657384131641906</v>
      </c>
      <c r="I42" s="54" t="n">
        <v>1</v>
      </c>
      <c r="J42" s="54" t="n">
        <v>0.52</v>
      </c>
      <c r="K42" s="55" t="n">
        <v>1.501115503766145</v>
      </c>
      <c r="L42" s="56" t="n">
        <v>0.8848906701645769</v>
      </c>
      <c r="M42" s="57" t="n">
        <v>4935.451371919242</v>
      </c>
      <c r="N42" s="57" t="n">
        <v>-13290.1480362023</v>
      </c>
      <c r="O42" s="58" t="inlineStr">
        <is>
          <t>COHR</t>
        </is>
      </c>
      <c r="P42" s="58" t="inlineStr">
        <is>
          <t>LITE</t>
        </is>
      </c>
      <c r="Q42" s="58" t="inlineStr">
        <is>
          <t>AAOI</t>
        </is>
      </c>
      <c r="R42" s="58" t="inlineStr">
        <is>
          <t>CRDO</t>
        </is>
      </c>
      <c r="S42" s="58" t="inlineStr">
        <is>
          <t>POET</t>
        </is>
      </c>
      <c r="T42" s="59" t="n"/>
      <c r="U42" s="59" t="n"/>
      <c r="V42" s="59" t="n"/>
      <c r="W42" s="60" t="inlineStr">
        <is>
          <t>★ 第⑤組（戰術）：9/16 全表最強，但 5 日 −6.57%、淨流出 −$132.9 億</t>
        </is>
      </c>
    </row>
    <row r="43">
      <c r="A43" s="61">
        <f>ROW()-8</f>
        <v>35.0</v>
      </c>
      <c r="B43" s="6" t="inlineStr">
        <is>
          <t>電商平台</t>
        </is>
      </c>
      <c r="C43" s="9" t="inlineStr">
        <is>
          <t>E-commerce Platforms</t>
        </is>
      </c>
      <c r="D43" s="9" t="inlineStr">
        <is>
          <t>非必需消費 Consumer Discretionary</t>
        </is>
      </c>
      <c r="E43" s="62" t="n">
        <v>69.09090909090909</v>
      </c>
      <c r="F43" s="62" t="n">
        <v>64.54545454545455</v>
      </c>
      <c r="G43" s="11" t="n">
        <v>-0.003226709086284307</v>
      </c>
      <c r="H43" s="11" t="n">
        <v>0.01900186276273819</v>
      </c>
      <c r="I43" s="63" t="n">
        <v>0.6</v>
      </c>
      <c r="J43" s="63" t="n">
        <v>0.6</v>
      </c>
      <c r="K43" s="64" t="n">
        <v>1.093185834544988</v>
      </c>
      <c r="L43" s="65" t="n">
        <v>-0.3115354485644842</v>
      </c>
      <c r="M43" s="66" t="n">
        <v>-2850.302158619314</v>
      </c>
      <c r="N43" s="66" t="n">
        <v>-1660.182987910546</v>
      </c>
      <c r="O43" s="19" t="inlineStr">
        <is>
          <t>AMZN</t>
        </is>
      </c>
      <c r="P43" s="19" t="inlineStr">
        <is>
          <t>SHOP</t>
        </is>
      </c>
      <c r="Q43" s="19" t="inlineStr">
        <is>
          <t>EBAY</t>
        </is>
      </c>
      <c r="R43" s="19" t="inlineStr">
        <is>
          <t>CHWY</t>
        </is>
      </c>
      <c r="S43" s="19" t="inlineStr">
        <is>
          <t>W</t>
        </is>
      </c>
      <c r="W43" s="6" t="inlineStr"/>
    </row>
    <row r="44">
      <c r="A44" s="61">
        <f>ROW()-8</f>
        <v>36.0</v>
      </c>
      <c r="B44" s="6" t="inlineStr">
        <is>
          <t>大賣場與超巿</t>
        </is>
      </c>
      <c r="C44" s="9" t="inlineStr">
        <is>
          <t>Hypermarkets &amp; Grocery</t>
        </is>
      </c>
      <c r="D44" s="9" t="inlineStr">
        <is>
          <t>必需消費 Consumer Staples</t>
        </is>
      </c>
      <c r="E44" s="62" t="n">
        <v>68.18181818181817</v>
      </c>
      <c r="F44" s="62" t="n">
        <v>31.81818181818182</v>
      </c>
      <c r="G44" s="11" t="n">
        <v>-0.01508406553067891</v>
      </c>
      <c r="H44" s="11" t="n">
        <v>0.03973597241687199</v>
      </c>
      <c r="I44" s="63" t="n">
        <v>0</v>
      </c>
      <c r="J44" s="63" t="n">
        <v>0.64</v>
      </c>
      <c r="K44" s="64" t="n">
        <v>0.9946361351316393</v>
      </c>
      <c r="L44" s="65" t="n">
        <v>-0.3471302501283363</v>
      </c>
      <c r="M44" s="66" t="n">
        <v>-3533.550017982758</v>
      </c>
      <c r="N44" s="66" t="n">
        <v>-3937.494781462476</v>
      </c>
      <c r="O44" s="19" t="inlineStr">
        <is>
          <t>WMT</t>
        </is>
      </c>
      <c r="P44" s="19" t="inlineStr">
        <is>
          <t>COST</t>
        </is>
      </c>
      <c r="Q44" s="19" t="inlineStr">
        <is>
          <t>KR</t>
        </is>
      </c>
      <c r="R44" s="19" t="inlineStr">
        <is>
          <t>BJ</t>
        </is>
      </c>
      <c r="S44" s="19" t="inlineStr">
        <is>
          <t>ACI</t>
        </is>
      </c>
      <c r="W44" s="6" t="inlineStr"/>
    </row>
    <row r="45">
      <c r="A45" s="49">
        <f>ROW()-8</f>
        <v>37.0</v>
      </c>
      <c r="B45" s="50" t="inlineStr">
        <is>
          <t>EDA與半導體IP</t>
        </is>
      </c>
      <c r="C45" s="51" t="inlineStr">
        <is>
          <t>EDA &amp; Semiconductor IP</t>
        </is>
      </c>
      <c r="D45" s="51" t="inlineStr">
        <is>
          <t>資訊科技 Information Technology</t>
        </is>
      </c>
      <c r="E45" s="52" t="n">
        <v>67.27272727272727</v>
      </c>
      <c r="F45" s="52" t="n">
        <v>98.18181818181819</v>
      </c>
      <c r="G45" s="53" t="n">
        <v>0.01995424007499073</v>
      </c>
      <c r="H45" s="53" t="n">
        <v>-0.04287828324787479</v>
      </c>
      <c r="I45" s="54" t="n">
        <v>1</v>
      </c>
      <c r="J45" s="54" t="n">
        <v>0.5333333333333333</v>
      </c>
      <c r="K45" s="55" t="n">
        <v>1.020034717450762</v>
      </c>
      <c r="L45" s="56" t="n">
        <v>0.1447496012949523</v>
      </c>
      <c r="M45" s="57" t="n">
        <v>545.4707222497423</v>
      </c>
      <c r="N45" s="57" t="n">
        <v>-2978.494795871438</v>
      </c>
      <c r="O45" s="58" t="inlineStr">
        <is>
          <t>SNPS</t>
        </is>
      </c>
      <c r="P45" s="58" t="inlineStr">
        <is>
          <t>CDNS</t>
        </is>
      </c>
      <c r="Q45" s="58" t="inlineStr">
        <is>
          <t>ARM</t>
        </is>
      </c>
      <c r="R45" s="59" t="n"/>
      <c r="S45" s="59" t="n"/>
      <c r="T45" s="59" t="n"/>
      <c r="U45" s="59" t="n"/>
      <c r="V45" s="59" t="n"/>
      <c r="W45" s="60" t="inlineStr">
        <is>
          <t>★ 第⑤組（戰術）</t>
        </is>
      </c>
    </row>
    <row r="46">
      <c r="A46" s="61">
        <f>ROW()-8</f>
        <v>38.0</v>
      </c>
      <c r="B46" s="6" t="inlineStr">
        <is>
          <t>晶圓代工/IDM</t>
        </is>
      </c>
      <c r="C46" s="9" t="inlineStr">
        <is>
          <t>Foundry &amp; IDM</t>
        </is>
      </c>
      <c r="D46" s="9" t="inlineStr">
        <is>
          <t>資訊科技 Information Technology</t>
        </is>
      </c>
      <c r="E46" s="62" t="n">
        <v>66.36363636363637</v>
      </c>
      <c r="F46" s="62" t="n">
        <v>95.45454545454545</v>
      </c>
      <c r="G46" s="11" t="n">
        <v>0.02474223677113119</v>
      </c>
      <c r="H46" s="11" t="n">
        <v>-0.0397025966754182</v>
      </c>
      <c r="I46" s="63" t="n">
        <v>1</v>
      </c>
      <c r="J46" s="63" t="n">
        <v>0.5</v>
      </c>
      <c r="K46" s="64" t="n">
        <v>1.167900721975732</v>
      </c>
      <c r="L46" s="65" t="n">
        <v>0.3606249913731656</v>
      </c>
      <c r="M46" s="66" t="n">
        <v>-2547.778545529014</v>
      </c>
      <c r="N46" s="66" t="n">
        <v>-16107.26264212243</v>
      </c>
      <c r="O46" s="19" t="inlineStr">
        <is>
          <t>TSM</t>
        </is>
      </c>
      <c r="P46" s="19" t="inlineStr">
        <is>
          <t>INTC</t>
        </is>
      </c>
      <c r="Q46" s="19" t="inlineStr">
        <is>
          <t>GFS</t>
        </is>
      </c>
      <c r="R46" s="19" t="inlineStr">
        <is>
          <t>UMC</t>
        </is>
      </c>
      <c r="W46" s="6" t="inlineStr"/>
    </row>
    <row r="47">
      <c r="A47" s="61">
        <f>ROW()-8</f>
        <v>39.0</v>
      </c>
      <c r="B47" s="6" t="inlineStr">
        <is>
          <t>機械與重工</t>
        </is>
      </c>
      <c r="C47" s="9" t="inlineStr">
        <is>
          <t>Machinery &amp; Heavy Equipment</t>
        </is>
      </c>
      <c r="D47" s="9" t="inlineStr">
        <is>
          <t>工業 Industrials</t>
        </is>
      </c>
      <c r="E47" s="62" t="n">
        <v>65.45454545454545</v>
      </c>
      <c r="F47" s="62" t="n">
        <v>60.90909090909091</v>
      </c>
      <c r="G47" s="11" t="n">
        <v>-0.01115598957887896</v>
      </c>
      <c r="H47" s="11" t="n">
        <v>-0.02332312423415062</v>
      </c>
      <c r="I47" s="63" t="n">
        <v>0.4</v>
      </c>
      <c r="J47" s="63" t="n">
        <v>0.52</v>
      </c>
      <c r="K47" s="64" t="n">
        <v>1.35311918506013</v>
      </c>
      <c r="L47" s="65" t="n">
        <v>0.07449631251919434</v>
      </c>
      <c r="M47" s="66" t="n">
        <v>-1329.52678865939</v>
      </c>
      <c r="N47" s="66" t="n">
        <v>-1381.770962679674</v>
      </c>
      <c r="O47" s="19" t="inlineStr">
        <is>
          <t>CAT</t>
        </is>
      </c>
      <c r="P47" s="19" t="inlineStr">
        <is>
          <t>DE</t>
        </is>
      </c>
      <c r="Q47" s="19" t="inlineStr">
        <is>
          <t>CMI</t>
        </is>
      </c>
      <c r="R47" s="19" t="inlineStr">
        <is>
          <t>PCAR</t>
        </is>
      </c>
      <c r="S47" s="19" t="inlineStr">
        <is>
          <t>HON</t>
        </is>
      </c>
      <c r="W47" s="6" t="inlineStr"/>
    </row>
    <row r="48">
      <c r="A48" s="61">
        <f>ROW()-8</f>
        <v>40.0</v>
      </c>
      <c r="B48" s="6" t="inlineStr">
        <is>
          <t>太空與衛星</t>
        </is>
      </c>
      <c r="C48" s="9" t="inlineStr">
        <is>
          <t>Space &amp; Satellites</t>
        </is>
      </c>
      <c r="D48" s="9" t="inlineStr">
        <is>
          <t>工業 Industrials</t>
        </is>
      </c>
      <c r="E48" s="62" t="n">
        <v>64.54545454545455</v>
      </c>
      <c r="F48" s="62" t="n">
        <v>90.90909090909091</v>
      </c>
      <c r="G48" s="11" t="n">
        <v>0.002917803692385279</v>
      </c>
      <c r="H48" s="11" t="n">
        <v>-0.03487881857679986</v>
      </c>
      <c r="I48" s="63" t="n">
        <v>1</v>
      </c>
      <c r="J48" s="63" t="n">
        <v>0.44</v>
      </c>
      <c r="K48" s="64" t="n">
        <v>1.007558831252322</v>
      </c>
      <c r="L48" s="65" t="n">
        <v>0.5998760494217601</v>
      </c>
      <c r="M48" s="66" t="n">
        <v>754.5348222901979</v>
      </c>
      <c r="N48" s="66" t="n">
        <v>-1547.864531791982</v>
      </c>
      <c r="O48" s="19" t="inlineStr">
        <is>
          <t>RKLB</t>
        </is>
      </c>
      <c r="P48" s="19" t="inlineStr">
        <is>
          <t>ASTS</t>
        </is>
      </c>
      <c r="Q48" s="19" t="inlineStr">
        <is>
          <t>LUNR</t>
        </is>
      </c>
      <c r="R48" s="19" t="inlineStr">
        <is>
          <t>PL</t>
        </is>
      </c>
      <c r="S48" s="19" t="inlineStr">
        <is>
          <t>RDW</t>
        </is>
      </c>
      <c r="W48" s="6" t="inlineStr"/>
    </row>
    <row r="49">
      <c r="A49" s="61">
        <f>ROW()-8</f>
        <v>41.0</v>
      </c>
      <c r="B49" s="6" t="inlineStr">
        <is>
          <t>酒店與郵輪</t>
        </is>
      </c>
      <c r="C49" s="9" t="inlineStr">
        <is>
          <t>Hotels &amp; Cruise Lines</t>
        </is>
      </c>
      <c r="D49" s="9" t="inlineStr">
        <is>
          <t>非必需消費 Consumer Discretionary</t>
        </is>
      </c>
      <c r="E49" s="62" t="n">
        <v>63.63636363636363</v>
      </c>
      <c r="F49" s="62" t="n">
        <v>86.36363636363636</v>
      </c>
      <c r="G49" s="11" t="n">
        <v>0.006628961106606513</v>
      </c>
      <c r="H49" s="11" t="n">
        <v>-0.01053815092502253</v>
      </c>
      <c r="I49" s="63" t="n">
        <v>0.6</v>
      </c>
      <c r="J49" s="63" t="n">
        <v>0.4</v>
      </c>
      <c r="K49" s="64" t="n">
        <v>1.239484164233422</v>
      </c>
      <c r="L49" s="65" t="n">
        <v>0.1337067081945577</v>
      </c>
      <c r="M49" s="66" t="n">
        <v>-105.892515476059</v>
      </c>
      <c r="N49" s="66" t="n">
        <v>-2374.495540742455</v>
      </c>
      <c r="O49" s="19" t="inlineStr">
        <is>
          <t>MAR</t>
        </is>
      </c>
      <c r="P49" s="19" t="inlineStr">
        <is>
          <t>HLT</t>
        </is>
      </c>
      <c r="Q49" s="19" t="inlineStr">
        <is>
          <t>RCL</t>
        </is>
      </c>
      <c r="R49" s="19" t="inlineStr">
        <is>
          <t>CCL</t>
        </is>
      </c>
      <c r="S49" s="19" t="inlineStr">
        <is>
          <t>NCLH</t>
        </is>
      </c>
      <c r="W49" s="6" t="inlineStr"/>
    </row>
    <row r="50">
      <c r="A50" s="61">
        <f>ROW()-8</f>
        <v>42.0</v>
      </c>
      <c r="B50" s="6" t="inlineStr">
        <is>
          <t>醫療與長者住宅REIT</t>
        </is>
      </c>
      <c r="C50" s="9" t="inlineStr">
        <is>
          <t>Health Care REITs</t>
        </is>
      </c>
      <c r="D50" s="9" t="inlineStr">
        <is>
          <t>房地產 Real Estate</t>
        </is>
      </c>
      <c r="E50" s="62" t="n">
        <v>62.72727272727273</v>
      </c>
      <c r="F50" s="62" t="n">
        <v>81.81818181818183</v>
      </c>
      <c r="G50" s="11" t="n">
        <v>0.00207002012829105</v>
      </c>
      <c r="H50" s="11" t="n">
        <v>-0.006668435185528065</v>
      </c>
      <c r="I50" s="63" t="n">
        <v>1</v>
      </c>
      <c r="J50" s="63" t="n">
        <v>0.65</v>
      </c>
      <c r="K50" s="64" t="n">
        <v>0.9806790167599057</v>
      </c>
      <c r="L50" s="65" t="n">
        <v>0.1422775945191958</v>
      </c>
      <c r="M50" s="66" t="n">
        <v>-44.35831631601089</v>
      </c>
      <c r="N50" s="66" t="n">
        <v>-1544.620792649193</v>
      </c>
      <c r="O50" s="19" t="inlineStr">
        <is>
          <t>WELL</t>
        </is>
      </c>
      <c r="P50" s="19" t="inlineStr">
        <is>
          <t>VTR</t>
        </is>
      </c>
      <c r="Q50" s="19" t="inlineStr">
        <is>
          <t>OHI</t>
        </is>
      </c>
      <c r="R50" s="19" t="inlineStr">
        <is>
          <t>DOC</t>
        </is>
      </c>
      <c r="W50" s="6" t="inlineStr"/>
    </row>
    <row r="51">
      <c r="A51" s="61">
        <f>ROW()-8</f>
        <v>43.0</v>
      </c>
      <c r="B51" s="6" t="inlineStr">
        <is>
          <t>企業軟體/SaaS</t>
        </is>
      </c>
      <c r="C51" s="9" t="inlineStr">
        <is>
          <t>Enterprise Software &amp; SaaS</t>
        </is>
      </c>
      <c r="D51" s="9" t="inlineStr">
        <is>
          <t>資訊科技 Information Technology</t>
        </is>
      </c>
      <c r="E51" s="62" t="n">
        <v>61.81818181818181</v>
      </c>
      <c r="F51" s="62" t="n">
        <v>27.27272727272727</v>
      </c>
      <c r="G51" s="11" t="n">
        <v>-0.01511959658762487</v>
      </c>
      <c r="H51" s="11" t="n">
        <v>0.03074051652368892</v>
      </c>
      <c r="I51" s="63" t="n">
        <v>0.2</v>
      </c>
      <c r="J51" s="63" t="n">
        <v>0.5600000000000001</v>
      </c>
      <c r="K51" s="64" t="n">
        <v>0.725793846913046</v>
      </c>
      <c r="L51" s="65" t="n">
        <v>-0.2404726473224379</v>
      </c>
      <c r="M51" s="66" t="n">
        <v>-2195.442189415107</v>
      </c>
      <c r="N51" s="66" t="n">
        <v>-2266.687994898543</v>
      </c>
      <c r="O51" s="19" t="inlineStr">
        <is>
          <t>CRM</t>
        </is>
      </c>
      <c r="P51" s="19" t="inlineStr">
        <is>
          <t>NOW</t>
        </is>
      </c>
      <c r="Q51" s="19" t="inlineStr">
        <is>
          <t>WDAY</t>
        </is>
      </c>
      <c r="R51" s="19" t="inlineStr">
        <is>
          <t>ADBE</t>
        </is>
      </c>
      <c r="S51" s="19" t="inlineStr">
        <is>
          <t>TEAM</t>
        </is>
      </c>
      <c r="W51" s="6" t="inlineStr"/>
    </row>
    <row r="52">
      <c r="A52" s="67">
        <f>ROW()-8</f>
        <v>44.0</v>
      </c>
      <c r="B52" s="38" t="inlineStr">
        <is>
          <t>住宅建築商</t>
        </is>
      </c>
      <c r="C52" s="68" t="inlineStr">
        <is>
          <t>Homebuilders</t>
        </is>
      </c>
      <c r="D52" s="68" t="inlineStr">
        <is>
          <t>非必需消費 Consumer Discretionary</t>
        </is>
      </c>
      <c r="E52" s="69" t="n">
        <v>60.90909090909091</v>
      </c>
      <c r="F52" s="69" t="n">
        <v>11.81818181818182</v>
      </c>
      <c r="G52" s="42" t="n">
        <v>-0.01476215642058902</v>
      </c>
      <c r="H52" s="42" t="n">
        <v>-0.01227668754952371</v>
      </c>
      <c r="I52" s="70" t="n">
        <v>0</v>
      </c>
      <c r="J52" s="70" t="n">
        <v>0.52</v>
      </c>
      <c r="K52" s="71" t="n">
        <v>2.023833363545572</v>
      </c>
      <c r="L52" s="72" t="n">
        <v>-0.03785229880527323</v>
      </c>
      <c r="M52" s="73" t="n">
        <v>-1007.324354243372</v>
      </c>
      <c r="N52" s="73" t="n">
        <v>112.493211945552</v>
      </c>
      <c r="O52" s="39" t="inlineStr">
        <is>
          <t>DHI</t>
        </is>
      </c>
      <c r="P52" s="39" t="inlineStr">
        <is>
          <t>LEN</t>
        </is>
      </c>
      <c r="Q52" s="39" t="inlineStr">
        <is>
          <t>PHM</t>
        </is>
      </c>
      <c r="R52" s="39" t="inlineStr">
        <is>
          <t>NVR</t>
        </is>
      </c>
      <c r="S52" s="39" t="inlineStr">
        <is>
          <t>TOL</t>
        </is>
      </c>
      <c r="T52" s="74" t="n"/>
      <c r="U52" s="74" t="n"/>
      <c r="V52" s="74" t="n"/>
      <c r="W52" s="40" t="inlineStr">
        <is>
          <t>✕ 迴避：9/17 新屋開工為向下催化劑</t>
        </is>
      </c>
    </row>
    <row r="53">
      <c r="A53" s="67">
        <f>ROW()-8</f>
        <v>45.0</v>
      </c>
      <c r="B53" s="38" t="inlineStr">
        <is>
          <t>頁岩E&amp;P勘探生產</t>
        </is>
      </c>
      <c r="C53" s="68" t="inlineStr">
        <is>
          <t>Shale E&amp;P</t>
        </is>
      </c>
      <c r="D53" s="68" t="inlineStr">
        <is>
          <t>能源 Energy</t>
        </is>
      </c>
      <c r="E53" s="69" t="n">
        <v>60</v>
      </c>
      <c r="F53" s="69" t="n">
        <v>0</v>
      </c>
      <c r="G53" s="42" t="n">
        <v>-0.06417641655309222</v>
      </c>
      <c r="H53" s="42" t="n">
        <v>-0.02426412139357703</v>
      </c>
      <c r="I53" s="70" t="n">
        <v>0</v>
      </c>
      <c r="J53" s="70" t="n">
        <v>0.5600000000000001</v>
      </c>
      <c r="K53" s="71" t="n">
        <v>4.570299591997716</v>
      </c>
      <c r="L53" s="72" t="n">
        <v>-0.634785972595572</v>
      </c>
      <c r="M53" s="73" t="n">
        <v>-3384.148527923089</v>
      </c>
      <c r="N53" s="73" t="n">
        <v>228.4496785554285</v>
      </c>
      <c r="O53" s="39" t="inlineStr">
        <is>
          <t>COP</t>
        </is>
      </c>
      <c r="P53" s="39" t="inlineStr">
        <is>
          <t>EOG</t>
        </is>
      </c>
      <c r="Q53" s="39" t="inlineStr">
        <is>
          <t>FANG</t>
        </is>
      </c>
      <c r="R53" s="39" t="inlineStr">
        <is>
          <t>DVN</t>
        </is>
      </c>
      <c r="S53" s="39" t="inlineStr">
        <is>
          <t>OXY</t>
        </is>
      </c>
      <c r="T53" s="74" t="n"/>
      <c r="U53" s="74" t="n"/>
      <c r="V53" s="74" t="n"/>
      <c r="W53" s="40" t="inlineStr">
        <is>
          <t>✕ 迴避：9/16 111 組最差，成交 4.57x</t>
        </is>
      </c>
    </row>
    <row r="54">
      <c r="A54" s="61">
        <f>ROW()-8</f>
        <v>46.0</v>
      </c>
      <c r="B54" s="6" t="inlineStr">
        <is>
          <t>特種化工</t>
        </is>
      </c>
      <c r="C54" s="9" t="inlineStr">
        <is>
          <t>Specialty Chemicals</t>
        </is>
      </c>
      <c r="D54" s="9" t="inlineStr">
        <is>
          <t>原材料 Materials</t>
        </is>
      </c>
      <c r="E54" s="62" t="n">
        <v>59.09090909090909</v>
      </c>
      <c r="F54" s="62" t="n">
        <v>50.90909090909091</v>
      </c>
      <c r="G54" s="11" t="n">
        <v>-0.0112552924717729</v>
      </c>
      <c r="H54" s="11" t="n">
        <v>-0.03155844215866022</v>
      </c>
      <c r="I54" s="63" t="n">
        <v>0.4</v>
      </c>
      <c r="J54" s="63" t="n">
        <v>0.48</v>
      </c>
      <c r="K54" s="64" t="n">
        <v>1.093052247895241</v>
      </c>
      <c r="L54" s="65" t="n">
        <v>0.0123973972469206</v>
      </c>
      <c r="M54" s="66" t="n">
        <v>-786.7471038915889</v>
      </c>
      <c r="N54" s="66" t="n">
        <v>-409.8907207071743</v>
      </c>
      <c r="O54" s="19" t="inlineStr">
        <is>
          <t>LIN</t>
        </is>
      </c>
      <c r="P54" s="19" t="inlineStr">
        <is>
          <t>APD</t>
        </is>
      </c>
      <c r="Q54" s="19" t="inlineStr">
        <is>
          <t>SHW</t>
        </is>
      </c>
      <c r="R54" s="19" t="inlineStr">
        <is>
          <t>ECL</t>
        </is>
      </c>
      <c r="S54" s="19" t="inlineStr">
        <is>
          <t>ALB</t>
        </is>
      </c>
      <c r="W54" s="6" t="inlineStr"/>
    </row>
    <row r="55">
      <c r="A55" s="61">
        <f>ROW()-8</f>
        <v>47.0</v>
      </c>
      <c r="B55" s="6" t="inlineStr">
        <is>
          <t>非酒精飲品</t>
        </is>
      </c>
      <c r="C55" s="9" t="inlineStr">
        <is>
          <t>Beverages (Non-Alcoholic)</t>
        </is>
      </c>
      <c r="D55" s="9" t="inlineStr">
        <is>
          <t>必需消費 Consumer Staples</t>
        </is>
      </c>
      <c r="E55" s="62" t="n">
        <v>58.18181818181818</v>
      </c>
      <c r="F55" s="62" t="n">
        <v>52.72727272727272</v>
      </c>
      <c r="G55" s="11" t="n">
        <v>0.002581891552155824</v>
      </c>
      <c r="H55" s="11" t="n">
        <v>0.008268248703778625</v>
      </c>
      <c r="I55" s="63" t="n">
        <v>0.6</v>
      </c>
      <c r="J55" s="63" t="n">
        <v>0.64</v>
      </c>
      <c r="K55" s="64" t="n">
        <v>1.081765513338371</v>
      </c>
      <c r="L55" s="65" t="n">
        <v>0.03845925303451159</v>
      </c>
      <c r="M55" s="66" t="n">
        <v>-2062.461194189821</v>
      </c>
      <c r="N55" s="66" t="n">
        <v>-5111.112913921993</v>
      </c>
      <c r="O55" s="19" t="inlineStr">
        <is>
          <t>KO</t>
        </is>
      </c>
      <c r="P55" s="19" t="inlineStr">
        <is>
          <t>PEP</t>
        </is>
      </c>
      <c r="Q55" s="19" t="inlineStr">
        <is>
          <t>MNST</t>
        </is>
      </c>
      <c r="R55" s="19" t="inlineStr">
        <is>
          <t>CELH</t>
        </is>
      </c>
      <c r="S55" s="19" t="inlineStr">
        <is>
          <t>KDP</t>
        </is>
      </c>
      <c r="W55" s="6" t="inlineStr"/>
    </row>
    <row r="56">
      <c r="A56" s="61">
        <f>ROW()-8</f>
        <v>48.0</v>
      </c>
      <c r="B56" s="6" t="inlineStr">
        <is>
          <t>雲端基建/IaaS/Neocloud</t>
        </is>
      </c>
      <c r="C56" s="9" t="inlineStr">
        <is>
          <t>Cloud Infrastructure &amp; Neoclouds</t>
        </is>
      </c>
      <c r="D56" s="9" t="inlineStr">
        <is>
          <t>資訊科技 Information Technology</t>
        </is>
      </c>
      <c r="E56" s="62" t="n">
        <v>57.27272727272727</v>
      </c>
      <c r="F56" s="62" t="n">
        <v>53.63636363636364</v>
      </c>
      <c r="G56" s="11" t="n">
        <v>0.001987267675361881</v>
      </c>
      <c r="H56" s="11" t="n">
        <v>-0.04937556954322053</v>
      </c>
      <c r="I56" s="63" t="n">
        <v>0.4</v>
      </c>
      <c r="J56" s="63" t="n">
        <v>0.4</v>
      </c>
      <c r="K56" s="64" t="n">
        <v>0.8754733643064041</v>
      </c>
      <c r="L56" s="65" t="n">
        <v>-0.2910383769200358</v>
      </c>
      <c r="M56" s="66" t="n">
        <v>-9988.383571057033</v>
      </c>
      <c r="N56" s="66" t="n">
        <v>-2908.265272067041</v>
      </c>
      <c r="O56" s="19" t="inlineStr">
        <is>
          <t>MSFT</t>
        </is>
      </c>
      <c r="P56" s="19" t="inlineStr">
        <is>
          <t>AMZN</t>
        </is>
      </c>
      <c r="Q56" s="19" t="inlineStr">
        <is>
          <t>GOOGL</t>
        </is>
      </c>
      <c r="R56" s="19" t="inlineStr">
        <is>
          <t>NBIS</t>
        </is>
      </c>
      <c r="S56" s="19" t="inlineStr">
        <is>
          <t>CRWV</t>
        </is>
      </c>
      <c r="W56" s="6" t="inlineStr"/>
    </row>
    <row r="57">
      <c r="A57" s="61">
        <f>ROW()-8</f>
        <v>49.0</v>
      </c>
      <c r="B57" s="6" t="inlineStr">
        <is>
          <t>航空公司</t>
        </is>
      </c>
      <c r="C57" s="9" t="inlineStr">
        <is>
          <t>Airlines</t>
        </is>
      </c>
      <c r="D57" s="9" t="inlineStr">
        <is>
          <t>工業 Industrials</t>
        </is>
      </c>
      <c r="E57" s="62" t="n">
        <v>56.36363636363636</v>
      </c>
      <c r="F57" s="62" t="n">
        <v>48.18181818181818</v>
      </c>
      <c r="G57" s="11" t="n">
        <v>-0.006879818297613194</v>
      </c>
      <c r="H57" s="11" t="n">
        <v>-0.006287710080204456</v>
      </c>
      <c r="I57" s="63" t="n">
        <v>0.25</v>
      </c>
      <c r="J57" s="63" t="n">
        <v>0.6</v>
      </c>
      <c r="K57" s="64" t="n">
        <v>1.913320636323157</v>
      </c>
      <c r="L57" s="65" t="n">
        <v>-0.327521743124931</v>
      </c>
      <c r="M57" s="66" t="n">
        <v>-1392.112805460418</v>
      </c>
      <c r="N57" s="66" t="n">
        <v>-815.6591651178969</v>
      </c>
      <c r="O57" s="19" t="inlineStr">
        <is>
          <t>DAL</t>
        </is>
      </c>
      <c r="P57" s="19" t="inlineStr">
        <is>
          <t>UAL</t>
        </is>
      </c>
      <c r="Q57" s="19" t="inlineStr">
        <is>
          <t>AAL</t>
        </is>
      </c>
      <c r="R57" s="19" t="inlineStr">
        <is>
          <t>LUV</t>
        </is>
      </c>
      <c r="W57" s="6" t="inlineStr"/>
    </row>
    <row r="58">
      <c r="A58" s="61">
        <f>ROW()-8</f>
        <v>50.0</v>
      </c>
      <c r="B58" s="6" t="inlineStr">
        <is>
          <t>腫瘤與細胞治療</t>
        </is>
      </c>
      <c r="C58" s="9" t="inlineStr">
        <is>
          <t>Oncology &amp; Cell Therapy</t>
        </is>
      </c>
      <c r="D58" s="9" t="inlineStr">
        <is>
          <t>醫療保健 Health Care</t>
        </is>
      </c>
      <c r="E58" s="62" t="n">
        <v>55.45454545454545</v>
      </c>
      <c r="F58" s="62" t="n">
        <v>54.54545454545454</v>
      </c>
      <c r="G58" s="11" t="n">
        <v>-0.009673869598981005</v>
      </c>
      <c r="H58" s="11" t="n">
        <v>-0.02946982572001189</v>
      </c>
      <c r="I58" s="63" t="n">
        <v>0.375</v>
      </c>
      <c r="J58" s="63" t="n">
        <v>0.4</v>
      </c>
      <c r="K58" s="64" t="n">
        <v>1.80556426328161</v>
      </c>
      <c r="L58" s="65" t="n">
        <v>0.2377223944540707</v>
      </c>
      <c r="M58" s="66" t="n">
        <v>-261.7085054432026</v>
      </c>
      <c r="N58" s="66" t="n">
        <v>48.01742685647518</v>
      </c>
      <c r="O58" s="19" t="inlineStr">
        <is>
          <t>LEGN</t>
        </is>
      </c>
      <c r="P58" s="19" t="inlineStr">
        <is>
          <t>IOVA</t>
        </is>
      </c>
      <c r="Q58" s="19" t="inlineStr">
        <is>
          <t>ALLO</t>
        </is>
      </c>
      <c r="R58" s="19" t="inlineStr">
        <is>
          <t>ARVN</t>
        </is>
      </c>
      <c r="S58" s="19" t="inlineStr">
        <is>
          <t>RVMD</t>
        </is>
      </c>
      <c r="T58" s="19" t="inlineStr">
        <is>
          <t>NKTX</t>
        </is>
      </c>
      <c r="U58" s="19" t="inlineStr">
        <is>
          <t>FATE</t>
        </is>
      </c>
      <c r="V58" s="19" t="inlineStr">
        <is>
          <t>CRVS</t>
        </is>
      </c>
      <c r="W58" s="6" t="inlineStr"/>
    </row>
    <row r="59">
      <c r="A59" s="61">
        <f>ROW()-8</f>
        <v>51.0</v>
      </c>
      <c r="B59" s="6" t="inlineStr">
        <is>
          <t>工程建設/EPC</t>
        </is>
      </c>
      <c r="C59" s="9" t="inlineStr">
        <is>
          <t>Engineering &amp; Construction</t>
        </is>
      </c>
      <c r="D59" s="9" t="inlineStr">
        <is>
          <t>工業 Industrials</t>
        </is>
      </c>
      <c r="E59" s="62" t="n">
        <v>54.54545454545454</v>
      </c>
      <c r="F59" s="62" t="n">
        <v>65.45454545454545</v>
      </c>
      <c r="G59" s="11" t="n">
        <v>-0.00482239608839552</v>
      </c>
      <c r="H59" s="11" t="n">
        <v>-0.01325002639796735</v>
      </c>
      <c r="I59" s="63" t="n">
        <v>0.5</v>
      </c>
      <c r="J59" s="63" t="n">
        <v>0.4666666666666667</v>
      </c>
      <c r="K59" s="64" t="n">
        <v>0.9237630476738531</v>
      </c>
      <c r="L59" s="65" t="n">
        <v>0.02696237846464918</v>
      </c>
      <c r="M59" s="66" t="n">
        <v>-449.9024494306719</v>
      </c>
      <c r="N59" s="66" t="n">
        <v>-464.8962178823077</v>
      </c>
      <c r="O59" s="19" t="inlineStr">
        <is>
          <t>J</t>
        </is>
      </c>
      <c r="P59" s="19" t="inlineStr">
        <is>
          <t>ACM</t>
        </is>
      </c>
      <c r="Q59" s="19" t="inlineStr">
        <is>
          <t>FLR</t>
        </is>
      </c>
      <c r="R59" s="19" t="inlineStr">
        <is>
          <t>MTZ</t>
        </is>
      </c>
      <c r="S59" s="19" t="inlineStr">
        <is>
          <t>PRIM</t>
        </is>
      </c>
      <c r="T59" s="19" t="inlineStr">
        <is>
          <t>EME</t>
        </is>
      </c>
      <c r="W59" s="6" t="inlineStr"/>
    </row>
    <row r="60">
      <c r="A60" s="61">
        <f>ROW()-8</f>
        <v>52.0</v>
      </c>
      <c r="B60" s="6" t="inlineStr">
        <is>
          <t>類比/功率半導體</t>
        </is>
      </c>
      <c r="C60" s="9" t="inlineStr">
        <is>
          <t>Analog &amp; Power Semiconductors</t>
        </is>
      </c>
      <c r="D60" s="9" t="inlineStr">
        <is>
          <t>資訊科技 Information Technology</t>
        </is>
      </c>
      <c r="E60" s="62" t="n">
        <v>53.63636363636364</v>
      </c>
      <c r="F60" s="62" t="n">
        <v>25.45454545454545</v>
      </c>
      <c r="G60" s="11" t="n">
        <v>-0.02535678323211459</v>
      </c>
      <c r="H60" s="11" t="n">
        <v>-0.02715486597482675</v>
      </c>
      <c r="I60" s="63" t="n">
        <v>0.4</v>
      </c>
      <c r="J60" s="63" t="n">
        <v>0.52</v>
      </c>
      <c r="K60" s="64" t="n">
        <v>1.443324219918481</v>
      </c>
      <c r="L60" s="65" t="n">
        <v>-0.3661702962206175</v>
      </c>
      <c r="M60" s="66" t="n">
        <v>-2417.850745006119</v>
      </c>
      <c r="N60" s="66" t="n">
        <v>-2547.114599642901</v>
      </c>
      <c r="O60" s="19" t="inlineStr">
        <is>
          <t>TXN</t>
        </is>
      </c>
      <c r="P60" s="19" t="inlineStr">
        <is>
          <t>ADI</t>
        </is>
      </c>
      <c r="Q60" s="19" t="inlineStr">
        <is>
          <t>ON</t>
        </is>
      </c>
      <c r="R60" s="19" t="inlineStr">
        <is>
          <t>MPWR</t>
        </is>
      </c>
      <c r="S60" s="19" t="inlineStr">
        <is>
          <t>NXPI</t>
        </is>
      </c>
      <c r="W60" s="6" t="inlineStr"/>
    </row>
    <row r="61">
      <c r="A61" s="67">
        <f>ROW()-8</f>
        <v>53.0</v>
      </c>
      <c r="B61" s="38" t="inlineStr">
        <is>
          <t>綜合油氣巨頭</t>
        </is>
      </c>
      <c r="C61" s="68" t="inlineStr">
        <is>
          <t>Integrated Oil &amp; Gas</t>
        </is>
      </c>
      <c r="D61" s="68" t="inlineStr">
        <is>
          <t>能源 Energy</t>
        </is>
      </c>
      <c r="E61" s="69" t="n">
        <v>52.72727272727272</v>
      </c>
      <c r="F61" s="69" t="n">
        <v>5.454545454545454</v>
      </c>
      <c r="G61" s="42" t="n">
        <v>-0.03202204322521696</v>
      </c>
      <c r="H61" s="42" t="n">
        <v>-0.008059281882165759</v>
      </c>
      <c r="I61" s="70" t="n">
        <v>0</v>
      </c>
      <c r="J61" s="70" t="n">
        <v>0.6</v>
      </c>
      <c r="K61" s="71" t="n">
        <v>1.014242161411618</v>
      </c>
      <c r="L61" s="72" t="n">
        <v>-0.2552681769184487</v>
      </c>
      <c r="M61" s="73" t="n">
        <v>-2405.012290421296</v>
      </c>
      <c r="N61" s="73" t="n">
        <v>-1805.513203267613</v>
      </c>
      <c r="O61" s="39" t="inlineStr">
        <is>
          <t>XOM</t>
        </is>
      </c>
      <c r="P61" s="39" t="inlineStr">
        <is>
          <t>CVX</t>
        </is>
      </c>
      <c r="Q61" s="74" t="n"/>
      <c r="R61" s="74" t="n"/>
      <c r="S61" s="74" t="n"/>
      <c r="T61" s="74" t="n"/>
      <c r="U61" s="74" t="n"/>
      <c r="V61" s="74" t="n"/>
      <c r="W61" s="40" t="inlineStr">
        <is>
          <t>✕ 迴避</t>
        </is>
      </c>
    </row>
    <row r="62">
      <c r="A62" s="61">
        <f>ROW()-8</f>
        <v>54.0</v>
      </c>
      <c r="B62" s="6" t="inlineStr">
        <is>
          <t>互動遊戲</t>
        </is>
      </c>
      <c r="C62" s="9" t="inlineStr">
        <is>
          <t>Interactive Gaming</t>
        </is>
      </c>
      <c r="D62" s="9" t="inlineStr">
        <is>
          <t>通訊服務 Communication Services</t>
        </is>
      </c>
      <c r="E62" s="62" t="n">
        <v>51.81818181818182</v>
      </c>
      <c r="F62" s="62" t="n">
        <v>26.36363636363636</v>
      </c>
      <c r="G62" s="11" t="n">
        <v>-0.02442702717131939</v>
      </c>
      <c r="H62" s="11" t="n">
        <v>0.03460520089168129</v>
      </c>
      <c r="I62" s="63" t="n">
        <v>0.3333333333333333</v>
      </c>
      <c r="J62" s="63" t="n">
        <v>0.6</v>
      </c>
      <c r="K62" s="64" t="n">
        <v>0.8563173280978302</v>
      </c>
      <c r="L62" s="65" t="n">
        <v>-0.4865911165572566</v>
      </c>
      <c r="M62" s="66" t="n">
        <v>-602.9156597656107</v>
      </c>
      <c r="N62" s="66" t="n">
        <v>-168.7435555450075</v>
      </c>
      <c r="O62" s="19" t="inlineStr">
        <is>
          <t>TTWO</t>
        </is>
      </c>
      <c r="P62" s="19" t="inlineStr">
        <is>
          <t>RBLX</t>
        </is>
      </c>
      <c r="Q62" s="19" t="inlineStr">
        <is>
          <t>PLTK</t>
        </is>
      </c>
      <c r="W62" s="6" t="inlineStr"/>
    </row>
    <row r="63">
      <c r="A63" s="61">
        <f>ROW()-8</f>
        <v>55.0</v>
      </c>
      <c r="B63" s="6" t="inlineStr">
        <is>
          <t>特殊型REIT（自存倉/賭場/廣告牌）</t>
        </is>
      </c>
      <c r="C63" s="9" t="inlineStr">
        <is>
          <t>Specialty REITs</t>
        </is>
      </c>
      <c r="D63" s="9" t="inlineStr">
        <is>
          <t>房地產 Real Estate</t>
        </is>
      </c>
      <c r="E63" s="62" t="n">
        <v>50.90909090909091</v>
      </c>
      <c r="F63" s="62" t="n">
        <v>43.63636363636363</v>
      </c>
      <c r="G63" s="11" t="n">
        <v>-0.006195162323371584</v>
      </c>
      <c r="H63" s="11" t="n">
        <v>-0.01139693959867838</v>
      </c>
      <c r="I63" s="63" t="n">
        <v>0.2</v>
      </c>
      <c r="J63" s="63" t="n">
        <v>0.44</v>
      </c>
      <c r="K63" s="64" t="n">
        <v>1.172873173856071</v>
      </c>
      <c r="L63" s="65" t="n">
        <v>-0.1431046510196771</v>
      </c>
      <c r="M63" s="66" t="n">
        <v>-537.4082555820131</v>
      </c>
      <c r="N63" s="66" t="n">
        <v>-916.0736594099276</v>
      </c>
      <c r="O63" s="19" t="inlineStr">
        <is>
          <t>PSA</t>
        </is>
      </c>
      <c r="P63" s="19" t="inlineStr">
        <is>
          <t>EXR</t>
        </is>
      </c>
      <c r="Q63" s="19" t="inlineStr">
        <is>
          <t>VICI</t>
        </is>
      </c>
      <c r="R63" s="19" t="inlineStr">
        <is>
          <t>GLPI</t>
        </is>
      </c>
      <c r="S63" s="19" t="inlineStr">
        <is>
          <t>LAMR</t>
        </is>
      </c>
      <c r="W63" s="6" t="inlineStr"/>
    </row>
    <row r="64">
      <c r="A64" s="61">
        <f>ROW()-8</f>
        <v>56.0</v>
      </c>
      <c r="B64" s="6" t="inlineStr">
        <is>
          <t>大型生物科技</t>
        </is>
      </c>
      <c r="C64" s="9" t="inlineStr">
        <is>
          <t>Large-cap Biotech</t>
        </is>
      </c>
      <c r="D64" s="9" t="inlineStr">
        <is>
          <t>醫療保健 Health Care</t>
        </is>
      </c>
      <c r="E64" s="62" t="n">
        <v>50</v>
      </c>
      <c r="F64" s="62" t="n">
        <v>82.72727272727273</v>
      </c>
      <c r="G64" s="11" t="n">
        <v>0.001707956317383963</v>
      </c>
      <c r="H64" s="11" t="n">
        <v>-0.01116162897236239</v>
      </c>
      <c r="I64" s="63" t="n">
        <v>1</v>
      </c>
      <c r="J64" s="63" t="n">
        <v>0.6</v>
      </c>
      <c r="K64" s="64" t="n">
        <v>0.9044532847183198</v>
      </c>
      <c r="L64" s="65" t="n">
        <v>0.3756959428804322</v>
      </c>
      <c r="M64" s="66" t="n">
        <v>-454.2319827666647</v>
      </c>
      <c r="N64" s="66" t="n">
        <v>-3366.258139822828</v>
      </c>
      <c r="O64" s="19" t="inlineStr">
        <is>
          <t>AMGN</t>
        </is>
      </c>
      <c r="P64" s="19" t="inlineStr">
        <is>
          <t>GILD</t>
        </is>
      </c>
      <c r="Q64" s="19" t="inlineStr">
        <is>
          <t>REGN</t>
        </is>
      </c>
      <c r="R64" s="19" t="inlineStr">
        <is>
          <t>VRTX</t>
        </is>
      </c>
      <c r="S64" s="19" t="inlineStr">
        <is>
          <t>BIIB</t>
        </is>
      </c>
      <c r="W64" s="6" t="inlineStr"/>
    </row>
    <row r="65">
      <c r="A65" s="61">
        <f>ROW()-8</f>
        <v>57.0</v>
      </c>
      <c r="B65" s="6" t="inlineStr">
        <is>
          <t>AI加速晶片/GPU</t>
        </is>
      </c>
      <c r="C65" s="9" t="inlineStr">
        <is>
          <t>AI Accelerators &amp; GPU</t>
        </is>
      </c>
      <c r="D65" s="9" t="inlineStr">
        <is>
          <t>資訊科技 Information Technology</t>
        </is>
      </c>
      <c r="E65" s="62" t="n">
        <v>49.09090909090909</v>
      </c>
      <c r="F65" s="62" t="n">
        <v>88.18181818181819</v>
      </c>
      <c r="G65" s="11" t="n">
        <v>0.01536322441578886</v>
      </c>
      <c r="H65" s="11" t="n">
        <v>-0.03722874961917666</v>
      </c>
      <c r="I65" s="63" t="n">
        <v>1</v>
      </c>
      <c r="J65" s="63" t="n">
        <v>0.45</v>
      </c>
      <c r="K65" s="64" t="n">
        <v>1.023088573577205</v>
      </c>
      <c r="L65" s="65" t="n">
        <v>0.4625633114793725</v>
      </c>
      <c r="M65" s="66" t="n">
        <v>-11915.53608404539</v>
      </c>
      <c r="N65" s="66" t="n">
        <v>-67291.65027296728</v>
      </c>
      <c r="O65" s="19" t="inlineStr">
        <is>
          <t>NVDA</t>
        </is>
      </c>
      <c r="P65" s="19" t="inlineStr">
        <is>
          <t>AMD</t>
        </is>
      </c>
      <c r="Q65" s="19" t="inlineStr">
        <is>
          <t>AVGO</t>
        </is>
      </c>
      <c r="R65" s="19" t="inlineStr">
        <is>
          <t>MRVL</t>
        </is>
      </c>
      <c r="W65" s="6" t="inlineStr"/>
    </row>
    <row r="66">
      <c r="A66" s="61">
        <f>ROW()-8</f>
        <v>58.0</v>
      </c>
      <c r="B66" s="6" t="inlineStr">
        <is>
          <t>通訊塔REIT</t>
        </is>
      </c>
      <c r="C66" s="9" t="inlineStr">
        <is>
          <t>Tower REITs</t>
        </is>
      </c>
      <c r="D66" s="9" t="inlineStr">
        <is>
          <t>房地產 Real Estate</t>
        </is>
      </c>
      <c r="E66" s="62" t="n">
        <v>48.18181818181818</v>
      </c>
      <c r="F66" s="62" t="n">
        <v>38.18181818181819</v>
      </c>
      <c r="G66" s="11" t="n">
        <v>-0.008291189869343</v>
      </c>
      <c r="H66" s="11" t="n">
        <v>-0.01893205107418383</v>
      </c>
      <c r="I66" s="63" t="n">
        <v>0.3333333333333333</v>
      </c>
      <c r="J66" s="63" t="n">
        <v>0.4</v>
      </c>
      <c r="K66" s="64" t="n">
        <v>1.453713038789735</v>
      </c>
      <c r="L66" s="65" t="n">
        <v>0.02065476372708327</v>
      </c>
      <c r="M66" s="66" t="n">
        <v>-752.2638070222997</v>
      </c>
      <c r="N66" s="66" t="n">
        <v>-360.8399592520014</v>
      </c>
      <c r="O66" s="19" t="inlineStr">
        <is>
          <t>AMT</t>
        </is>
      </c>
      <c r="P66" s="19" t="inlineStr">
        <is>
          <t>CCI</t>
        </is>
      </c>
      <c r="Q66" s="19" t="inlineStr">
        <is>
          <t>SBAC</t>
        </is>
      </c>
      <c r="W66" s="6" t="inlineStr"/>
    </row>
    <row r="67">
      <c r="A67" s="61">
        <f>ROW()-8</f>
        <v>59.0</v>
      </c>
      <c r="B67" s="6" t="inlineStr">
        <is>
          <t>包裝與建材</t>
        </is>
      </c>
      <c r="C67" s="9" t="inlineStr">
        <is>
          <t>Packaging &amp; Construction Materials</t>
        </is>
      </c>
      <c r="D67" s="9" t="inlineStr">
        <is>
          <t>原材料 Materials</t>
        </is>
      </c>
      <c r="E67" s="62" t="n">
        <v>47.27272727272727</v>
      </c>
      <c r="F67" s="62" t="n">
        <v>28.18181818181818</v>
      </c>
      <c r="G67" s="11" t="n">
        <v>-0.009537044464126976</v>
      </c>
      <c r="H67" s="11" t="n">
        <v>-0.01248212350355882</v>
      </c>
      <c r="I67" s="63" t="n">
        <v>0.4</v>
      </c>
      <c r="J67" s="63" t="n">
        <v>0.48</v>
      </c>
      <c r="K67" s="64" t="n">
        <v>1.274649110856187</v>
      </c>
      <c r="L67" s="65" t="n">
        <v>-0.3195429984979706</v>
      </c>
      <c r="M67" s="66" t="n">
        <v>-676.1276398067545</v>
      </c>
      <c r="N67" s="66" t="n">
        <v>-188.9749265739486</v>
      </c>
      <c r="O67" s="19" t="inlineStr">
        <is>
          <t>VMC</t>
        </is>
      </c>
      <c r="P67" s="19" t="inlineStr">
        <is>
          <t>MLM</t>
        </is>
      </c>
      <c r="Q67" s="19" t="inlineStr">
        <is>
          <t>CRH</t>
        </is>
      </c>
      <c r="R67" s="19" t="inlineStr">
        <is>
          <t>IP</t>
        </is>
      </c>
      <c r="S67" s="19" t="inlineStr">
        <is>
          <t>PKG</t>
        </is>
      </c>
      <c r="W67" s="6" t="inlineStr"/>
    </row>
    <row r="68">
      <c r="A68" s="61">
        <f>ROW()-8</f>
        <v>60.0</v>
      </c>
      <c r="B68" s="6" t="inlineStr">
        <is>
          <t>水務公用</t>
        </is>
      </c>
      <c r="C68" s="9" t="inlineStr">
        <is>
          <t>Water Utilities</t>
        </is>
      </c>
      <c r="D68" s="9" t="inlineStr">
        <is>
          <t>公用事業 Utilities</t>
        </is>
      </c>
      <c r="E68" s="62" t="n">
        <v>46.36363636363636</v>
      </c>
      <c r="F68" s="62" t="n">
        <v>75.45454545454545</v>
      </c>
      <c r="G68" s="11" t="n">
        <v>0.003865540339879425</v>
      </c>
      <c r="H68" s="11" t="n">
        <v>-0.01828819422707373</v>
      </c>
      <c r="I68" s="63" t="n">
        <v>1</v>
      </c>
      <c r="J68" s="63" t="n">
        <v>0.52</v>
      </c>
      <c r="K68" s="64" t="n">
        <v>0.8389124043897062</v>
      </c>
      <c r="L68" s="65" t="n">
        <v>0.3616819208846861</v>
      </c>
      <c r="M68" s="66" t="n">
        <v>-91.1761559153791</v>
      </c>
      <c r="N68" s="66" t="n">
        <v>-741.6164826246928</v>
      </c>
      <c r="O68" s="19" t="inlineStr">
        <is>
          <t>AWK</t>
        </is>
      </c>
      <c r="P68" s="19" t="inlineStr">
        <is>
          <t>WTRG</t>
        </is>
      </c>
      <c r="Q68" s="19" t="inlineStr">
        <is>
          <t>CWT</t>
        </is>
      </c>
      <c r="R68" s="19" t="inlineStr">
        <is>
          <t>AWR</t>
        </is>
      </c>
      <c r="S68" s="19" t="inlineStr">
        <is>
          <t>HTO</t>
        </is>
      </c>
      <c r="W68" s="6" t="inlineStr"/>
    </row>
    <row r="69">
      <c r="A69" s="61">
        <f>ROW()-8</f>
        <v>61.0</v>
      </c>
      <c r="B69" s="6" t="inlineStr">
        <is>
          <t>基礎化工與化肥</t>
        </is>
      </c>
      <c r="C69" s="9" t="inlineStr">
        <is>
          <t>Commodity Chemicals &amp; Fertilizers</t>
        </is>
      </c>
      <c r="D69" s="9" t="inlineStr">
        <is>
          <t>原材料 Materials</t>
        </is>
      </c>
      <c r="E69" s="62" t="n">
        <v>45.45454545454545</v>
      </c>
      <c r="F69" s="62" t="n">
        <v>60</v>
      </c>
      <c r="G69" s="11" t="n">
        <v>-0.01322274764409996</v>
      </c>
      <c r="H69" s="11" t="n">
        <v>-0.02160378980626743</v>
      </c>
      <c r="I69" s="63" t="n">
        <v>0.2</v>
      </c>
      <c r="J69" s="63" t="n">
        <v>0.32</v>
      </c>
      <c r="K69" s="64" t="n">
        <v>1.163124917493853</v>
      </c>
      <c r="L69" s="65" t="n">
        <v>0.5691549651002136</v>
      </c>
      <c r="M69" s="66" t="n">
        <v>47.89402951932052</v>
      </c>
      <c r="N69" s="66" t="n">
        <v>-1415.072807303173</v>
      </c>
      <c r="O69" s="19" t="inlineStr">
        <is>
          <t>DOW</t>
        </is>
      </c>
      <c r="P69" s="19" t="inlineStr">
        <is>
          <t>LYB</t>
        </is>
      </c>
      <c r="Q69" s="19" t="inlineStr">
        <is>
          <t>CF</t>
        </is>
      </c>
      <c r="R69" s="19" t="inlineStr">
        <is>
          <t>MOS</t>
        </is>
      </c>
      <c r="S69" s="19" t="inlineStr">
        <is>
          <t>NTR</t>
        </is>
      </c>
      <c r="W69" s="6" t="inlineStr"/>
    </row>
    <row r="70">
      <c r="A70" s="61">
        <f>ROW()-8</f>
        <v>62.0</v>
      </c>
      <c r="B70" s="6" t="inlineStr">
        <is>
          <t>鐵路運輸</t>
        </is>
      </c>
      <c r="C70" s="9" t="inlineStr">
        <is>
          <t>Railroads</t>
        </is>
      </c>
      <c r="D70" s="9" t="inlineStr">
        <is>
          <t>工業 Industrials</t>
        </is>
      </c>
      <c r="E70" s="62" t="n">
        <v>44.54545454545455</v>
      </c>
      <c r="F70" s="62" t="n">
        <v>21.81818181818182</v>
      </c>
      <c r="G70" s="11" t="n">
        <v>-0.01216145704669517</v>
      </c>
      <c r="H70" s="11" t="n">
        <v>-0.01418602463821106</v>
      </c>
      <c r="I70" s="63" t="n">
        <v>0</v>
      </c>
      <c r="J70" s="63" t="n">
        <v>0.4666666666666667</v>
      </c>
      <c r="K70" s="64" t="n">
        <v>1.122207555629804</v>
      </c>
      <c r="L70" s="65" t="n">
        <v>-0.2758029586191281</v>
      </c>
      <c r="M70" s="66" t="n">
        <v>-1079.833148684536</v>
      </c>
      <c r="N70" s="66" t="n">
        <v>-1628.172417027371</v>
      </c>
      <c r="O70" s="19" t="inlineStr">
        <is>
          <t>UNP</t>
        </is>
      </c>
      <c r="P70" s="19" t="inlineStr">
        <is>
          <t>CSX</t>
        </is>
      </c>
      <c r="Q70" s="19" t="inlineStr">
        <is>
          <t>NSC</t>
        </is>
      </c>
      <c r="W70" s="6" t="inlineStr"/>
    </row>
    <row r="71">
      <c r="A71" s="61">
        <f>ROW()-8</f>
        <v>63.0</v>
      </c>
      <c r="B71" s="6" t="inlineStr">
        <is>
          <t>消費金融與BNPL</t>
        </is>
      </c>
      <c r="C71" s="9" t="inlineStr">
        <is>
          <t>Consumer Finance &amp; BNPL</t>
        </is>
      </c>
      <c r="D71" s="9" t="inlineStr">
        <is>
          <t>金融 Financials</t>
        </is>
      </c>
      <c r="E71" s="62" t="n">
        <v>43.63636363636363</v>
      </c>
      <c r="F71" s="62" t="n">
        <v>12.72727272727273</v>
      </c>
      <c r="G71" s="11" t="n">
        <v>-0.01814887876354856</v>
      </c>
      <c r="H71" s="11" t="n">
        <v>-0.01520878716252394</v>
      </c>
      <c r="I71" s="63" t="n">
        <v>0</v>
      </c>
      <c r="J71" s="63" t="n">
        <v>0.52</v>
      </c>
      <c r="K71" s="64" t="n">
        <v>1.571259863658363</v>
      </c>
      <c r="L71" s="65" t="n">
        <v>-0.344676401592467</v>
      </c>
      <c r="M71" s="66" t="n">
        <v>-1142.55784453665</v>
      </c>
      <c r="N71" s="66" t="n">
        <v>120.6107599831176</v>
      </c>
      <c r="O71" s="19" t="inlineStr">
        <is>
          <t>AXP</t>
        </is>
      </c>
      <c r="P71" s="19" t="inlineStr">
        <is>
          <t>COF</t>
        </is>
      </c>
      <c r="Q71" s="19" t="inlineStr">
        <is>
          <t>SYF</t>
        </is>
      </c>
      <c r="R71" s="19" t="inlineStr">
        <is>
          <t>SOFI</t>
        </is>
      </c>
      <c r="S71" s="19" t="inlineStr">
        <is>
          <t>AFRM</t>
        </is>
      </c>
      <c r="W71" s="6" t="inlineStr"/>
    </row>
    <row r="72">
      <c r="A72" s="61">
        <f>ROW()-8</f>
        <v>64.0</v>
      </c>
      <c r="B72" s="6" t="inlineStr">
        <is>
          <t>樓宇產品與HVAC</t>
        </is>
      </c>
      <c r="C72" s="9" t="inlineStr">
        <is>
          <t>Building Products &amp; HVAC</t>
        </is>
      </c>
      <c r="D72" s="9" t="inlineStr">
        <is>
          <t>工業 Industrials</t>
        </is>
      </c>
      <c r="E72" s="62" t="n">
        <v>42.72727272727273</v>
      </c>
      <c r="F72" s="62" t="n">
        <v>62.72727272727273</v>
      </c>
      <c r="G72" s="11" t="n">
        <v>0.0007486298154283366</v>
      </c>
      <c r="H72" s="11" t="n">
        <v>-0.04011296934051212</v>
      </c>
      <c r="I72" s="63" t="n">
        <v>0.8</v>
      </c>
      <c r="J72" s="63" t="n">
        <v>0.4</v>
      </c>
      <c r="K72" s="64" t="n">
        <v>1.279824811560725</v>
      </c>
      <c r="L72" s="65" t="n">
        <v>0.03755054691468844</v>
      </c>
      <c r="M72" s="66" t="n">
        <v>-353.1169310366544</v>
      </c>
      <c r="N72" s="66" t="n">
        <v>-1012.94468033792</v>
      </c>
      <c r="O72" s="19" t="inlineStr">
        <is>
          <t>CARR</t>
        </is>
      </c>
      <c r="P72" s="19" t="inlineStr">
        <is>
          <t>TT</t>
        </is>
      </c>
      <c r="Q72" s="19" t="inlineStr">
        <is>
          <t>JCI</t>
        </is>
      </c>
      <c r="R72" s="19" t="inlineStr">
        <is>
          <t>LII</t>
        </is>
      </c>
      <c r="S72" s="19" t="inlineStr">
        <is>
          <t>AAON</t>
        </is>
      </c>
      <c r="W72" s="6" t="inlineStr"/>
    </row>
    <row r="73">
      <c r="A73" s="61">
        <f>ROW()-8</f>
        <v>65.0</v>
      </c>
      <c r="B73" s="6" t="inlineStr">
        <is>
          <t>傳統汽車與零部件</t>
        </is>
      </c>
      <c r="C73" s="9" t="inlineStr">
        <is>
          <t>Autos &amp; Auto Parts</t>
        </is>
      </c>
      <c r="D73" s="9" t="inlineStr">
        <is>
          <t>非必需消費 Consumer Discretionary</t>
        </is>
      </c>
      <c r="E73" s="62" t="n">
        <v>41.81818181818181</v>
      </c>
      <c r="F73" s="62" t="n">
        <v>37.27272727272727</v>
      </c>
      <c r="G73" s="11" t="n">
        <v>-0.01035679357519406</v>
      </c>
      <c r="H73" s="11" t="n">
        <v>-0.01646429629983137</v>
      </c>
      <c r="I73" s="63" t="n">
        <v>0.2</v>
      </c>
      <c r="J73" s="63" t="n">
        <v>0.4</v>
      </c>
      <c r="K73" s="64" t="n">
        <v>1.340150720659382</v>
      </c>
      <c r="L73" s="65" t="n">
        <v>-0.6650689822963699</v>
      </c>
      <c r="M73" s="66" t="n">
        <v>-471.6689800211248</v>
      </c>
      <c r="N73" s="66" t="n">
        <v>-552.7549353547793</v>
      </c>
      <c r="O73" s="19" t="inlineStr">
        <is>
          <t>GM</t>
        </is>
      </c>
      <c r="P73" s="19" t="inlineStr">
        <is>
          <t>F</t>
        </is>
      </c>
      <c r="Q73" s="19" t="inlineStr">
        <is>
          <t>APTV</t>
        </is>
      </c>
      <c r="R73" s="19" t="inlineStr">
        <is>
          <t>LEA</t>
        </is>
      </c>
      <c r="S73" s="19" t="inlineStr">
        <is>
          <t>MGA</t>
        </is>
      </c>
      <c r="W73" s="6" t="inlineStr"/>
    </row>
    <row r="74">
      <c r="A74" s="61">
        <f>ROW()-8</f>
        <v>66.0</v>
      </c>
      <c r="B74" s="6" t="inlineStr">
        <is>
          <t>黃金與貴金屬礦</t>
        </is>
      </c>
      <c r="C74" s="9" t="inlineStr">
        <is>
          <t>Gold &amp; Precious Metals Miners</t>
        </is>
      </c>
      <c r="D74" s="9" t="inlineStr">
        <is>
          <t>原材料 Materials</t>
        </is>
      </c>
      <c r="E74" s="62" t="n">
        <v>40.90909090909091</v>
      </c>
      <c r="F74" s="62" t="n">
        <v>34.54545454545455</v>
      </c>
      <c r="G74" s="11" t="n">
        <v>-0.01446613107358006</v>
      </c>
      <c r="H74" s="11" t="n">
        <v>-0.06061927310267412</v>
      </c>
      <c r="I74" s="63" t="n">
        <v>0</v>
      </c>
      <c r="J74" s="63" t="n">
        <v>0.3666666666666667</v>
      </c>
      <c r="K74" s="64" t="n">
        <v>0.8377548488914444</v>
      </c>
      <c r="L74" s="65" t="n">
        <v>0.1829668502436109</v>
      </c>
      <c r="M74" s="66" t="n">
        <v>-654.5074480145468</v>
      </c>
      <c r="N74" s="66" t="n">
        <v>550.1758432494622</v>
      </c>
      <c r="O74" s="19" t="inlineStr">
        <is>
          <t>NEM</t>
        </is>
      </c>
      <c r="P74" s="19" t="inlineStr">
        <is>
          <t>GOLD</t>
        </is>
      </c>
      <c r="Q74" s="19" t="inlineStr">
        <is>
          <t>AEM</t>
        </is>
      </c>
      <c r="R74" s="19" t="inlineStr">
        <is>
          <t>AU</t>
        </is>
      </c>
      <c r="S74" s="19" t="inlineStr">
        <is>
          <t>KGC</t>
        </is>
      </c>
      <c r="T74" s="19" t="inlineStr">
        <is>
          <t>RGLD</t>
        </is>
      </c>
      <c r="W74" s="6" t="inlineStr"/>
    </row>
    <row r="75">
      <c r="A75" s="61">
        <f>ROW()-8</f>
        <v>67.0</v>
      </c>
      <c r="B75" s="6" t="inlineStr">
        <is>
          <t>銅與基本金屬</t>
        </is>
      </c>
      <c r="C75" s="9" t="inlineStr">
        <is>
          <t>Copper &amp; Base Metals</t>
        </is>
      </c>
      <c r="D75" s="9" t="inlineStr">
        <is>
          <t>原材料 Materials</t>
        </is>
      </c>
      <c r="E75" s="62" t="n">
        <v>40</v>
      </c>
      <c r="F75" s="62" t="n">
        <v>76.36363636363637</v>
      </c>
      <c r="G75" s="11" t="n">
        <v>-0.001206336968974764</v>
      </c>
      <c r="H75" s="11" t="n">
        <v>-0.09856654245483709</v>
      </c>
      <c r="I75" s="63" t="n">
        <v>0.75</v>
      </c>
      <c r="J75" s="63" t="n">
        <v>0.3</v>
      </c>
      <c r="K75" s="64" t="n">
        <v>0.8450249163482678</v>
      </c>
      <c r="L75" s="65" t="n">
        <v>0.472942979811051</v>
      </c>
      <c r="M75" s="66" t="n">
        <v>81.46150187575432</v>
      </c>
      <c r="N75" s="66" t="n">
        <v>1506.538622155951</v>
      </c>
      <c r="O75" s="19" t="inlineStr">
        <is>
          <t>FCX</t>
        </is>
      </c>
      <c r="P75" s="19" t="inlineStr">
        <is>
          <t>SCCO</t>
        </is>
      </c>
      <c r="Q75" s="19" t="inlineStr">
        <is>
          <t>TECK</t>
        </is>
      </c>
      <c r="R75" s="19" t="inlineStr">
        <is>
          <t>HBM</t>
        </is>
      </c>
      <c r="W75" s="6" t="inlineStr"/>
    </row>
    <row r="76">
      <c r="A76" s="61">
        <f>ROW()-8</f>
        <v>68.0</v>
      </c>
      <c r="B76" s="6" t="inlineStr">
        <is>
          <t>大型全能銀行</t>
        </is>
      </c>
      <c r="C76" s="9" t="inlineStr">
        <is>
          <t>Money-Center Banks</t>
        </is>
      </c>
      <c r="D76" s="9" t="inlineStr">
        <is>
          <t>金融 Financials</t>
        </is>
      </c>
      <c r="E76" s="62" t="n">
        <v>39.09090909090909</v>
      </c>
      <c r="F76" s="62" t="n">
        <v>15.45454545454545</v>
      </c>
      <c r="G76" s="11" t="n">
        <v>-0.02268795610671689</v>
      </c>
      <c r="H76" s="11" t="n">
        <v>-0.03931935365661965</v>
      </c>
      <c r="I76" s="63" t="n">
        <v>0</v>
      </c>
      <c r="J76" s="63" t="n">
        <v>0.5</v>
      </c>
      <c r="K76" s="64" t="n">
        <v>1.559896112200128</v>
      </c>
      <c r="L76" s="65" t="n">
        <v>-0.2547798899154334</v>
      </c>
      <c r="M76" s="66" t="n">
        <v>-2638.604233008671</v>
      </c>
      <c r="N76" s="66" t="n">
        <v>-3323.331566122619</v>
      </c>
      <c r="O76" s="19" t="inlineStr">
        <is>
          <t>JPM</t>
        </is>
      </c>
      <c r="P76" s="19" t="inlineStr">
        <is>
          <t>BAC</t>
        </is>
      </c>
      <c r="Q76" s="19" t="inlineStr">
        <is>
          <t>C</t>
        </is>
      </c>
      <c r="R76" s="19" t="inlineStr">
        <is>
          <t>WFC</t>
        </is>
      </c>
      <c r="W76" s="6" t="inlineStr"/>
    </row>
    <row r="77">
      <c r="A77" s="61">
        <f>ROW()-8</f>
        <v>69.0</v>
      </c>
      <c r="B77" s="6" t="inlineStr">
        <is>
          <t>量子運算</t>
        </is>
      </c>
      <c r="C77" s="9" t="inlineStr">
        <is>
          <t>Quantum Computing</t>
        </is>
      </c>
      <c r="D77" s="9" t="inlineStr">
        <is>
          <t>資訊科技 Information Technology</t>
        </is>
      </c>
      <c r="E77" s="62" t="n">
        <v>38.18181818181819</v>
      </c>
      <c r="F77" s="62" t="n">
        <v>58.18181818181818</v>
      </c>
      <c r="G77" s="11" t="n">
        <v>-0.003417987984413812</v>
      </c>
      <c r="H77" s="11" t="n">
        <v>-0.02943726232427513</v>
      </c>
      <c r="I77" s="63" t="n">
        <v>0.25</v>
      </c>
      <c r="J77" s="63" t="n">
        <v>0.35</v>
      </c>
      <c r="K77" s="64" t="n">
        <v>0.9369052444846904</v>
      </c>
      <c r="L77" s="65" t="n">
        <v>0.1851195281699884</v>
      </c>
      <c r="M77" s="66" t="n">
        <v>30.95287536065389</v>
      </c>
      <c r="N77" s="66" t="n">
        <v>-1064.139908884408</v>
      </c>
      <c r="O77" s="19" t="inlineStr">
        <is>
          <t>IONQ</t>
        </is>
      </c>
      <c r="P77" s="19" t="inlineStr">
        <is>
          <t>RGTI</t>
        </is>
      </c>
      <c r="Q77" s="19" t="inlineStr">
        <is>
          <t>QBTS</t>
        </is>
      </c>
      <c r="R77" s="19" t="inlineStr">
        <is>
          <t>QUBT</t>
        </is>
      </c>
      <c r="W77" s="6" t="inlineStr"/>
    </row>
    <row r="78">
      <c r="A78" s="61">
        <f>ROW()-8</f>
        <v>70.0</v>
      </c>
      <c r="B78" s="6" t="inlineStr">
        <is>
          <t>廢物管理與環境服務</t>
        </is>
      </c>
      <c r="C78" s="9" t="inlineStr">
        <is>
          <t>Waste &amp; Environmental Services</t>
        </is>
      </c>
      <c r="D78" s="9" t="inlineStr">
        <is>
          <t>工業 Industrials</t>
        </is>
      </c>
      <c r="E78" s="62" t="n">
        <v>37.27272727272727</v>
      </c>
      <c r="F78" s="62" t="n">
        <v>20.90909090909091</v>
      </c>
      <c r="G78" s="11" t="n">
        <v>-0.00976427889462228</v>
      </c>
      <c r="H78" s="11" t="n">
        <v>-0.009975172143173561</v>
      </c>
      <c r="I78" s="63" t="n">
        <v>0.4</v>
      </c>
      <c r="J78" s="63" t="n">
        <v>0.48</v>
      </c>
      <c r="K78" s="64" t="n">
        <v>1.091668970045509</v>
      </c>
      <c r="L78" s="65" t="n">
        <v>-0.1642615940679916</v>
      </c>
      <c r="M78" s="66" t="n">
        <v>-940.413030647121</v>
      </c>
      <c r="N78" s="66" t="n">
        <v>-2388.963126046692</v>
      </c>
      <c r="O78" s="19" t="inlineStr">
        <is>
          <t>WM</t>
        </is>
      </c>
      <c r="P78" s="19" t="inlineStr">
        <is>
          <t>RSG</t>
        </is>
      </c>
      <c r="Q78" s="19" t="inlineStr">
        <is>
          <t>WCN</t>
        </is>
      </c>
      <c r="R78" s="19" t="inlineStr">
        <is>
          <t>CLH</t>
        </is>
      </c>
      <c r="S78" s="19" t="inlineStr">
        <is>
          <t>CWST</t>
        </is>
      </c>
      <c r="W78" s="6" t="inlineStr"/>
    </row>
    <row r="79">
      <c r="A79" s="61">
        <f>ROW()-8</f>
        <v>71.0</v>
      </c>
      <c r="B79" s="6" t="inlineStr">
        <is>
          <t>博彩與線上博彩</t>
        </is>
      </c>
      <c r="C79" s="9" t="inlineStr">
        <is>
          <t>Gaming &amp; Online Betting</t>
        </is>
      </c>
      <c r="D79" s="9" t="inlineStr">
        <is>
          <t>非必需消費 Consumer Discretionary</t>
        </is>
      </c>
      <c r="E79" s="62" t="n">
        <v>36.36363636363637</v>
      </c>
      <c r="F79" s="62" t="n">
        <v>22.72727272727273</v>
      </c>
      <c r="G79" s="11" t="n">
        <v>-0.01558837336455618</v>
      </c>
      <c r="H79" s="11" t="n">
        <v>-0.02465477225942614</v>
      </c>
      <c r="I79" s="63" t="n">
        <v>0</v>
      </c>
      <c r="J79" s="63" t="n">
        <v>0.4</v>
      </c>
      <c r="K79" s="64" t="n">
        <v>1.309084694002597</v>
      </c>
      <c r="L79" s="65" t="n">
        <v>-0.391594555998843</v>
      </c>
      <c r="M79" s="66" t="n">
        <v>-371.3669731651311</v>
      </c>
      <c r="N79" s="66" t="n">
        <v>-590.2080476401251</v>
      </c>
      <c r="O79" s="19" t="inlineStr">
        <is>
          <t>LVS</t>
        </is>
      </c>
      <c r="P79" s="19" t="inlineStr">
        <is>
          <t>MGM</t>
        </is>
      </c>
      <c r="Q79" s="19" t="inlineStr">
        <is>
          <t>DKNG</t>
        </is>
      </c>
      <c r="R79" s="19" t="inlineStr">
        <is>
          <t>FLUT</t>
        </is>
      </c>
      <c r="W79" s="6" t="inlineStr"/>
    </row>
    <row r="80">
      <c r="A80" s="75">
        <f>ROW()-8</f>
        <v>72.0</v>
      </c>
      <c r="B80" s="76" t="inlineStr">
        <is>
          <t>LNG液化天然氣</t>
        </is>
      </c>
      <c r="C80" s="77" t="inlineStr">
        <is>
          <t>LNG &amp; Gas Export</t>
        </is>
      </c>
      <c r="D80" s="77" t="inlineStr">
        <is>
          <t>能源 Energy</t>
        </is>
      </c>
      <c r="E80" s="78" t="n">
        <v>35.45454545454545</v>
      </c>
      <c r="F80" s="78" t="n">
        <v>35.45454545454545</v>
      </c>
      <c r="G80" s="79" t="n">
        <v>-0.005155162589326645</v>
      </c>
      <c r="H80" s="80" t="inlineStr">
        <is>
          <t>n/a（數據缺陷）</t>
        </is>
      </c>
      <c r="I80" s="81" t="n">
        <v>0.4</v>
      </c>
      <c r="J80" s="81" t="n">
        <v>0.36</v>
      </c>
      <c r="K80" s="82" t="n">
        <v>1.128918162575949</v>
      </c>
      <c r="L80" s="83" t="n">
        <v>-0.4700997863925108</v>
      </c>
      <c r="M80" s="84" t="n">
        <v>-241.961316090427</v>
      </c>
      <c r="N80" s="84" t="n">
        <v>-1293.057963500137</v>
      </c>
      <c r="O80" s="85" t="inlineStr">
        <is>
          <t>LNG</t>
        </is>
      </c>
      <c r="P80" s="85" t="inlineStr">
        <is>
          <t>NFE</t>
        </is>
      </c>
      <c r="Q80" s="85" t="inlineStr">
        <is>
          <t>GLNG</t>
        </is>
      </c>
      <c r="R80" s="85" t="inlineStr">
        <is>
          <t>VG</t>
        </is>
      </c>
      <c r="S80" s="85" t="inlineStr">
        <is>
          <t>EE</t>
        </is>
      </c>
      <c r="T80" s="86" t="n"/>
      <c r="U80" s="86" t="n"/>
      <c r="V80" s="86" t="n"/>
      <c r="W80" s="87" t="inlineStr">
        <is>
          <t>⚠ 數據缺陷：成分股 NFE 反向拆股未還原（9/11 $0.33 → 9/15 $12.77），本列 5 日漲跌與 9/10、9/14 分數不可用。詳見「數據來源與限制」頁</t>
        </is>
      </c>
    </row>
    <row r="81">
      <c r="A81" s="67">
        <f>ROW()-8</f>
        <v>73.0</v>
      </c>
      <c r="B81" s="38" t="inlineStr">
        <is>
          <t>海上鑽井與設備</t>
        </is>
      </c>
      <c r="C81" s="68" t="inlineStr">
        <is>
          <t>Offshore Drilling &amp; Equipment</t>
        </is>
      </c>
      <c r="D81" s="68" t="inlineStr">
        <is>
          <t>能源 Energy</t>
        </is>
      </c>
      <c r="E81" s="69" t="n">
        <v>34.54545454545455</v>
      </c>
      <c r="F81" s="69" t="n">
        <v>2.727272727272727</v>
      </c>
      <c r="G81" s="42" t="n">
        <v>-0.05474274823977462</v>
      </c>
      <c r="H81" s="42" t="n">
        <v>-0.03359240084746007</v>
      </c>
      <c r="I81" s="70" t="n">
        <v>0</v>
      </c>
      <c r="J81" s="70" t="n">
        <v>0.4</v>
      </c>
      <c r="K81" s="71" t="n">
        <v>1.170080346346773</v>
      </c>
      <c r="L81" s="72" t="n">
        <v>-0.2560350994663351</v>
      </c>
      <c r="M81" s="73" t="n">
        <v>-344.2423695354723</v>
      </c>
      <c r="N81" s="73" t="n">
        <v>-112.774792451555</v>
      </c>
      <c r="O81" s="39" t="inlineStr">
        <is>
          <t>RIG</t>
        </is>
      </c>
      <c r="P81" s="39" t="inlineStr">
        <is>
          <t>VAL</t>
        </is>
      </c>
      <c r="Q81" s="39" t="inlineStr">
        <is>
          <t>NE</t>
        </is>
      </c>
      <c r="R81" s="39" t="inlineStr">
        <is>
          <t>TDW</t>
        </is>
      </c>
      <c r="S81" s="74" t="n"/>
      <c r="T81" s="74" t="n"/>
      <c r="U81" s="74" t="n"/>
      <c r="V81" s="74" t="n"/>
      <c r="W81" s="40" t="inlineStr">
        <is>
          <t>✕ 迴避</t>
        </is>
      </c>
    </row>
    <row r="82">
      <c r="A82" s="61">
        <f>ROW()-8</f>
        <v>74.0</v>
      </c>
      <c r="B82" s="6" t="inlineStr">
        <is>
          <t>專門零售</t>
        </is>
      </c>
      <c r="C82" s="9" t="inlineStr">
        <is>
          <t>Specialty Retail</t>
        </is>
      </c>
      <c r="D82" s="9" t="inlineStr">
        <is>
          <t>非必需消費 Consumer Discretionary</t>
        </is>
      </c>
      <c r="E82" s="62" t="n">
        <v>33.63636363636363</v>
      </c>
      <c r="F82" s="62" t="n">
        <v>30</v>
      </c>
      <c r="G82" s="11" t="n">
        <v>-0.008304932766422279</v>
      </c>
      <c r="H82" s="11" t="n">
        <v>-0.005408330672249551</v>
      </c>
      <c r="I82" s="63" t="n">
        <v>0.2</v>
      </c>
      <c r="J82" s="63" t="n">
        <v>0.4</v>
      </c>
      <c r="K82" s="64" t="n">
        <v>1.172686723781091</v>
      </c>
      <c r="L82" s="65" t="n">
        <v>-0.2579683943341135</v>
      </c>
      <c r="M82" s="66" t="n">
        <v>-2725.802326117525</v>
      </c>
      <c r="N82" s="66" t="n">
        <v>-6149.698004383579</v>
      </c>
      <c r="O82" s="19" t="inlineStr">
        <is>
          <t>HD</t>
        </is>
      </c>
      <c r="P82" s="19" t="inlineStr">
        <is>
          <t>LOW</t>
        </is>
      </c>
      <c r="Q82" s="19" t="inlineStr">
        <is>
          <t>TJX</t>
        </is>
      </c>
      <c r="R82" s="19" t="inlineStr">
        <is>
          <t>ROST</t>
        </is>
      </c>
      <c r="S82" s="19" t="inlineStr">
        <is>
          <t>BBY</t>
        </is>
      </c>
      <c r="W82" s="6" t="inlineStr"/>
    </row>
    <row r="83">
      <c r="A83" s="61">
        <f>ROW()-8</f>
        <v>75.0</v>
      </c>
      <c r="B83" s="6" t="inlineStr">
        <is>
          <t>地產開發與服務</t>
        </is>
      </c>
      <c r="C83" s="9" t="inlineStr">
        <is>
          <t>Real Estate Services &amp; Development</t>
        </is>
      </c>
      <c r="D83" s="9" t="inlineStr">
        <is>
          <t>房地產 Real Estate</t>
        </is>
      </c>
      <c r="E83" s="62" t="n">
        <v>32.72727272727273</v>
      </c>
      <c r="F83" s="62" t="n">
        <v>30.90909090909091</v>
      </c>
      <c r="G83" s="11" t="n">
        <v>-0.01526591969293294</v>
      </c>
      <c r="H83" s="11" t="n">
        <v>-0.04470911416258927</v>
      </c>
      <c r="I83" s="63" t="n">
        <v>0.4</v>
      </c>
      <c r="J83" s="63" t="n">
        <v>0.4</v>
      </c>
      <c r="K83" s="64" t="n">
        <v>1.394781617842213</v>
      </c>
      <c r="L83" s="65" t="n">
        <v>-0.002615073307610416</v>
      </c>
      <c r="M83" s="66" t="n">
        <v>-398.6066891786653</v>
      </c>
      <c r="N83" s="66" t="n">
        <v>-834.202156497376</v>
      </c>
      <c r="O83" s="19" t="inlineStr">
        <is>
          <t>CBRE</t>
        </is>
      </c>
      <c r="P83" s="19" t="inlineStr">
        <is>
          <t>JLL</t>
        </is>
      </c>
      <c r="Q83" s="19" t="inlineStr">
        <is>
          <t>Z</t>
        </is>
      </c>
      <c r="R83" s="19" t="inlineStr">
        <is>
          <t>COMP</t>
        </is>
      </c>
      <c r="S83" s="19" t="inlineStr">
        <is>
          <t>OPEN</t>
        </is>
      </c>
      <c r="W83" s="6" t="inlineStr"/>
    </row>
    <row r="84">
      <c r="A84" s="61">
        <f>ROW()-8</f>
        <v>76.0</v>
      </c>
      <c r="B84" s="6" t="inlineStr">
        <is>
          <t>醫療保險與管理式醫療</t>
        </is>
      </c>
      <c r="C84" s="9" t="inlineStr">
        <is>
          <t>Managed Care &amp; Health Insurers</t>
        </is>
      </c>
      <c r="D84" s="9" t="inlineStr">
        <is>
          <t>醫療保健 Health Care</t>
        </is>
      </c>
      <c r="E84" s="62" t="n">
        <v>31.81818181818182</v>
      </c>
      <c r="F84" s="62" t="n">
        <v>24.54545454545455</v>
      </c>
      <c r="G84" s="11" t="n">
        <v>-0.01946967054663844</v>
      </c>
      <c r="H84" s="11" t="n">
        <v>-0.0002121686138643053</v>
      </c>
      <c r="I84" s="63" t="n">
        <v>0.2</v>
      </c>
      <c r="J84" s="63" t="n">
        <v>0.52</v>
      </c>
      <c r="K84" s="64" t="n">
        <v>1.090294127979009</v>
      </c>
      <c r="L84" s="65" t="n">
        <v>-0.3177426985829114</v>
      </c>
      <c r="M84" s="66" t="n">
        <v>-2099.004430473789</v>
      </c>
      <c r="N84" s="66" t="n">
        <v>-6956.86867753243</v>
      </c>
      <c r="O84" s="19" t="inlineStr">
        <is>
          <t>UNH</t>
        </is>
      </c>
      <c r="P84" s="19" t="inlineStr">
        <is>
          <t>ELV</t>
        </is>
      </c>
      <c r="Q84" s="19" t="inlineStr">
        <is>
          <t>CI</t>
        </is>
      </c>
      <c r="R84" s="19" t="inlineStr">
        <is>
          <t>HUM</t>
        </is>
      </c>
      <c r="S84" s="19" t="inlineStr">
        <is>
          <t>CNC</t>
        </is>
      </c>
      <c r="W84" s="6" t="inlineStr"/>
    </row>
    <row r="85">
      <c r="A85" s="61">
        <f>ROW()-8</f>
        <v>77.0</v>
      </c>
      <c r="B85" s="6" t="inlineStr">
        <is>
          <t>燃氣公用</t>
        </is>
      </c>
      <c r="C85" s="9" t="inlineStr">
        <is>
          <t>Gas Utilities</t>
        </is>
      </c>
      <c r="D85" s="9" t="inlineStr">
        <is>
          <t>公用事業 Utilities</t>
        </is>
      </c>
      <c r="E85" s="62" t="n">
        <v>30.90909090909091</v>
      </c>
      <c r="F85" s="62" t="n">
        <v>66.36363636363637</v>
      </c>
      <c r="G85" s="11" t="n">
        <v>0.0003898708685706742</v>
      </c>
      <c r="H85" s="11" t="n">
        <v>-0.01815919754188544</v>
      </c>
      <c r="I85" s="63" t="n">
        <v>1</v>
      </c>
      <c r="J85" s="63" t="n">
        <v>0.5</v>
      </c>
      <c r="K85" s="64" t="n">
        <v>1.136957709296645</v>
      </c>
      <c r="L85" s="65" t="n">
        <v>0.1983121183483797</v>
      </c>
      <c r="M85" s="66" t="n">
        <v>-246.4056962570765</v>
      </c>
      <c r="N85" s="66" t="n">
        <v>-1313.949087574426</v>
      </c>
      <c r="O85" s="19" t="inlineStr">
        <is>
          <t>ATO</t>
        </is>
      </c>
      <c r="P85" s="19" t="inlineStr">
        <is>
          <t>NI</t>
        </is>
      </c>
      <c r="Q85" s="19" t="inlineStr">
        <is>
          <t>SR</t>
        </is>
      </c>
      <c r="R85" s="19" t="inlineStr">
        <is>
          <t>NJR</t>
        </is>
      </c>
      <c r="W85" s="6" t="inlineStr"/>
    </row>
    <row r="86">
      <c r="A86" s="61">
        <f>ROW()-8</f>
        <v>78.0</v>
      </c>
      <c r="B86" s="6" t="inlineStr">
        <is>
          <t>交易所與金融數據</t>
        </is>
      </c>
      <c r="C86" s="9" t="inlineStr">
        <is>
          <t>Exchanges &amp; Market Data</t>
        </is>
      </c>
      <c r="D86" s="9" t="inlineStr">
        <is>
          <t>金融 Financials</t>
        </is>
      </c>
      <c r="E86" s="62" t="n">
        <v>30</v>
      </c>
      <c r="F86" s="62" t="n">
        <v>46.36363636363636</v>
      </c>
      <c r="G86" s="11" t="n">
        <v>-0.009334692167461545</v>
      </c>
      <c r="H86" s="11" t="n">
        <v>-0.0359541498606003</v>
      </c>
      <c r="I86" s="63" t="n">
        <v>0.2</v>
      </c>
      <c r="J86" s="63" t="n">
        <v>0.44</v>
      </c>
      <c r="K86" s="64" t="n">
        <v>1.019314222699961</v>
      </c>
      <c r="L86" s="65" t="n">
        <v>-0.004450396889259622</v>
      </c>
      <c r="M86" s="66" t="n">
        <v>-613.0358462751445</v>
      </c>
      <c r="N86" s="66" t="n">
        <v>-3463.662295473597</v>
      </c>
      <c r="O86" s="19" t="inlineStr">
        <is>
          <t>CME</t>
        </is>
      </c>
      <c r="P86" s="19" t="inlineStr">
        <is>
          <t>ICE</t>
        </is>
      </c>
      <c r="Q86" s="19" t="inlineStr">
        <is>
          <t>NDAQ</t>
        </is>
      </c>
      <c r="R86" s="19" t="inlineStr">
        <is>
          <t>CBOE</t>
        </is>
      </c>
      <c r="S86" s="19" t="inlineStr">
        <is>
          <t>SPGI</t>
        </is>
      </c>
      <c r="W86" s="6" t="inlineStr"/>
    </row>
    <row r="87">
      <c r="A87" s="61">
        <f>ROW()-8</f>
        <v>79.0</v>
      </c>
      <c r="B87" s="6" t="inlineStr">
        <is>
          <t>服裝與奢侈品</t>
        </is>
      </c>
      <c r="C87" s="9" t="inlineStr">
        <is>
          <t>Apparel &amp; Luxury Goods</t>
        </is>
      </c>
      <c r="D87" s="9" t="inlineStr">
        <is>
          <t>非必需消費 Consumer Discretionary</t>
        </is>
      </c>
      <c r="E87" s="62" t="n">
        <v>29.09090909090909</v>
      </c>
      <c r="F87" s="62" t="n">
        <v>42.72727272727273</v>
      </c>
      <c r="G87" s="11" t="n">
        <v>-0.001345512874351606</v>
      </c>
      <c r="H87" s="11" t="n">
        <v>-0.01762765473072825</v>
      </c>
      <c r="I87" s="63" t="n">
        <v>0.6</v>
      </c>
      <c r="J87" s="63" t="n">
        <v>0.6</v>
      </c>
      <c r="K87" s="64" t="n">
        <v>1.143603548828702</v>
      </c>
      <c r="L87" s="65" t="n">
        <v>-0.1474239533831183</v>
      </c>
      <c r="M87" s="66" t="n">
        <v>-1744.425202296537</v>
      </c>
      <c r="N87" s="66" t="n">
        <v>-3830.552961805467</v>
      </c>
      <c r="O87" s="19" t="inlineStr">
        <is>
          <t>NKE</t>
        </is>
      </c>
      <c r="P87" s="19" t="inlineStr">
        <is>
          <t>LULU</t>
        </is>
      </c>
      <c r="Q87" s="19" t="inlineStr">
        <is>
          <t>RL</t>
        </is>
      </c>
      <c r="R87" s="19" t="inlineStr">
        <is>
          <t>DECK</t>
        </is>
      </c>
      <c r="S87" s="19" t="inlineStr">
        <is>
          <t>ONON</t>
        </is>
      </c>
      <c r="W87" s="6" t="inlineStr"/>
    </row>
    <row r="88">
      <c r="A88" s="61">
        <f>ROW()-8</f>
        <v>80.0</v>
      </c>
      <c r="B88" s="6" t="inlineStr">
        <is>
          <t>有線/寬頻/衛星</t>
        </is>
      </c>
      <c r="C88" s="9" t="inlineStr">
        <is>
          <t>Cable, Broadband &amp; Satellite</t>
        </is>
      </c>
      <c r="D88" s="9" t="inlineStr">
        <is>
          <t>通訊服務 Communication Services</t>
        </is>
      </c>
      <c r="E88" s="62" t="n">
        <v>28.18181818181818</v>
      </c>
      <c r="F88" s="62" t="n">
        <v>32.72727272727273</v>
      </c>
      <c r="G88" s="11" t="n">
        <v>-0.02121903900805126</v>
      </c>
      <c r="H88" s="11" t="n">
        <v>-0.0249182727212659</v>
      </c>
      <c r="I88" s="63" t="n">
        <v>0.3333333333333333</v>
      </c>
      <c r="J88" s="63" t="n">
        <v>0.3333333333333333</v>
      </c>
      <c r="K88" s="64" t="n">
        <v>0.9862143054842814</v>
      </c>
      <c r="L88" s="65" t="n">
        <v>-0.4790106851706214</v>
      </c>
      <c r="M88" s="66" t="n">
        <v>-529.9992530014121</v>
      </c>
      <c r="N88" s="66" t="n">
        <v>-1760.901264833973</v>
      </c>
      <c r="O88" s="19" t="inlineStr">
        <is>
          <t>CMCSA</t>
        </is>
      </c>
      <c r="P88" s="19" t="inlineStr">
        <is>
          <t>CHTR</t>
        </is>
      </c>
      <c r="Q88" s="19" t="inlineStr">
        <is>
          <t>ASTS</t>
        </is>
      </c>
      <c r="W88" s="6" t="inlineStr"/>
    </row>
    <row r="89">
      <c r="A89" s="67">
        <f>ROW()-8</f>
        <v>81.0</v>
      </c>
      <c r="B89" s="38" t="inlineStr">
        <is>
          <t>貨運與物流</t>
        </is>
      </c>
      <c r="C89" s="68" t="inlineStr">
        <is>
          <t>Freight &amp; Logistics</t>
        </is>
      </c>
      <c r="D89" s="68" t="inlineStr">
        <is>
          <t>工業 Industrials</t>
        </is>
      </c>
      <c r="E89" s="69" t="n">
        <v>27.27272727272727</v>
      </c>
      <c r="F89" s="69" t="n">
        <v>1.818181818181818</v>
      </c>
      <c r="G89" s="42" t="n">
        <v>-0.04943397566347705</v>
      </c>
      <c r="H89" s="42" t="n">
        <v>-0.04691219796770252</v>
      </c>
      <c r="I89" s="70" t="n">
        <v>0</v>
      </c>
      <c r="J89" s="70" t="n">
        <v>0.4</v>
      </c>
      <c r="K89" s="71" t="n">
        <v>3.151718117991294</v>
      </c>
      <c r="L89" s="72" t="n">
        <v>-0.5681303934358862</v>
      </c>
      <c r="M89" s="73" t="n">
        <v>-1692.506783119527</v>
      </c>
      <c r="N89" s="73" t="n">
        <v>-1060.694831634663</v>
      </c>
      <c r="O89" s="39" t="inlineStr">
        <is>
          <t>UPS</t>
        </is>
      </c>
      <c r="P89" s="39" t="inlineStr">
        <is>
          <t>FDX</t>
        </is>
      </c>
      <c r="Q89" s="39" t="inlineStr">
        <is>
          <t>ODFL</t>
        </is>
      </c>
      <c r="R89" s="39" t="inlineStr">
        <is>
          <t>JBHT</t>
        </is>
      </c>
      <c r="S89" s="39" t="inlineStr">
        <is>
          <t>XPO</t>
        </is>
      </c>
      <c r="T89" s="74" t="n"/>
      <c r="U89" s="74" t="n"/>
      <c r="V89" s="74" t="n"/>
      <c r="W89" s="40" t="inlineStr">
        <is>
          <t>✕ 迴避：FDX 指引，成交 3.15x</t>
        </is>
      </c>
    </row>
    <row r="90">
      <c r="A90" s="61">
        <f>ROW()-8</f>
        <v>82.0</v>
      </c>
      <c r="B90" s="6" t="inlineStr">
        <is>
          <t>藥品分銷與藥房</t>
        </is>
      </c>
      <c r="C90" s="9" t="inlineStr">
        <is>
          <t>Drug Distribution &amp; Pharmacy</t>
        </is>
      </c>
      <c r="D90" s="9" t="inlineStr">
        <is>
          <t>醫療保健 Health Care</t>
        </is>
      </c>
      <c r="E90" s="62" t="n">
        <v>26.36363636363636</v>
      </c>
      <c r="F90" s="62" t="n">
        <v>14.54545454545454</v>
      </c>
      <c r="G90" s="11" t="n">
        <v>-0.01456112009123639</v>
      </c>
      <c r="H90" s="11" t="n">
        <v>-0.02226696006701923</v>
      </c>
      <c r="I90" s="63" t="n">
        <v>0.25</v>
      </c>
      <c r="J90" s="63" t="n">
        <v>0.3</v>
      </c>
      <c r="K90" s="64" t="n">
        <v>0.9950517902292514</v>
      </c>
      <c r="L90" s="65" t="n">
        <v>-0.07383457409547886</v>
      </c>
      <c r="M90" s="66" t="n">
        <v>-1822.702426583254</v>
      </c>
      <c r="N90" s="66" t="n">
        <v>-3088.53786234371</v>
      </c>
      <c r="O90" s="19" t="inlineStr">
        <is>
          <t>MCK</t>
        </is>
      </c>
      <c r="P90" s="19" t="inlineStr">
        <is>
          <t>COR</t>
        </is>
      </c>
      <c r="Q90" s="19" t="inlineStr">
        <is>
          <t>CAH</t>
        </is>
      </c>
      <c r="R90" s="19" t="inlineStr">
        <is>
          <t>CVS</t>
        </is>
      </c>
      <c r="W90" s="6" t="inlineStr"/>
    </row>
    <row r="91">
      <c r="A91" s="61">
        <f>ROW()-8</f>
        <v>83.0</v>
      </c>
      <c r="B91" s="6" t="inlineStr">
        <is>
          <t>基因治療與基因編輯</t>
        </is>
      </c>
      <c r="C91" s="9" t="inlineStr">
        <is>
          <t>Gene Editing &amp; Gene Therapy</t>
        </is>
      </c>
      <c r="D91" s="9" t="inlineStr">
        <is>
          <t>醫療保健 Health Care</t>
        </is>
      </c>
      <c r="E91" s="62" t="n">
        <v>25.45454545454545</v>
      </c>
      <c r="F91" s="62" t="n">
        <v>83.63636363636363</v>
      </c>
      <c r="G91" s="11" t="n">
        <v>0.004535788171859216</v>
      </c>
      <c r="H91" s="11" t="n">
        <v>-0.05506953302463047</v>
      </c>
      <c r="I91" s="63" t="n">
        <v>0.6666666666666666</v>
      </c>
      <c r="J91" s="63" t="n">
        <v>0.3333333333333333</v>
      </c>
      <c r="K91" s="64" t="n">
        <v>1.773556207193844</v>
      </c>
      <c r="L91" s="65" t="n">
        <v>0.3405695027761459</v>
      </c>
      <c r="M91" s="66" t="n">
        <v>-106.1517701327814</v>
      </c>
      <c r="N91" s="66" t="n">
        <v>-227.1015558767737</v>
      </c>
      <c r="O91" s="19" t="inlineStr">
        <is>
          <t>CRSP</t>
        </is>
      </c>
      <c r="P91" s="19" t="inlineStr">
        <is>
          <t>NTLA</t>
        </is>
      </c>
      <c r="Q91" s="19" t="inlineStr">
        <is>
          <t>BEAM</t>
        </is>
      </c>
      <c r="W91" s="6" t="inlineStr"/>
    </row>
    <row r="92">
      <c r="A92" s="61">
        <f>ROW()-8</f>
        <v>84.0</v>
      </c>
      <c r="B92" s="6" t="inlineStr">
        <is>
          <t>保險經紀</t>
        </is>
      </c>
      <c r="C92" s="9" t="inlineStr">
        <is>
          <t>Insurance Brokers</t>
        </is>
      </c>
      <c r="D92" s="9" t="inlineStr">
        <is>
          <t>金融 Financials</t>
        </is>
      </c>
      <c r="E92" s="62" t="n">
        <v>24.54545454545455</v>
      </c>
      <c r="F92" s="62" t="n">
        <v>18.18181818181818</v>
      </c>
      <c r="G92" s="11" t="n">
        <v>-0.01971287271048255</v>
      </c>
      <c r="H92" s="11" t="n">
        <v>-0.006856613385590959</v>
      </c>
      <c r="I92" s="63" t="n">
        <v>0</v>
      </c>
      <c r="J92" s="63" t="n">
        <v>0.45</v>
      </c>
      <c r="K92" s="64" t="n">
        <v>2.346600033046988</v>
      </c>
      <c r="L92" s="65" t="n">
        <v>-0.3685457532482229</v>
      </c>
      <c r="M92" s="66" t="n">
        <v>-420.711011090151</v>
      </c>
      <c r="N92" s="66" t="n">
        <v>-1340.577807918623</v>
      </c>
      <c r="O92" s="19" t="inlineStr">
        <is>
          <t>AON</t>
        </is>
      </c>
      <c r="P92" s="19" t="inlineStr">
        <is>
          <t>AJG</t>
        </is>
      </c>
      <c r="Q92" s="19" t="inlineStr">
        <is>
          <t>BRO</t>
        </is>
      </c>
      <c r="R92" s="19" t="inlineStr">
        <is>
          <t>WTW</t>
        </is>
      </c>
      <c r="W92" s="6" t="inlineStr"/>
    </row>
    <row r="93">
      <c r="A93" s="61">
        <f>ROW()-8</f>
        <v>85.0</v>
      </c>
      <c r="B93" s="6" t="inlineStr">
        <is>
          <t>農產品與農業投入</t>
        </is>
      </c>
      <c r="C93" s="9" t="inlineStr">
        <is>
          <t>Agricultural Products &amp; Inputs</t>
        </is>
      </c>
      <c r="D93" s="9" t="inlineStr">
        <is>
          <t>必需消費 Consumer Staples</t>
        </is>
      </c>
      <c r="E93" s="62" t="n">
        <v>23.63636363636364</v>
      </c>
      <c r="F93" s="62" t="n">
        <v>7.272727272727272</v>
      </c>
      <c r="G93" s="11" t="n">
        <v>-0.01985867230227745</v>
      </c>
      <c r="H93" s="11" t="n">
        <v>-0.02573805646056504</v>
      </c>
      <c r="I93" s="63" t="n">
        <v>0</v>
      </c>
      <c r="J93" s="63" t="n">
        <v>0.44</v>
      </c>
      <c r="K93" s="64" t="n">
        <v>1.277406243432123</v>
      </c>
      <c r="L93" s="65" t="n">
        <v>-0.341298836675157</v>
      </c>
      <c r="M93" s="66" t="n">
        <v>-968.2130042771296</v>
      </c>
      <c r="N93" s="66" t="n">
        <v>-2217.31934426007</v>
      </c>
      <c r="O93" s="19" t="inlineStr">
        <is>
          <t>ADM</t>
        </is>
      </c>
      <c r="P93" s="19" t="inlineStr">
        <is>
          <t>BG</t>
        </is>
      </c>
      <c r="Q93" s="19" t="inlineStr">
        <is>
          <t>TSN</t>
        </is>
      </c>
      <c r="R93" s="19" t="inlineStr">
        <is>
          <t>INGR</t>
        </is>
      </c>
      <c r="S93" s="19" t="inlineStr">
        <is>
          <t>CTVA</t>
        </is>
      </c>
      <c r="W93" s="6" t="inlineStr"/>
    </row>
    <row r="94">
      <c r="A94" s="61">
        <f>ROW()-8</f>
        <v>86.0</v>
      </c>
      <c r="B94" s="6" t="inlineStr">
        <is>
          <t>中游與管道</t>
        </is>
      </c>
      <c r="C94" s="9" t="inlineStr">
        <is>
          <t>Midstream &amp; Pipelines</t>
        </is>
      </c>
      <c r="D94" s="9" t="inlineStr">
        <is>
          <t>能源 Energy</t>
        </is>
      </c>
      <c r="E94" s="62" t="n">
        <v>22.72727272727273</v>
      </c>
      <c r="F94" s="62" t="n">
        <v>50</v>
      </c>
      <c r="G94" s="11" t="n">
        <v>-0.01233666006356982</v>
      </c>
      <c r="H94" s="11" t="n">
        <v>-0.03356271933569044</v>
      </c>
      <c r="I94" s="63" t="n">
        <v>0.2</v>
      </c>
      <c r="J94" s="63" t="n">
        <v>0.4</v>
      </c>
      <c r="K94" s="64" t="n">
        <v>1.176675287018607</v>
      </c>
      <c r="L94" s="65" t="n">
        <v>0.08183328710743543</v>
      </c>
      <c r="M94" s="66" t="n">
        <v>-296.1528951134534</v>
      </c>
      <c r="N94" s="66" t="n">
        <v>-2533.883809151124</v>
      </c>
      <c r="O94" s="19" t="inlineStr">
        <is>
          <t>KMI</t>
        </is>
      </c>
      <c r="P94" s="19" t="inlineStr">
        <is>
          <t>WMB</t>
        </is>
      </c>
      <c r="Q94" s="19" t="inlineStr">
        <is>
          <t>ET</t>
        </is>
      </c>
      <c r="R94" s="19" t="inlineStr">
        <is>
          <t>EPD</t>
        </is>
      </c>
      <c r="S94" s="19" t="inlineStr">
        <is>
          <t>OKE</t>
        </is>
      </c>
      <c r="W94" s="6" t="inlineStr"/>
    </row>
    <row r="95">
      <c r="A95" s="61">
        <f>ROW()-8</f>
        <v>87.0</v>
      </c>
      <c r="B95" s="6" t="inlineStr">
        <is>
          <t>電動車與新能源車</t>
        </is>
      </c>
      <c r="C95" s="9" t="inlineStr">
        <is>
          <t>EV &amp; New Energy Vehicles</t>
        </is>
      </c>
      <c r="D95" s="9" t="inlineStr">
        <is>
          <t>非必需消費 Consumer Discretionary</t>
        </is>
      </c>
      <c r="E95" s="62" t="n">
        <v>21.81818181818182</v>
      </c>
      <c r="F95" s="62" t="n">
        <v>44.54545454545455</v>
      </c>
      <c r="G95" s="11" t="n">
        <v>-0.0117197760709784</v>
      </c>
      <c r="H95" s="11" t="n">
        <v>-0.0428475783204928</v>
      </c>
      <c r="I95" s="63" t="n">
        <v>0.3333333333333333</v>
      </c>
      <c r="J95" s="63" t="n">
        <v>0.2666666666666667</v>
      </c>
      <c r="K95" s="64" t="n">
        <v>1.349301420899586</v>
      </c>
      <c r="L95" s="65" t="n">
        <v>-0.101747028269415</v>
      </c>
      <c r="M95" s="66" t="n">
        <v>-4320.11120103496</v>
      </c>
      <c r="N95" s="66" t="n">
        <v>-15269.79159780831</v>
      </c>
      <c r="O95" s="19" t="inlineStr">
        <is>
          <t>TSLA</t>
        </is>
      </c>
      <c r="P95" s="19" t="inlineStr">
        <is>
          <t>RIVN</t>
        </is>
      </c>
      <c r="Q95" s="19" t="inlineStr">
        <is>
          <t>LCID</t>
        </is>
      </c>
      <c r="W95" s="6" t="inlineStr"/>
    </row>
    <row r="96">
      <c r="A96" s="61">
        <f>ROW()-8</f>
        <v>88.0</v>
      </c>
      <c r="B96" s="6" t="inlineStr">
        <is>
          <t>半導體設備</t>
        </is>
      </c>
      <c r="C96" s="9" t="inlineStr">
        <is>
          <t>Semiconductor Equipment</t>
        </is>
      </c>
      <c r="D96" s="9" t="inlineStr">
        <is>
          <t>資訊科技 Information Technology</t>
        </is>
      </c>
      <c r="E96" s="62" t="n">
        <v>20.90909090909091</v>
      </c>
      <c r="F96" s="62" t="n">
        <v>63.63636363636363</v>
      </c>
      <c r="G96" s="11" t="n">
        <v>0.001590889714558097</v>
      </c>
      <c r="H96" s="11" t="n">
        <v>-0.1060410866223301</v>
      </c>
      <c r="I96" s="63" t="n">
        <v>0.6</v>
      </c>
      <c r="J96" s="63" t="n">
        <v>0.4</v>
      </c>
      <c r="K96" s="64" t="n">
        <v>0.9400468275743783</v>
      </c>
      <c r="L96" s="65" t="n">
        <v>0.380661449333584</v>
      </c>
      <c r="M96" s="66" t="n">
        <v>-3142.270335408239</v>
      </c>
      <c r="N96" s="66" t="n">
        <v>-21648.21790478342</v>
      </c>
      <c r="O96" s="19" t="inlineStr">
        <is>
          <t>AMAT</t>
        </is>
      </c>
      <c r="P96" s="19" t="inlineStr">
        <is>
          <t>LRCX</t>
        </is>
      </c>
      <c r="Q96" s="19" t="inlineStr">
        <is>
          <t>KLAC</t>
        </is>
      </c>
      <c r="R96" s="19" t="inlineStr">
        <is>
          <t>ASML</t>
        </is>
      </c>
      <c r="S96" s="19" t="inlineStr">
        <is>
          <t>TER</t>
        </is>
      </c>
      <c r="W96" s="6" t="inlineStr"/>
    </row>
    <row r="97">
      <c r="A97" s="67">
        <f>ROW()-8</f>
        <v>89.0</v>
      </c>
      <c r="B97" s="38" t="inlineStr">
        <is>
          <t>區域與社區銀行</t>
        </is>
      </c>
      <c r="C97" s="68" t="inlineStr">
        <is>
          <t>Regional Banks</t>
        </is>
      </c>
      <c r="D97" s="68" t="inlineStr">
        <is>
          <t>金融 Financials</t>
        </is>
      </c>
      <c r="E97" s="69" t="n">
        <v>20</v>
      </c>
      <c r="F97" s="69" t="n">
        <v>0.9090909090909091</v>
      </c>
      <c r="G97" s="42" t="n">
        <v>-0.0390930658160346</v>
      </c>
      <c r="H97" s="42" t="n">
        <v>-0.03992248899813056</v>
      </c>
      <c r="I97" s="70" t="n">
        <v>0</v>
      </c>
      <c r="J97" s="70" t="n">
        <v>0.4</v>
      </c>
      <c r="K97" s="71" t="n">
        <v>2.400681526121513</v>
      </c>
      <c r="L97" s="72" t="n">
        <v>-0.8410951980565429</v>
      </c>
      <c r="M97" s="73" t="n">
        <v>-1361.501006867863</v>
      </c>
      <c r="N97" s="73" t="n">
        <v>-1575.429492833345</v>
      </c>
      <c r="O97" s="39" t="inlineStr">
        <is>
          <t>USB</t>
        </is>
      </c>
      <c r="P97" s="39" t="inlineStr">
        <is>
          <t>PNC</t>
        </is>
      </c>
      <c r="Q97" s="39" t="inlineStr">
        <is>
          <t>TFC</t>
        </is>
      </c>
      <c r="R97" s="39" t="inlineStr">
        <is>
          <t>MTB</t>
        </is>
      </c>
      <c r="S97" s="39" t="inlineStr">
        <is>
          <t>ZION</t>
        </is>
      </c>
      <c r="T97" s="74" t="n"/>
      <c r="U97" s="74" t="n"/>
      <c r="V97" s="74" t="n"/>
      <c r="W97" s="40" t="inlineStr">
        <is>
          <t>✕ 迴避：成交 2.40x</t>
        </is>
      </c>
    </row>
    <row r="98">
      <c r="A98" s="61">
        <f>ROW()-8</f>
        <v>90.0</v>
      </c>
      <c r="B98" s="6" t="inlineStr">
        <is>
          <t>餐飲連鎖</t>
        </is>
      </c>
      <c r="C98" s="9" t="inlineStr">
        <is>
          <t>Restaurants</t>
        </is>
      </c>
      <c r="D98" s="9" t="inlineStr">
        <is>
          <t>非必需消費 Consumer Discretionary</t>
        </is>
      </c>
      <c r="E98" s="62" t="n">
        <v>19.09090909090909</v>
      </c>
      <c r="F98" s="62" t="n">
        <v>36.36363636363637</v>
      </c>
      <c r="G98" s="11" t="n">
        <v>-0.01335553019182563</v>
      </c>
      <c r="H98" s="11" t="n">
        <v>-0.03340008445229459</v>
      </c>
      <c r="I98" s="63" t="n">
        <v>0.2</v>
      </c>
      <c r="J98" s="63" t="n">
        <v>0.36</v>
      </c>
      <c r="K98" s="64" t="n">
        <v>1.502019524022505</v>
      </c>
      <c r="L98" s="65" t="n">
        <v>-0.1969131953341677</v>
      </c>
      <c r="M98" s="66" t="n">
        <v>-2110.719902728678</v>
      </c>
      <c r="N98" s="66" t="n">
        <v>-6315.282627504884</v>
      </c>
      <c r="O98" s="19" t="inlineStr">
        <is>
          <t>MCD</t>
        </is>
      </c>
      <c r="P98" s="19" t="inlineStr">
        <is>
          <t>SBUX</t>
        </is>
      </c>
      <c r="Q98" s="19" t="inlineStr">
        <is>
          <t>CMG</t>
        </is>
      </c>
      <c r="R98" s="19" t="inlineStr">
        <is>
          <t>YUM</t>
        </is>
      </c>
      <c r="S98" s="19" t="inlineStr">
        <is>
          <t>DRI</t>
        </is>
      </c>
      <c r="W98" s="6" t="inlineStr"/>
    </row>
    <row r="99">
      <c r="A99" s="61">
        <f>ROW()-8</f>
        <v>91.0</v>
      </c>
      <c r="B99" s="6" t="inlineStr">
        <is>
          <t>資產管理</t>
        </is>
      </c>
      <c r="C99" s="9" t="inlineStr">
        <is>
          <t>Asset Management</t>
        </is>
      </c>
      <c r="D99" s="9" t="inlineStr">
        <is>
          <t>金融 Financials</t>
        </is>
      </c>
      <c r="E99" s="62" t="n">
        <v>18.18181818181818</v>
      </c>
      <c r="F99" s="62" t="n">
        <v>19.09090909090909</v>
      </c>
      <c r="G99" s="11" t="n">
        <v>-0.01740698092478307</v>
      </c>
      <c r="H99" s="11" t="n">
        <v>-0.03985865168071501</v>
      </c>
      <c r="I99" s="63" t="n">
        <v>0</v>
      </c>
      <c r="J99" s="63" t="n">
        <v>0.3</v>
      </c>
      <c r="K99" s="64" t="n">
        <v>1.192563822134295</v>
      </c>
      <c r="L99" s="65" t="n">
        <v>-0.1442929579768654</v>
      </c>
      <c r="M99" s="66" t="n">
        <v>-190.405886017567</v>
      </c>
      <c r="N99" s="66" t="n">
        <v>-1076.672598759269</v>
      </c>
      <c r="O99" s="19" t="inlineStr">
        <is>
          <t>BLK</t>
        </is>
      </c>
      <c r="P99" s="19" t="inlineStr">
        <is>
          <t>TROW</t>
        </is>
      </c>
      <c r="Q99" s="19" t="inlineStr">
        <is>
          <t>BEN</t>
        </is>
      </c>
      <c r="R99" s="19" t="inlineStr">
        <is>
          <t>AMG</t>
        </is>
      </c>
      <c r="W99" s="6" t="inlineStr"/>
    </row>
    <row r="100">
      <c r="A100" s="61">
        <f>ROW()-8</f>
        <v>92.0</v>
      </c>
      <c r="B100" s="6" t="inlineStr">
        <is>
          <t>必需品分銷</t>
        </is>
      </c>
      <c r="C100" s="9" t="inlineStr">
        <is>
          <t>Staples Distribution</t>
        </is>
      </c>
      <c r="D100" s="9" t="inlineStr">
        <is>
          <t>必需消費 Consumer Staples</t>
        </is>
      </c>
      <c r="E100" s="62" t="n">
        <v>17.27272727272727</v>
      </c>
      <c r="F100" s="62" t="n">
        <v>71.81818181818181</v>
      </c>
      <c r="G100" s="11" t="n">
        <v>0.01199761101691599</v>
      </c>
      <c r="H100" s="11" t="n">
        <v>-0.03241231269079325</v>
      </c>
      <c r="I100" s="63" t="n">
        <v>0.75</v>
      </c>
      <c r="J100" s="63" t="n">
        <v>0.45</v>
      </c>
      <c r="K100" s="64" t="n">
        <v>2.205888894744637</v>
      </c>
      <c r="L100" s="65" t="n">
        <v>-0.1754626374720161</v>
      </c>
      <c r="M100" s="66" t="n">
        <v>-340.6634799835885</v>
      </c>
      <c r="N100" s="66" t="n">
        <v>-2076.785059331724</v>
      </c>
      <c r="O100" s="19" t="inlineStr">
        <is>
          <t>SYY</t>
        </is>
      </c>
      <c r="P100" s="19" t="inlineStr">
        <is>
          <t>USFD</t>
        </is>
      </c>
      <c r="Q100" s="19" t="inlineStr">
        <is>
          <t>PFGC</t>
        </is>
      </c>
      <c r="R100" s="19" t="inlineStr">
        <is>
          <t>CHEF</t>
        </is>
      </c>
      <c r="W100" s="6" t="inlineStr"/>
    </row>
    <row r="101">
      <c r="A101" s="61">
        <f>ROW()-8</f>
        <v>93.0</v>
      </c>
      <c r="B101" s="6" t="inlineStr">
        <is>
          <t>受監管電力公用</t>
        </is>
      </c>
      <c r="C101" s="9" t="inlineStr">
        <is>
          <t>Regulated Electric Utilities</t>
        </is>
      </c>
      <c r="D101" s="9" t="inlineStr">
        <is>
          <t>公用事業 Utilities</t>
        </is>
      </c>
      <c r="E101" s="62" t="n">
        <v>16.36363636363636</v>
      </c>
      <c r="F101" s="62" t="n">
        <v>72.72727272727273</v>
      </c>
      <c r="G101" s="11" t="n">
        <v>0.0002469206015659031</v>
      </c>
      <c r="H101" s="11" t="n">
        <v>-0.02960060113654306</v>
      </c>
      <c r="I101" s="63" t="n">
        <v>0.8</v>
      </c>
      <c r="J101" s="63" t="n">
        <v>0.28</v>
      </c>
      <c r="K101" s="64" t="n">
        <v>1.331407410130431</v>
      </c>
      <c r="L101" s="65" t="n">
        <v>0.2000898687599058</v>
      </c>
      <c r="M101" s="66" t="n">
        <v>-909.495232763484</v>
      </c>
      <c r="N101" s="66" t="n">
        <v>-7033.244836742276</v>
      </c>
      <c r="O101" s="19" t="inlineStr">
        <is>
          <t>DUK</t>
        </is>
      </c>
      <c r="P101" s="19" t="inlineStr">
        <is>
          <t>SO</t>
        </is>
      </c>
      <c r="Q101" s="19" t="inlineStr">
        <is>
          <t>AEP</t>
        </is>
      </c>
      <c r="R101" s="19" t="inlineStr">
        <is>
          <t>D</t>
        </is>
      </c>
      <c r="S101" s="19" t="inlineStr">
        <is>
          <t>XEL</t>
        </is>
      </c>
      <c r="W101" s="6" t="inlineStr"/>
    </row>
    <row r="102">
      <c r="A102" s="61">
        <f>ROW()-8</f>
        <v>94.0</v>
      </c>
      <c r="B102" s="6" t="inlineStr">
        <is>
          <t>GLP-1減重與代謝</t>
        </is>
      </c>
      <c r="C102" s="9" t="inlineStr">
        <is>
          <t>GLP-1 &amp; Metabolic</t>
        </is>
      </c>
      <c r="D102" s="9" t="inlineStr">
        <is>
          <t>醫療保健 Health Care</t>
        </is>
      </c>
      <c r="E102" s="62" t="n">
        <v>15.45454545454545</v>
      </c>
      <c r="F102" s="62" t="n">
        <v>40.90909090909091</v>
      </c>
      <c r="G102" s="11" t="n">
        <v>-0.00725918347712376</v>
      </c>
      <c r="H102" s="11" t="n">
        <v>-0.04601777429242582</v>
      </c>
      <c r="I102" s="63" t="n">
        <v>0.5</v>
      </c>
      <c r="J102" s="63" t="n">
        <v>0.35</v>
      </c>
      <c r="K102" s="64" t="n">
        <v>1.061973863634301</v>
      </c>
      <c r="L102" s="65" t="n">
        <v>0.02468043590040469</v>
      </c>
      <c r="M102" s="66" t="n">
        <v>-1064.416677713794</v>
      </c>
      <c r="N102" s="66" t="n">
        <v>-6946.028236440703</v>
      </c>
      <c r="O102" s="19" t="inlineStr">
        <is>
          <t>LLY</t>
        </is>
      </c>
      <c r="P102" s="19" t="inlineStr">
        <is>
          <t>NVO</t>
        </is>
      </c>
      <c r="Q102" s="19" t="inlineStr">
        <is>
          <t>VKTX</t>
        </is>
      </c>
      <c r="R102" s="19" t="inlineStr">
        <is>
          <t>ALT</t>
        </is>
      </c>
      <c r="W102" s="6" t="inlineStr"/>
    </row>
    <row r="103">
      <c r="A103" s="61">
        <f>ROW()-8</f>
        <v>95.0</v>
      </c>
      <c r="B103" s="6" t="inlineStr">
        <is>
          <t>住宅公寓REIT</t>
        </is>
      </c>
      <c r="C103" s="9" t="inlineStr">
        <is>
          <t>Residential &amp; Apartment REITs</t>
        </is>
      </c>
      <c r="D103" s="9" t="inlineStr">
        <is>
          <t>房地產 Real Estate</t>
        </is>
      </c>
      <c r="E103" s="62" t="n">
        <v>14.54545454545454</v>
      </c>
      <c r="F103" s="62" t="n">
        <v>17.27272727272727</v>
      </c>
      <c r="G103" s="11" t="n">
        <v>-0.01465071391445431</v>
      </c>
      <c r="H103" s="11" t="n">
        <v>-0.03495204854130529</v>
      </c>
      <c r="I103" s="63" t="n">
        <v>0</v>
      </c>
      <c r="J103" s="63" t="n">
        <v>0.3333333333333333</v>
      </c>
      <c r="K103" s="64" t="n">
        <v>1.756829205584532</v>
      </c>
      <c r="L103" s="65" t="n">
        <v>0.2738295086960117</v>
      </c>
      <c r="M103" s="66" t="n">
        <v>-252.806690412939</v>
      </c>
      <c r="N103" s="66" t="n">
        <v>-840.6223961061542</v>
      </c>
      <c r="O103" s="19" t="inlineStr">
        <is>
          <t>MAA</t>
        </is>
      </c>
      <c r="P103" s="19" t="inlineStr">
        <is>
          <t>INVH</t>
        </is>
      </c>
      <c r="Q103" s="19" t="inlineStr">
        <is>
          <t>AMH</t>
        </is>
      </c>
      <c r="W103" s="6" t="inlineStr"/>
    </row>
    <row r="104">
      <c r="A104" s="61">
        <f>ROW()-8</f>
        <v>96.0</v>
      </c>
      <c r="B104" s="6" t="inlineStr">
        <is>
          <t>IPP與電力交易商</t>
        </is>
      </c>
      <c r="C104" s="9" t="inlineStr">
        <is>
          <t>IPPs &amp; Power Traders</t>
        </is>
      </c>
      <c r="D104" s="9" t="inlineStr">
        <is>
          <t>公用事業 Utilities</t>
        </is>
      </c>
      <c r="E104" s="62" t="n">
        <v>13.63636363636363</v>
      </c>
      <c r="F104" s="62" t="n">
        <v>74.54545454545455</v>
      </c>
      <c r="G104" s="11" t="n">
        <v>0.00574759384654272</v>
      </c>
      <c r="H104" s="11" t="n">
        <v>-0.08931323580536532</v>
      </c>
      <c r="I104" s="63" t="n">
        <v>0.75</v>
      </c>
      <c r="J104" s="63" t="n">
        <v>0.3</v>
      </c>
      <c r="K104" s="64" t="n">
        <v>1.021883770047663</v>
      </c>
      <c r="L104" s="65" t="n">
        <v>0.4234929370759483</v>
      </c>
      <c r="M104" s="66" t="n">
        <v>-286.7587069912286</v>
      </c>
      <c r="N104" s="66" t="n">
        <v>-5528.069881265299</v>
      </c>
      <c r="O104" s="19" t="inlineStr">
        <is>
          <t>CEG</t>
        </is>
      </c>
      <c r="P104" s="19" t="inlineStr">
        <is>
          <t>VST</t>
        </is>
      </c>
      <c r="Q104" s="19" t="inlineStr">
        <is>
          <t>NRG</t>
        </is>
      </c>
      <c r="R104" s="19" t="inlineStr">
        <is>
          <t>TLN</t>
        </is>
      </c>
      <c r="W104" s="6" t="inlineStr"/>
    </row>
    <row r="105">
      <c r="A105" s="67">
        <f>ROW()-8</f>
        <v>97.0</v>
      </c>
      <c r="B105" s="38" t="inlineStr">
        <is>
          <t>再生能源與太陽能</t>
        </is>
      </c>
      <c r="C105" s="68" t="inlineStr">
        <is>
          <t>Renewables &amp; Solar</t>
        </is>
      </c>
      <c r="D105" s="68" t="inlineStr">
        <is>
          <t>公用事業 Utilities</t>
        </is>
      </c>
      <c r="E105" s="69" t="n">
        <v>12.72727272727273</v>
      </c>
      <c r="F105" s="69" t="n">
        <v>10</v>
      </c>
      <c r="G105" s="42" t="n">
        <v>-0.02669146544435608</v>
      </c>
      <c r="H105" s="42" t="n">
        <v>-0.04589176073470269</v>
      </c>
      <c r="I105" s="70" t="n">
        <v>0</v>
      </c>
      <c r="J105" s="70" t="n">
        <v>0.32</v>
      </c>
      <c r="K105" s="71" t="n">
        <v>1.344794069117841</v>
      </c>
      <c r="L105" s="72" t="n">
        <v>-0.4815201793988505</v>
      </c>
      <c r="M105" s="73" t="n">
        <v>-1110.648604125347</v>
      </c>
      <c r="N105" s="73" t="n">
        <v>-4215.82894924324</v>
      </c>
      <c r="O105" s="39" t="inlineStr">
        <is>
          <t>NEE</t>
        </is>
      </c>
      <c r="P105" s="39" t="inlineStr">
        <is>
          <t>FSLR</t>
        </is>
      </c>
      <c r="Q105" s="39" t="inlineStr">
        <is>
          <t>ENPH</t>
        </is>
      </c>
      <c r="R105" s="39" t="inlineStr">
        <is>
          <t>RUN</t>
        </is>
      </c>
      <c r="S105" s="39" t="inlineStr">
        <is>
          <t>NXT</t>
        </is>
      </c>
      <c r="T105" s="74" t="n"/>
      <c r="U105" s="74" t="n"/>
      <c r="V105" s="74" t="n"/>
      <c r="W105" s="40" t="inlineStr">
        <is>
          <t>✕ 迴避</t>
        </is>
      </c>
    </row>
    <row r="106">
      <c r="A106" s="61">
        <f>ROW()-8</f>
        <v>98.0</v>
      </c>
      <c r="B106" s="6" t="inlineStr">
        <is>
          <t>零售與購物中心REIT</t>
        </is>
      </c>
      <c r="C106" s="9" t="inlineStr">
        <is>
          <t>Retail REITs</t>
        </is>
      </c>
      <c r="D106" s="9" t="inlineStr">
        <is>
          <t>房地產 Real Estate</t>
        </is>
      </c>
      <c r="E106" s="62" t="n">
        <v>11.81818181818182</v>
      </c>
      <c r="F106" s="62" t="n">
        <v>16.36363636363636</v>
      </c>
      <c r="G106" s="11" t="n">
        <v>-0.01471516943084721</v>
      </c>
      <c r="H106" s="11" t="n">
        <v>-0.03005989263595044</v>
      </c>
      <c r="I106" s="63" t="n">
        <v>0</v>
      </c>
      <c r="J106" s="63" t="n">
        <v>0.36</v>
      </c>
      <c r="K106" s="64" t="n">
        <v>1.73359091161239</v>
      </c>
      <c r="L106" s="65" t="n">
        <v>-0.1403413879627556</v>
      </c>
      <c r="M106" s="66" t="n">
        <v>-628.2079647875095</v>
      </c>
      <c r="N106" s="66" t="n">
        <v>-2747.721741389784</v>
      </c>
      <c r="O106" s="19" t="inlineStr">
        <is>
          <t>SPG</t>
        </is>
      </c>
      <c r="P106" s="19" t="inlineStr">
        <is>
          <t>O</t>
        </is>
      </c>
      <c r="Q106" s="19" t="inlineStr">
        <is>
          <t>KIM</t>
        </is>
      </c>
      <c r="R106" s="19" t="inlineStr">
        <is>
          <t>REG</t>
        </is>
      </c>
      <c r="S106" s="19" t="inlineStr">
        <is>
          <t>FRT</t>
        </is>
      </c>
      <c r="W106" s="6" t="inlineStr"/>
    </row>
    <row r="107">
      <c r="A107" s="61">
        <f>ROW()-8</f>
        <v>99.0</v>
      </c>
      <c r="B107" s="6" t="inlineStr">
        <is>
          <t>記憶體/HBM</t>
        </is>
      </c>
      <c r="C107" s="9" t="inlineStr">
        <is>
          <t>Memory &amp; HBM</t>
        </is>
      </c>
      <c r="D107" s="9" t="inlineStr">
        <is>
          <t>資訊科技 Information Technology</t>
        </is>
      </c>
      <c r="E107" s="62" t="n">
        <v>10.90909090909091</v>
      </c>
      <c r="F107" s="62" t="n">
        <v>68.18181818181817</v>
      </c>
      <c r="G107" s="11" t="n">
        <v>0.004656178968243802</v>
      </c>
      <c r="H107" s="11" t="n">
        <v>-0.1218751410992572</v>
      </c>
      <c r="I107" s="63" t="n">
        <v>0.75</v>
      </c>
      <c r="J107" s="63" t="n">
        <v>0.2</v>
      </c>
      <c r="K107" s="64" t="n">
        <v>0.7841569502151337</v>
      </c>
      <c r="L107" s="65" t="n">
        <v>0.4887238340458825</v>
      </c>
      <c r="M107" s="66" t="n">
        <v>-11823.08107563208</v>
      </c>
      <c r="N107" s="66" t="n">
        <v>-57434.16905695888</v>
      </c>
      <c r="O107" s="19" t="inlineStr">
        <is>
          <t>MU</t>
        </is>
      </c>
      <c r="P107" s="19" t="inlineStr">
        <is>
          <t>WDC</t>
        </is>
      </c>
      <c r="Q107" s="19" t="inlineStr">
        <is>
          <t>SNDK</t>
        </is>
      </c>
      <c r="R107" s="19" t="inlineStr">
        <is>
          <t>STX</t>
        </is>
      </c>
      <c r="W107" s="6" t="inlineStr"/>
    </row>
    <row r="108">
      <c r="A108" s="61">
        <f>ROW()-8</f>
        <v>100.0</v>
      </c>
      <c r="B108" s="6" t="inlineStr">
        <is>
          <t>另類資產與私募信貸</t>
        </is>
      </c>
      <c r="C108" s="9" t="inlineStr">
        <is>
          <t>Alternatives &amp; Private Credit</t>
        </is>
      </c>
      <c r="D108" s="9" t="inlineStr">
        <is>
          <t>金融 Financials</t>
        </is>
      </c>
      <c r="E108" s="62" t="n">
        <v>10</v>
      </c>
      <c r="F108" s="62" t="n">
        <v>13.63636363636363</v>
      </c>
      <c r="G108" s="11" t="n">
        <v>-0.0252592699207713</v>
      </c>
      <c r="H108" s="11" t="n">
        <v>-0.06120114648570185</v>
      </c>
      <c r="I108" s="63" t="n">
        <v>0</v>
      </c>
      <c r="J108" s="63" t="n">
        <v>0.2</v>
      </c>
      <c r="K108" s="64" t="n">
        <v>1.058490654026809</v>
      </c>
      <c r="L108" s="65" t="n">
        <v>-0.02261379635749979</v>
      </c>
      <c r="M108" s="66" t="n">
        <v>-480.8988613967585</v>
      </c>
      <c r="N108" s="66" t="n">
        <v>-2871.319047095287</v>
      </c>
      <c r="O108" s="19" t="inlineStr">
        <is>
          <t>BX</t>
        </is>
      </c>
      <c r="P108" s="19" t="inlineStr">
        <is>
          <t>KKR</t>
        </is>
      </c>
      <c r="Q108" s="19" t="inlineStr">
        <is>
          <t>APO</t>
        </is>
      </c>
      <c r="R108" s="19" t="inlineStr">
        <is>
          <t>ARES</t>
        </is>
      </c>
      <c r="S108" s="19" t="inlineStr">
        <is>
          <t>OWL</t>
        </is>
      </c>
      <c r="W108" s="6" t="inlineStr"/>
    </row>
    <row r="109">
      <c r="A109" s="67">
        <f>ROW()-8</f>
        <v>101.0</v>
      </c>
      <c r="B109" s="38" t="inlineStr">
        <is>
          <t>油田服務</t>
        </is>
      </c>
      <c r="C109" s="68" t="inlineStr">
        <is>
          <t>Oilfield Services</t>
        </is>
      </c>
      <c r="D109" s="68" t="inlineStr">
        <is>
          <t>能源 Energy</t>
        </is>
      </c>
      <c r="E109" s="69" t="n">
        <v>9.090909090909092</v>
      </c>
      <c r="F109" s="69" t="n">
        <v>10.90909090909091</v>
      </c>
      <c r="G109" s="42" t="n">
        <v>-0.02770368686654942</v>
      </c>
      <c r="H109" s="42" t="n">
        <v>-0.09601159387579683</v>
      </c>
      <c r="I109" s="70" t="n">
        <v>0</v>
      </c>
      <c r="J109" s="70" t="n">
        <v>0.2</v>
      </c>
      <c r="K109" s="71" t="n">
        <v>1.837349039126675</v>
      </c>
      <c r="L109" s="72" t="n">
        <v>0.2752472871782147</v>
      </c>
      <c r="M109" s="73" t="n">
        <v>-749.3743505946595</v>
      </c>
      <c r="N109" s="73" t="n">
        <v>-2294.906914949061</v>
      </c>
      <c r="O109" s="39" t="inlineStr">
        <is>
          <t>SLB</t>
        </is>
      </c>
      <c r="P109" s="39" t="inlineStr">
        <is>
          <t>HAL</t>
        </is>
      </c>
      <c r="Q109" s="39" t="inlineStr">
        <is>
          <t>BKR</t>
        </is>
      </c>
      <c r="R109" s="39" t="inlineStr">
        <is>
          <t>WFRD</t>
        </is>
      </c>
      <c r="S109" s="74" t="n"/>
      <c r="T109" s="74" t="n"/>
      <c r="U109" s="74" t="n"/>
      <c r="V109" s="74" t="n"/>
      <c r="W109" s="40" t="inlineStr">
        <is>
          <t>✕ 迴避</t>
        </is>
      </c>
    </row>
    <row r="110">
      <c r="A110" s="61">
        <f>ROW()-8</f>
        <v>102.0</v>
      </c>
      <c r="B110" s="6" t="inlineStr">
        <is>
          <t>鋁業</t>
        </is>
      </c>
      <c r="C110" s="9" t="inlineStr">
        <is>
          <t>Aluminum</t>
        </is>
      </c>
      <c r="D110" s="9" t="inlineStr">
        <is>
          <t>原材料 Materials</t>
        </is>
      </c>
      <c r="E110" s="62" t="n">
        <v>8.181818181818182</v>
      </c>
      <c r="F110" s="62" t="n">
        <v>70.90909090909091</v>
      </c>
      <c r="G110" s="11" t="n">
        <v>0.004249107781003329</v>
      </c>
      <c r="H110" s="11" t="n">
        <v>-0.1148280302968937</v>
      </c>
      <c r="I110" s="63" t="n">
        <v>0.6666666666666666</v>
      </c>
      <c r="J110" s="63" t="n">
        <v>0.2</v>
      </c>
      <c r="K110" s="64" t="n">
        <v>0.9985254216153256</v>
      </c>
      <c r="L110" s="65" t="n">
        <v>0.5208482371658527</v>
      </c>
      <c r="M110" s="66" t="n">
        <v>-104.774793278749</v>
      </c>
      <c r="N110" s="66" t="n">
        <v>-646.0349669375688</v>
      </c>
      <c r="O110" s="19" t="inlineStr">
        <is>
          <t>AA</t>
        </is>
      </c>
      <c r="P110" s="19" t="inlineStr">
        <is>
          <t>CENX</t>
        </is>
      </c>
      <c r="Q110" s="19" t="inlineStr">
        <is>
          <t>KALU</t>
        </is>
      </c>
      <c r="W110" s="6" t="inlineStr"/>
    </row>
    <row r="111">
      <c r="A111" s="61">
        <f>ROW()-8</f>
        <v>103.0</v>
      </c>
      <c r="B111" s="6" t="inlineStr">
        <is>
          <t>家居耐用與休閒用品</t>
        </is>
      </c>
      <c r="C111" s="9" t="inlineStr">
        <is>
          <t>Household Durables &amp; Leisure Products</t>
        </is>
      </c>
      <c r="D111" s="9" t="inlineStr">
        <is>
          <t>非必需消費 Consumer Discretionary</t>
        </is>
      </c>
      <c r="E111" s="62" t="n">
        <v>7.272727272727272</v>
      </c>
      <c r="F111" s="62" t="n">
        <v>39.09090909090909</v>
      </c>
      <c r="G111" s="11" t="n">
        <v>-0.009654815558675728</v>
      </c>
      <c r="H111" s="11" t="n">
        <v>-0.05651061818579128</v>
      </c>
      <c r="I111" s="63" t="n">
        <v>0.25</v>
      </c>
      <c r="J111" s="63" t="n">
        <v>0.25</v>
      </c>
      <c r="K111" s="64" t="n">
        <v>1.416662438585777</v>
      </c>
      <c r="L111" s="65" t="n">
        <v>0.01883440594074449</v>
      </c>
      <c r="M111" s="66" t="n">
        <v>-270.2641880500501</v>
      </c>
      <c r="N111" s="66" t="n">
        <v>-790.96564627053</v>
      </c>
      <c r="O111" s="19" t="inlineStr">
        <is>
          <t>WHR</t>
        </is>
      </c>
      <c r="P111" s="19" t="inlineStr">
        <is>
          <t>MHK</t>
        </is>
      </c>
      <c r="Q111" s="19" t="inlineStr">
        <is>
          <t>POOL</t>
        </is>
      </c>
      <c r="R111" s="19" t="inlineStr">
        <is>
          <t>BC</t>
        </is>
      </c>
      <c r="W111" s="6" t="inlineStr"/>
    </row>
    <row r="112">
      <c r="A112" s="67">
        <f>ROW()-8</f>
        <v>104.0</v>
      </c>
      <c r="B112" s="38" t="inlineStr">
        <is>
          <t>數位資產金融與礦業轉HPC</t>
        </is>
      </c>
      <c r="C112" s="68" t="inlineStr">
        <is>
          <t>Digital Assets, Crypto Financials &amp; BTC Miners→HPC</t>
        </is>
      </c>
      <c r="D112" s="68" t="inlineStr">
        <is>
          <t>金融 Financials</t>
        </is>
      </c>
      <c r="E112" s="69" t="n">
        <v>6.363636363636363</v>
      </c>
      <c r="F112" s="69" t="n">
        <v>8.181818181818182</v>
      </c>
      <c r="G112" s="42" t="n">
        <v>-0.02105433971964219</v>
      </c>
      <c r="H112" s="42" t="n">
        <v>-0.08102027485263708</v>
      </c>
      <c r="I112" s="70" t="n">
        <v>0.3333333333333333</v>
      </c>
      <c r="J112" s="70" t="n">
        <v>0.2666666666666667</v>
      </c>
      <c r="K112" s="71" t="n">
        <v>1.629205148414091</v>
      </c>
      <c r="L112" s="72" t="n">
        <v>-0.208153828957185</v>
      </c>
      <c r="M112" s="73" t="n">
        <v>-3743.040723551246</v>
      </c>
      <c r="N112" s="73" t="n">
        <v>-8124.230113005249</v>
      </c>
      <c r="O112" s="39" t="inlineStr">
        <is>
          <t>COIN</t>
        </is>
      </c>
      <c r="P112" s="39" t="inlineStr">
        <is>
          <t>HOOD</t>
        </is>
      </c>
      <c r="Q112" s="39" t="inlineStr">
        <is>
          <t>CRCL</t>
        </is>
      </c>
      <c r="R112" s="39" t="inlineStr">
        <is>
          <t>MARA</t>
        </is>
      </c>
      <c r="S112" s="39" t="inlineStr">
        <is>
          <t>RIOT</t>
        </is>
      </c>
      <c r="T112" s="39" t="inlineStr">
        <is>
          <t>IREN</t>
        </is>
      </c>
      <c r="U112" s="74" t="n"/>
      <c r="V112" s="74" t="n"/>
      <c r="W112" s="40" t="inlineStr">
        <is>
          <t>✕ 迴避</t>
        </is>
      </c>
    </row>
    <row r="113">
      <c r="A113" s="61">
        <f>ROW()-8</f>
        <v>105.0</v>
      </c>
      <c r="B113" s="6" t="inlineStr">
        <is>
          <t>煤炭</t>
        </is>
      </c>
      <c r="C113" s="9" t="inlineStr">
        <is>
          <t>Coal</t>
        </is>
      </c>
      <c r="D113" s="9" t="inlineStr">
        <is>
          <t>能源 Energy</t>
        </is>
      </c>
      <c r="E113" s="62" t="n">
        <v>5.454545454545454</v>
      </c>
      <c r="F113" s="62" t="n">
        <v>84.54545454545455</v>
      </c>
      <c r="G113" s="11" t="n">
        <v>0.004697270121049058</v>
      </c>
      <c r="H113" s="11" t="n">
        <v>-0.1195041678585502</v>
      </c>
      <c r="I113" s="63" t="n">
        <v>0.6</v>
      </c>
      <c r="J113" s="63" t="n">
        <v>0.12</v>
      </c>
      <c r="K113" s="64" t="n">
        <v>1.156172507451684</v>
      </c>
      <c r="L113" s="65" t="n">
        <v>0.3394163956398477</v>
      </c>
      <c r="M113" s="66" t="n">
        <v>-115.2638245493528</v>
      </c>
      <c r="N113" s="66" t="n">
        <v>-528.9257144250926</v>
      </c>
      <c r="O113" s="19" t="inlineStr">
        <is>
          <t>BTU</t>
        </is>
      </c>
      <c r="P113" s="19" t="inlineStr">
        <is>
          <t>AMR</t>
        </is>
      </c>
      <c r="Q113" s="19" t="inlineStr">
        <is>
          <t>HCC</t>
        </is>
      </c>
      <c r="R113" s="19" t="inlineStr">
        <is>
          <t>CNR</t>
        </is>
      </c>
      <c r="S113" s="19" t="inlineStr">
        <is>
          <t>METC</t>
        </is>
      </c>
      <c r="W113" s="6" t="inlineStr"/>
    </row>
    <row r="114">
      <c r="A114" s="61">
        <f>ROW()-8</f>
        <v>106.0</v>
      </c>
      <c r="B114" s="6" t="inlineStr">
        <is>
          <t>白銀礦</t>
        </is>
      </c>
      <c r="C114" s="9" t="inlineStr">
        <is>
          <t>Silver Miners</t>
        </is>
      </c>
      <c r="D114" s="9" t="inlineStr">
        <is>
          <t>原材料 Materials</t>
        </is>
      </c>
      <c r="E114" s="62" t="n">
        <v>4.545454545454546</v>
      </c>
      <c r="F114" s="62" t="n">
        <v>6.363636363636363</v>
      </c>
      <c r="G114" s="11" t="n">
        <v>-0.02951006569377443</v>
      </c>
      <c r="H114" s="11" t="n">
        <v>-0.1171999787633475</v>
      </c>
      <c r="I114" s="63" t="n">
        <v>0</v>
      </c>
      <c r="J114" s="63" t="n">
        <v>0.15</v>
      </c>
      <c r="K114" s="64" t="n">
        <v>1.147755632559872</v>
      </c>
      <c r="L114" s="65" t="n">
        <v>0.0811962042603166</v>
      </c>
      <c r="M114" s="66" t="n">
        <v>-837.3380623158224</v>
      </c>
      <c r="N114" s="66" t="n">
        <v>-1412.03818158714</v>
      </c>
      <c r="O114" s="19" t="inlineStr">
        <is>
          <t>PAAS</t>
        </is>
      </c>
      <c r="P114" s="19" t="inlineStr">
        <is>
          <t>HL</t>
        </is>
      </c>
      <c r="Q114" s="19" t="inlineStr">
        <is>
          <t>AG</t>
        </is>
      </c>
      <c r="R114" s="19" t="inlineStr">
        <is>
          <t>CDE</t>
        </is>
      </c>
      <c r="W114" s="6" t="inlineStr"/>
    </row>
    <row r="115">
      <c r="A115" s="67">
        <f>ROW()-8</f>
        <v>107.0</v>
      </c>
      <c r="B115" s="38" t="inlineStr">
        <is>
          <t>投行與資本巿場</t>
        </is>
      </c>
      <c r="C115" s="68" t="inlineStr">
        <is>
          <t>Investment Banks &amp; Capital Markets</t>
        </is>
      </c>
      <c r="D115" s="68" t="inlineStr">
        <is>
          <t>金融 Financials</t>
        </is>
      </c>
      <c r="E115" s="69" t="n">
        <v>3.636363636363636</v>
      </c>
      <c r="F115" s="69" t="n">
        <v>3.636363636363636</v>
      </c>
      <c r="G115" s="42" t="n">
        <v>-0.03482447543323637</v>
      </c>
      <c r="H115" s="42" t="n">
        <v>-0.1051111949893337</v>
      </c>
      <c r="I115" s="70" t="n">
        <v>0</v>
      </c>
      <c r="J115" s="70" t="n">
        <v>0.12</v>
      </c>
      <c r="K115" s="71" t="n">
        <v>1.912319612114992</v>
      </c>
      <c r="L115" s="72" t="n">
        <v>-0.2464401204987494</v>
      </c>
      <c r="M115" s="73" t="n">
        <v>-3571.67453402825</v>
      </c>
      <c r="N115" s="73" t="n">
        <v>-5021.353866719292</v>
      </c>
      <c r="O115" s="39" t="inlineStr">
        <is>
          <t>GS</t>
        </is>
      </c>
      <c r="P115" s="39" t="inlineStr">
        <is>
          <t>MS</t>
        </is>
      </c>
      <c r="Q115" s="39" t="inlineStr">
        <is>
          <t>EVR</t>
        </is>
      </c>
      <c r="R115" s="39" t="inlineStr">
        <is>
          <t>LAZ</t>
        </is>
      </c>
      <c r="S115" s="39" t="inlineStr">
        <is>
          <t>JEF</t>
        </is>
      </c>
      <c r="T115" s="74" t="n"/>
      <c r="U115" s="74" t="n"/>
      <c r="V115" s="74" t="n"/>
      <c r="W115" s="40" t="inlineStr">
        <is>
          <t>✕ 迴避</t>
        </is>
      </c>
    </row>
    <row r="116">
      <c r="A116" s="67">
        <f>ROW()-8</f>
        <v>108.0</v>
      </c>
      <c r="B116" s="38" t="inlineStr">
        <is>
          <t>小型模組化核能SMR</t>
        </is>
      </c>
      <c r="C116" s="68" t="inlineStr">
        <is>
          <t>Small Modular Reactors</t>
        </is>
      </c>
      <c r="D116" s="68" t="inlineStr">
        <is>
          <t>公用事業 Utilities</t>
        </is>
      </c>
      <c r="E116" s="69" t="n">
        <v>2.727272727272727</v>
      </c>
      <c r="F116" s="69" t="n">
        <v>45.45454545454545</v>
      </c>
      <c r="G116" s="42" t="n">
        <v>-0.009365805132885568</v>
      </c>
      <c r="H116" s="42" t="n">
        <v>-0.1773847684564628</v>
      </c>
      <c r="I116" s="70" t="n">
        <v>0.25</v>
      </c>
      <c r="J116" s="70" t="n">
        <v>0.1</v>
      </c>
      <c r="K116" s="71" t="n">
        <v>1.163572964998719</v>
      </c>
      <c r="L116" s="72" t="n">
        <v>0.6378055101661795</v>
      </c>
      <c r="M116" s="73" t="n">
        <v>-59.16702571191225</v>
      </c>
      <c r="N116" s="73" t="n">
        <v>-2060.801371546432</v>
      </c>
      <c r="O116" s="39" t="inlineStr">
        <is>
          <t>OKLO</t>
        </is>
      </c>
      <c r="P116" s="39" t="inlineStr">
        <is>
          <t>SMR</t>
        </is>
      </c>
      <c r="Q116" s="39" t="inlineStr">
        <is>
          <t>NNE</t>
        </is>
      </c>
      <c r="R116" s="39" t="inlineStr">
        <is>
          <t>ASPI</t>
        </is>
      </c>
      <c r="S116" s="74" t="n"/>
      <c r="T116" s="74" t="n"/>
      <c r="U116" s="74" t="n"/>
      <c r="V116" s="74" t="n"/>
      <c r="W116" s="40" t="inlineStr">
        <is>
          <t>✕ 迴避：5 日 −17.74%</t>
        </is>
      </c>
    </row>
    <row r="117">
      <c r="A117" s="67">
        <f>ROW()-8</f>
        <v>109.0</v>
      </c>
      <c r="B117" s="38" t="inlineStr">
        <is>
          <t>稀土與關鍵礦產</t>
        </is>
      </c>
      <c r="C117" s="68" t="inlineStr">
        <is>
          <t>Rare Earths &amp; Critical Minerals</t>
        </is>
      </c>
      <c r="D117" s="68" t="inlineStr">
        <is>
          <t>原材料 Materials</t>
        </is>
      </c>
      <c r="E117" s="69" t="n">
        <v>1.818181818181818</v>
      </c>
      <c r="F117" s="69" t="n">
        <v>40</v>
      </c>
      <c r="G117" s="42" t="n">
        <v>-0.02002807458410231</v>
      </c>
      <c r="H117" s="42" t="n">
        <v>-0.139617142775145</v>
      </c>
      <c r="I117" s="70" t="n">
        <v>0.1666666666666667</v>
      </c>
      <c r="J117" s="70" t="n">
        <v>0.1666666666666667</v>
      </c>
      <c r="K117" s="71" t="n">
        <v>0.9888084175617778</v>
      </c>
      <c r="L117" s="72" t="n">
        <v>0.4110380749659336</v>
      </c>
      <c r="M117" s="73" t="n">
        <v>-99.95447447369554</v>
      </c>
      <c r="N117" s="73" t="n">
        <v>-1596.107396200005</v>
      </c>
      <c r="O117" s="39" t="inlineStr">
        <is>
          <t>MP</t>
        </is>
      </c>
      <c r="P117" s="39" t="inlineStr">
        <is>
          <t>USAR</t>
        </is>
      </c>
      <c r="Q117" s="39" t="inlineStr">
        <is>
          <t>UUUU</t>
        </is>
      </c>
      <c r="R117" s="39" t="inlineStr">
        <is>
          <t>TMC</t>
        </is>
      </c>
      <c r="S117" s="39" t="inlineStr">
        <is>
          <t>ALOY</t>
        </is>
      </c>
      <c r="T117" s="39" t="inlineStr">
        <is>
          <t>NB</t>
        </is>
      </c>
      <c r="U117" s="74" t="n"/>
      <c r="V117" s="74" t="n"/>
      <c r="W117" s="40" t="inlineStr">
        <is>
          <t>✕ 迴避</t>
        </is>
      </c>
    </row>
    <row r="118">
      <c r="A118" s="61">
        <f>ROW()-8</f>
        <v>110.0</v>
      </c>
      <c r="B118" s="6" t="inlineStr">
        <is>
          <t>臨床期中小型生技</t>
        </is>
      </c>
      <c r="C118" s="9" t="inlineStr">
        <is>
          <t>Clinical-stage SMID Biotech</t>
        </is>
      </c>
      <c r="D118" s="9" t="inlineStr">
        <is>
          <t>醫療保健 Health Care</t>
        </is>
      </c>
      <c r="E118" s="62" t="n">
        <v>0.9090909090909091</v>
      </c>
      <c r="F118" s="62" t="n">
        <v>20</v>
      </c>
      <c r="G118" s="11" t="n">
        <v>-0.02812860504303963</v>
      </c>
      <c r="H118" s="11" t="n">
        <v>-0.1024105665525313</v>
      </c>
      <c r="I118" s="63" t="n">
        <v>0.2857142857142857</v>
      </c>
      <c r="J118" s="63" t="n">
        <v>0.2571428571428571</v>
      </c>
      <c r="K118" s="64" t="n">
        <v>2.482372852292603</v>
      </c>
      <c r="L118" s="65" t="n">
        <v>-0.2354133855050133</v>
      </c>
      <c r="M118" s="66" t="n">
        <v>-223.0625239914133</v>
      </c>
      <c r="N118" s="66" t="n">
        <v>-947.1783697610277</v>
      </c>
      <c r="O118" s="19" t="inlineStr">
        <is>
          <t>DNLI</t>
        </is>
      </c>
      <c r="P118" s="19" t="inlineStr">
        <is>
          <t>ALEC</t>
        </is>
      </c>
      <c r="Q118" s="19" t="inlineStr">
        <is>
          <t>SANA</t>
        </is>
      </c>
      <c r="R118" s="19" t="inlineStr">
        <is>
          <t>VKTX</t>
        </is>
      </c>
      <c r="S118" s="19" t="inlineStr">
        <is>
          <t>MDGL</t>
        </is>
      </c>
      <c r="T118" s="19" t="inlineStr">
        <is>
          <t>IONS</t>
        </is>
      </c>
      <c r="U118" s="19" t="inlineStr">
        <is>
          <t>DTIL</t>
        </is>
      </c>
      <c r="W118" s="6" t="inlineStr"/>
    </row>
    <row r="119">
      <c r="A119" s="67">
        <f>ROW()-8</f>
        <v>111.0</v>
      </c>
      <c r="B119" s="38" t="inlineStr">
        <is>
          <t>鈾與核燃料</t>
        </is>
      </c>
      <c r="C119" s="68" t="inlineStr">
        <is>
          <t>Uranium &amp; Nuclear Fuel</t>
        </is>
      </c>
      <c r="D119" s="68" t="inlineStr">
        <is>
          <t>能源 Energy</t>
        </is>
      </c>
      <c r="E119" s="69" t="n">
        <v>0</v>
      </c>
      <c r="F119" s="69" t="n">
        <v>41.81818181818181</v>
      </c>
      <c r="G119" s="42" t="n">
        <v>-0.01201040864802885</v>
      </c>
      <c r="H119" s="42" t="n">
        <v>-0.1631842558044488</v>
      </c>
      <c r="I119" s="70" t="n">
        <v>0.2</v>
      </c>
      <c r="J119" s="70" t="n">
        <v>0.04</v>
      </c>
      <c r="K119" s="71" t="n">
        <v>1.200591854288557</v>
      </c>
      <c r="L119" s="72" t="n">
        <v>0.4068140107014086</v>
      </c>
      <c r="M119" s="73" t="n">
        <v>-143.2374856556969</v>
      </c>
      <c r="N119" s="73" t="n">
        <v>-1563.688837455494</v>
      </c>
      <c r="O119" s="39" t="inlineStr">
        <is>
          <t>CCJ</t>
        </is>
      </c>
      <c r="P119" s="39" t="inlineStr">
        <is>
          <t>UEC</t>
        </is>
      </c>
      <c r="Q119" s="39" t="inlineStr">
        <is>
          <t>LEU</t>
        </is>
      </c>
      <c r="R119" s="39" t="inlineStr">
        <is>
          <t>UUUU</t>
        </is>
      </c>
      <c r="S119" s="39" t="inlineStr">
        <is>
          <t>DNN</t>
        </is>
      </c>
      <c r="T119" s="74" t="n"/>
      <c r="U119" s="74" t="n"/>
      <c r="V119" s="74" t="n"/>
      <c r="W119" s="40" t="inlineStr">
        <is>
          <t>✕ 迴避：5 日廣度 0.04</t>
        </is>
      </c>
    </row>
    <row r="121">
      <c r="B121" s="7" t="inlineStr">
        <is>
          <t>9/16 全市中位漲跌</t>
        </is>
      </c>
      <c r="G121" s="12" t="n">
        <v>-0.004868052726254568</v>
      </c>
      <c r="I121" s="2" t="inlineStr">
        <is>
          <t>市場面板檔數 1,658（平衡面板：僅計每個計分日及其前一日均有報價的股票）</t>
        </is>
      </c>
    </row>
  </sheetData>
  <mergeCells count="3">
    <mergeCell ref="I121:W121"/>
    <mergeCell ref="A2:W2"/>
    <mergeCell ref="A1:W1"/>
  </mergeCells>
  <hyperlinks>
    <hyperlink ref="O9" r:id="rId1"/>
    <hyperlink ref="P9" r:id="rId2"/>
    <hyperlink ref="Q9" r:id="rId3"/>
    <hyperlink ref="R9" r:id="rId4"/>
    <hyperlink ref="O10" r:id="rId5"/>
    <hyperlink ref="P10" r:id="rId6"/>
    <hyperlink ref="Q10" r:id="rId7"/>
    <hyperlink ref="R10" r:id="rId8"/>
    <hyperlink ref="S10" r:id="rId9"/>
    <hyperlink ref="O11" r:id="rId10"/>
    <hyperlink ref="P11" r:id="rId11"/>
    <hyperlink ref="Q11" r:id="rId12"/>
    <hyperlink ref="R11" r:id="rId13"/>
    <hyperlink ref="O12" r:id="rId14"/>
    <hyperlink ref="P12" r:id="rId15"/>
    <hyperlink ref="Q12" r:id="rId16"/>
    <hyperlink ref="R12" r:id="rId17"/>
    <hyperlink ref="O13" r:id="rId18"/>
    <hyperlink ref="P13" r:id="rId19"/>
    <hyperlink ref="Q13" r:id="rId20"/>
    <hyperlink ref="R13" r:id="rId21"/>
    <hyperlink ref="S13" r:id="rId22"/>
    <hyperlink ref="T13" r:id="rId23"/>
    <hyperlink ref="O14" r:id="rId24"/>
    <hyperlink ref="P14" r:id="rId25"/>
    <hyperlink ref="Q14" r:id="rId26"/>
    <hyperlink ref="R14" r:id="rId27"/>
    <hyperlink ref="S14" r:id="rId28"/>
    <hyperlink ref="O15" r:id="rId29"/>
    <hyperlink ref="P15" r:id="rId30"/>
    <hyperlink ref="Q15" r:id="rId31"/>
    <hyperlink ref="R15" r:id="rId32"/>
    <hyperlink ref="O16" r:id="rId33"/>
    <hyperlink ref="P16" r:id="rId34"/>
    <hyperlink ref="Q16" r:id="rId35"/>
    <hyperlink ref="R16" r:id="rId36"/>
    <hyperlink ref="O17" r:id="rId37"/>
    <hyperlink ref="P17" r:id="rId38"/>
    <hyperlink ref="O18" r:id="rId39"/>
    <hyperlink ref="P18" r:id="rId40"/>
    <hyperlink ref="Q18" r:id="rId41"/>
    <hyperlink ref="R18" r:id="rId42"/>
    <hyperlink ref="O19" r:id="rId43"/>
    <hyperlink ref="P19" r:id="rId44"/>
    <hyperlink ref="Q19" r:id="rId45"/>
    <hyperlink ref="R19" r:id="rId46"/>
    <hyperlink ref="O20" r:id="rId47"/>
    <hyperlink ref="P20" r:id="rId48"/>
    <hyperlink ref="Q20" r:id="rId49"/>
    <hyperlink ref="R20" r:id="rId50"/>
    <hyperlink ref="S20" r:id="rId51"/>
    <hyperlink ref="O21" r:id="rId52"/>
    <hyperlink ref="P21" r:id="rId53"/>
    <hyperlink ref="Q21" r:id="rId54"/>
    <hyperlink ref="R21" r:id="rId55"/>
    <hyperlink ref="S21" r:id="rId56"/>
    <hyperlink ref="O22" r:id="rId57"/>
    <hyperlink ref="P22" r:id="rId58"/>
    <hyperlink ref="Q22" r:id="rId59"/>
    <hyperlink ref="R22" r:id="rId60"/>
    <hyperlink ref="S22" r:id="rId61"/>
    <hyperlink ref="O23" r:id="rId62"/>
    <hyperlink ref="P23" r:id="rId63"/>
    <hyperlink ref="Q23" r:id="rId64"/>
    <hyperlink ref="R23" r:id="rId65"/>
    <hyperlink ref="S23" r:id="rId66"/>
    <hyperlink ref="O24" r:id="rId67"/>
    <hyperlink ref="P24" r:id="rId68"/>
    <hyperlink ref="Q24" r:id="rId69"/>
    <hyperlink ref="R24" r:id="rId70"/>
    <hyperlink ref="O25" r:id="rId71"/>
    <hyperlink ref="P25" r:id="rId72"/>
    <hyperlink ref="Q25" r:id="rId73"/>
    <hyperlink ref="R25" r:id="rId74"/>
    <hyperlink ref="S25" r:id="rId75"/>
    <hyperlink ref="O26" r:id="rId76"/>
    <hyperlink ref="P26" r:id="rId77"/>
    <hyperlink ref="Q26" r:id="rId78"/>
    <hyperlink ref="R26" r:id="rId79"/>
    <hyperlink ref="S26" r:id="rId80"/>
    <hyperlink ref="O27" r:id="rId81"/>
    <hyperlink ref="P27" r:id="rId82"/>
    <hyperlink ref="Q27" r:id="rId83"/>
    <hyperlink ref="R27" r:id="rId84"/>
    <hyperlink ref="O28" r:id="rId85"/>
    <hyperlink ref="P28" r:id="rId86"/>
    <hyperlink ref="Q28" r:id="rId87"/>
    <hyperlink ref="R28" r:id="rId88"/>
    <hyperlink ref="O29" r:id="rId89"/>
    <hyperlink ref="P29" r:id="rId90"/>
    <hyperlink ref="Q29" r:id="rId91"/>
    <hyperlink ref="R29" r:id="rId92"/>
    <hyperlink ref="O30" r:id="rId93"/>
    <hyperlink ref="P30" r:id="rId94"/>
    <hyperlink ref="O31" r:id="rId95"/>
    <hyperlink ref="P31" r:id="rId96"/>
    <hyperlink ref="Q31" r:id="rId97"/>
    <hyperlink ref="R31" r:id="rId98"/>
    <hyperlink ref="S31" r:id="rId99"/>
    <hyperlink ref="T31" r:id="rId100"/>
    <hyperlink ref="O32" r:id="rId101"/>
    <hyperlink ref="P32" r:id="rId102"/>
    <hyperlink ref="Q32" r:id="rId103"/>
    <hyperlink ref="R32" r:id="rId104"/>
    <hyperlink ref="S32" r:id="rId105"/>
    <hyperlink ref="O33" r:id="rId106"/>
    <hyperlink ref="P33" r:id="rId107"/>
    <hyperlink ref="Q33" r:id="rId108"/>
    <hyperlink ref="R33" r:id="rId109"/>
    <hyperlink ref="O34" r:id="rId110"/>
    <hyperlink ref="P34" r:id="rId111"/>
    <hyperlink ref="Q34" r:id="rId112"/>
    <hyperlink ref="R34" r:id="rId113"/>
    <hyperlink ref="S34" r:id="rId114"/>
    <hyperlink ref="T34" r:id="rId115"/>
    <hyperlink ref="O35" r:id="rId116"/>
    <hyperlink ref="P35" r:id="rId117"/>
    <hyperlink ref="Q35" r:id="rId118"/>
    <hyperlink ref="O36" r:id="rId119"/>
    <hyperlink ref="P36" r:id="rId120"/>
    <hyperlink ref="Q36" r:id="rId121"/>
    <hyperlink ref="R36" r:id="rId122"/>
    <hyperlink ref="O37" r:id="rId123"/>
    <hyperlink ref="P37" r:id="rId124"/>
    <hyperlink ref="Q37" r:id="rId125"/>
    <hyperlink ref="R37" r:id="rId126"/>
    <hyperlink ref="O38" r:id="rId127"/>
    <hyperlink ref="P38" r:id="rId128"/>
    <hyperlink ref="Q38" r:id="rId129"/>
    <hyperlink ref="R38" r:id="rId130"/>
    <hyperlink ref="O39" r:id="rId131"/>
    <hyperlink ref="P39" r:id="rId132"/>
    <hyperlink ref="Q39" r:id="rId133"/>
    <hyperlink ref="O40" r:id="rId134"/>
    <hyperlink ref="P40" r:id="rId135"/>
    <hyperlink ref="Q40" r:id="rId136"/>
    <hyperlink ref="R40" r:id="rId137"/>
    <hyperlink ref="S40" r:id="rId138"/>
    <hyperlink ref="O41" r:id="rId139"/>
    <hyperlink ref="P41" r:id="rId140"/>
    <hyperlink ref="Q41" r:id="rId141"/>
    <hyperlink ref="O42" r:id="rId142"/>
    <hyperlink ref="P42" r:id="rId143"/>
    <hyperlink ref="Q42" r:id="rId144"/>
    <hyperlink ref="R42" r:id="rId145"/>
    <hyperlink ref="S42" r:id="rId146"/>
    <hyperlink ref="O43" r:id="rId147"/>
    <hyperlink ref="P43" r:id="rId148"/>
    <hyperlink ref="Q43" r:id="rId149"/>
    <hyperlink ref="R43" r:id="rId150"/>
    <hyperlink ref="S43" r:id="rId151"/>
    <hyperlink ref="O44" r:id="rId152"/>
    <hyperlink ref="P44" r:id="rId153"/>
    <hyperlink ref="Q44" r:id="rId154"/>
    <hyperlink ref="R44" r:id="rId155"/>
    <hyperlink ref="S44" r:id="rId156"/>
    <hyperlink ref="O45" r:id="rId157"/>
    <hyperlink ref="P45" r:id="rId158"/>
    <hyperlink ref="Q45" r:id="rId159"/>
    <hyperlink ref="O46" r:id="rId160"/>
    <hyperlink ref="P46" r:id="rId161"/>
    <hyperlink ref="Q46" r:id="rId162"/>
    <hyperlink ref="R46" r:id="rId163"/>
    <hyperlink ref="O47" r:id="rId164"/>
    <hyperlink ref="P47" r:id="rId165"/>
    <hyperlink ref="Q47" r:id="rId166"/>
    <hyperlink ref="R47" r:id="rId167"/>
    <hyperlink ref="S47" r:id="rId168"/>
    <hyperlink ref="O48" r:id="rId169"/>
    <hyperlink ref="P48" r:id="rId170"/>
    <hyperlink ref="Q48" r:id="rId171"/>
    <hyperlink ref="R48" r:id="rId172"/>
    <hyperlink ref="S48" r:id="rId173"/>
    <hyperlink ref="O49" r:id="rId174"/>
    <hyperlink ref="P49" r:id="rId175"/>
    <hyperlink ref="Q49" r:id="rId176"/>
    <hyperlink ref="R49" r:id="rId177"/>
    <hyperlink ref="S49" r:id="rId178"/>
    <hyperlink ref="O50" r:id="rId179"/>
    <hyperlink ref="P50" r:id="rId180"/>
    <hyperlink ref="Q50" r:id="rId181"/>
    <hyperlink ref="R50" r:id="rId182"/>
    <hyperlink ref="O51" r:id="rId183"/>
    <hyperlink ref="P51" r:id="rId184"/>
    <hyperlink ref="Q51" r:id="rId185"/>
    <hyperlink ref="R51" r:id="rId186"/>
    <hyperlink ref="S51" r:id="rId187"/>
    <hyperlink ref="O52" r:id="rId188"/>
    <hyperlink ref="P52" r:id="rId189"/>
    <hyperlink ref="Q52" r:id="rId190"/>
    <hyperlink ref="R52" r:id="rId191"/>
    <hyperlink ref="S52" r:id="rId192"/>
    <hyperlink ref="O53" r:id="rId193"/>
    <hyperlink ref="P53" r:id="rId194"/>
    <hyperlink ref="Q53" r:id="rId195"/>
    <hyperlink ref="R53" r:id="rId196"/>
    <hyperlink ref="S53" r:id="rId197"/>
    <hyperlink ref="O54" r:id="rId198"/>
    <hyperlink ref="P54" r:id="rId199"/>
    <hyperlink ref="Q54" r:id="rId200"/>
    <hyperlink ref="R54" r:id="rId201"/>
    <hyperlink ref="S54" r:id="rId202"/>
    <hyperlink ref="O55" r:id="rId203"/>
    <hyperlink ref="P55" r:id="rId204"/>
    <hyperlink ref="Q55" r:id="rId205"/>
    <hyperlink ref="R55" r:id="rId206"/>
    <hyperlink ref="S55" r:id="rId207"/>
    <hyperlink ref="O56" r:id="rId208"/>
    <hyperlink ref="P56" r:id="rId209"/>
    <hyperlink ref="Q56" r:id="rId210"/>
    <hyperlink ref="R56" r:id="rId211"/>
    <hyperlink ref="S56" r:id="rId212"/>
    <hyperlink ref="O57" r:id="rId213"/>
    <hyperlink ref="P57" r:id="rId214"/>
    <hyperlink ref="Q57" r:id="rId215"/>
    <hyperlink ref="R57" r:id="rId216"/>
    <hyperlink ref="O58" r:id="rId217"/>
    <hyperlink ref="P58" r:id="rId218"/>
    <hyperlink ref="Q58" r:id="rId219"/>
    <hyperlink ref="R58" r:id="rId220"/>
    <hyperlink ref="S58" r:id="rId221"/>
    <hyperlink ref="T58" r:id="rId222"/>
    <hyperlink ref="U58" r:id="rId223"/>
    <hyperlink ref="V58" r:id="rId224"/>
    <hyperlink ref="O59" r:id="rId225"/>
    <hyperlink ref="P59" r:id="rId226"/>
    <hyperlink ref="Q59" r:id="rId227"/>
    <hyperlink ref="R59" r:id="rId228"/>
    <hyperlink ref="S59" r:id="rId229"/>
    <hyperlink ref="T59" r:id="rId230"/>
    <hyperlink ref="O60" r:id="rId231"/>
    <hyperlink ref="P60" r:id="rId232"/>
    <hyperlink ref="Q60" r:id="rId233"/>
    <hyperlink ref="R60" r:id="rId234"/>
    <hyperlink ref="S60" r:id="rId235"/>
    <hyperlink ref="O61" r:id="rId236"/>
    <hyperlink ref="P61" r:id="rId237"/>
    <hyperlink ref="O62" r:id="rId238"/>
    <hyperlink ref="P62" r:id="rId239"/>
    <hyperlink ref="Q62" r:id="rId240"/>
    <hyperlink ref="O63" r:id="rId241"/>
    <hyperlink ref="P63" r:id="rId242"/>
    <hyperlink ref="Q63" r:id="rId243"/>
    <hyperlink ref="R63" r:id="rId244"/>
    <hyperlink ref="S63" r:id="rId245"/>
    <hyperlink ref="O64" r:id="rId246"/>
    <hyperlink ref="P64" r:id="rId247"/>
    <hyperlink ref="Q64" r:id="rId248"/>
    <hyperlink ref="R64" r:id="rId249"/>
    <hyperlink ref="S64" r:id="rId250"/>
    <hyperlink ref="O65" r:id="rId251"/>
    <hyperlink ref="P65" r:id="rId252"/>
    <hyperlink ref="Q65" r:id="rId253"/>
    <hyperlink ref="R65" r:id="rId254"/>
    <hyperlink ref="O66" r:id="rId255"/>
    <hyperlink ref="P66" r:id="rId256"/>
    <hyperlink ref="Q66" r:id="rId257"/>
    <hyperlink ref="O67" r:id="rId258"/>
    <hyperlink ref="P67" r:id="rId259"/>
    <hyperlink ref="Q67" r:id="rId260"/>
    <hyperlink ref="R67" r:id="rId261"/>
    <hyperlink ref="S67" r:id="rId262"/>
    <hyperlink ref="O68" r:id="rId263"/>
    <hyperlink ref="P68" r:id="rId264"/>
    <hyperlink ref="Q68" r:id="rId265"/>
    <hyperlink ref="R68" r:id="rId266"/>
    <hyperlink ref="S68" r:id="rId267"/>
    <hyperlink ref="O69" r:id="rId268"/>
    <hyperlink ref="P69" r:id="rId269"/>
    <hyperlink ref="Q69" r:id="rId270"/>
    <hyperlink ref="R69" r:id="rId271"/>
    <hyperlink ref="S69" r:id="rId272"/>
    <hyperlink ref="O70" r:id="rId273"/>
    <hyperlink ref="P70" r:id="rId274"/>
    <hyperlink ref="Q70" r:id="rId275"/>
    <hyperlink ref="O71" r:id="rId276"/>
    <hyperlink ref="P71" r:id="rId277"/>
    <hyperlink ref="Q71" r:id="rId278"/>
    <hyperlink ref="R71" r:id="rId279"/>
    <hyperlink ref="S71" r:id="rId280"/>
    <hyperlink ref="O72" r:id="rId281"/>
    <hyperlink ref="P72" r:id="rId282"/>
    <hyperlink ref="Q72" r:id="rId283"/>
    <hyperlink ref="R72" r:id="rId284"/>
    <hyperlink ref="S72" r:id="rId285"/>
    <hyperlink ref="O73" r:id="rId286"/>
    <hyperlink ref="P73" r:id="rId287"/>
    <hyperlink ref="Q73" r:id="rId288"/>
    <hyperlink ref="R73" r:id="rId289"/>
    <hyperlink ref="S73" r:id="rId290"/>
    <hyperlink ref="O74" r:id="rId291"/>
    <hyperlink ref="P74" r:id="rId292"/>
    <hyperlink ref="Q74" r:id="rId293"/>
    <hyperlink ref="R74" r:id="rId294"/>
    <hyperlink ref="S74" r:id="rId295"/>
    <hyperlink ref="T74" r:id="rId296"/>
    <hyperlink ref="O75" r:id="rId297"/>
    <hyperlink ref="P75" r:id="rId298"/>
    <hyperlink ref="Q75" r:id="rId299"/>
    <hyperlink ref="R75" r:id="rId300"/>
    <hyperlink ref="O76" r:id="rId301"/>
    <hyperlink ref="P76" r:id="rId302"/>
    <hyperlink ref="Q76" r:id="rId303"/>
    <hyperlink ref="R76" r:id="rId304"/>
    <hyperlink ref="O77" r:id="rId305"/>
    <hyperlink ref="P77" r:id="rId306"/>
    <hyperlink ref="Q77" r:id="rId307"/>
    <hyperlink ref="R77" r:id="rId308"/>
    <hyperlink ref="O78" r:id="rId309"/>
    <hyperlink ref="P78" r:id="rId310"/>
    <hyperlink ref="Q78" r:id="rId311"/>
    <hyperlink ref="R78" r:id="rId312"/>
    <hyperlink ref="S78" r:id="rId313"/>
    <hyperlink ref="O79" r:id="rId314"/>
    <hyperlink ref="P79" r:id="rId315"/>
    <hyperlink ref="Q79" r:id="rId316"/>
    <hyperlink ref="R79" r:id="rId317"/>
    <hyperlink ref="O80" r:id="rId318"/>
    <hyperlink ref="P80" r:id="rId319"/>
    <hyperlink ref="Q80" r:id="rId320"/>
    <hyperlink ref="R80" r:id="rId321"/>
    <hyperlink ref="S80" r:id="rId322"/>
    <hyperlink ref="O81" r:id="rId323"/>
    <hyperlink ref="P81" r:id="rId324"/>
    <hyperlink ref="Q81" r:id="rId325"/>
    <hyperlink ref="R81" r:id="rId326"/>
    <hyperlink ref="O82" r:id="rId327"/>
    <hyperlink ref="P82" r:id="rId328"/>
    <hyperlink ref="Q82" r:id="rId329"/>
    <hyperlink ref="R82" r:id="rId330"/>
    <hyperlink ref="S82" r:id="rId331"/>
    <hyperlink ref="O83" r:id="rId332"/>
    <hyperlink ref="P83" r:id="rId333"/>
    <hyperlink ref="Q83" r:id="rId334"/>
    <hyperlink ref="R83" r:id="rId335"/>
    <hyperlink ref="S83" r:id="rId336"/>
    <hyperlink ref="O84" r:id="rId337"/>
    <hyperlink ref="P84" r:id="rId338"/>
    <hyperlink ref="Q84" r:id="rId339"/>
    <hyperlink ref="R84" r:id="rId340"/>
    <hyperlink ref="S84" r:id="rId341"/>
    <hyperlink ref="O85" r:id="rId342"/>
    <hyperlink ref="P85" r:id="rId343"/>
    <hyperlink ref="Q85" r:id="rId344"/>
    <hyperlink ref="R85" r:id="rId345"/>
    <hyperlink ref="O86" r:id="rId346"/>
    <hyperlink ref="P86" r:id="rId347"/>
    <hyperlink ref="Q86" r:id="rId348"/>
    <hyperlink ref="R86" r:id="rId349"/>
    <hyperlink ref="S86" r:id="rId350"/>
    <hyperlink ref="O87" r:id="rId351"/>
    <hyperlink ref="P87" r:id="rId352"/>
    <hyperlink ref="Q87" r:id="rId353"/>
    <hyperlink ref="R87" r:id="rId354"/>
    <hyperlink ref="S87" r:id="rId355"/>
    <hyperlink ref="O88" r:id="rId356"/>
    <hyperlink ref="P88" r:id="rId357"/>
    <hyperlink ref="Q88" r:id="rId358"/>
    <hyperlink ref="O89" r:id="rId359"/>
    <hyperlink ref="P89" r:id="rId360"/>
    <hyperlink ref="Q89" r:id="rId361"/>
    <hyperlink ref="R89" r:id="rId362"/>
    <hyperlink ref="S89" r:id="rId363"/>
    <hyperlink ref="O90" r:id="rId364"/>
    <hyperlink ref="P90" r:id="rId365"/>
    <hyperlink ref="Q90" r:id="rId366"/>
    <hyperlink ref="R90" r:id="rId367"/>
    <hyperlink ref="O91" r:id="rId368"/>
    <hyperlink ref="P91" r:id="rId369"/>
    <hyperlink ref="Q91" r:id="rId370"/>
    <hyperlink ref="O92" r:id="rId371"/>
    <hyperlink ref="P92" r:id="rId372"/>
    <hyperlink ref="Q92" r:id="rId373"/>
    <hyperlink ref="R92" r:id="rId374"/>
    <hyperlink ref="O93" r:id="rId375"/>
    <hyperlink ref="P93" r:id="rId376"/>
    <hyperlink ref="Q93" r:id="rId377"/>
    <hyperlink ref="R93" r:id="rId378"/>
    <hyperlink ref="S93" r:id="rId379"/>
    <hyperlink ref="O94" r:id="rId380"/>
    <hyperlink ref="P94" r:id="rId381"/>
    <hyperlink ref="Q94" r:id="rId382"/>
    <hyperlink ref="R94" r:id="rId383"/>
    <hyperlink ref="S94" r:id="rId384"/>
    <hyperlink ref="O95" r:id="rId385"/>
    <hyperlink ref="P95" r:id="rId386"/>
    <hyperlink ref="Q95" r:id="rId387"/>
    <hyperlink ref="O96" r:id="rId388"/>
    <hyperlink ref="P96" r:id="rId389"/>
    <hyperlink ref="Q96" r:id="rId390"/>
    <hyperlink ref="R96" r:id="rId391"/>
    <hyperlink ref="S96" r:id="rId392"/>
    <hyperlink ref="O97" r:id="rId393"/>
    <hyperlink ref="P97" r:id="rId394"/>
    <hyperlink ref="Q97" r:id="rId395"/>
    <hyperlink ref="R97" r:id="rId396"/>
    <hyperlink ref="S97" r:id="rId397"/>
    <hyperlink ref="O98" r:id="rId398"/>
    <hyperlink ref="P98" r:id="rId399"/>
    <hyperlink ref="Q98" r:id="rId400"/>
    <hyperlink ref="R98" r:id="rId401"/>
    <hyperlink ref="S98" r:id="rId402"/>
    <hyperlink ref="O99" r:id="rId403"/>
    <hyperlink ref="P99" r:id="rId404"/>
    <hyperlink ref="Q99" r:id="rId405"/>
    <hyperlink ref="R99" r:id="rId406"/>
    <hyperlink ref="O100" r:id="rId407"/>
    <hyperlink ref="P100" r:id="rId408"/>
    <hyperlink ref="Q100" r:id="rId409"/>
    <hyperlink ref="R100" r:id="rId410"/>
    <hyperlink ref="O101" r:id="rId411"/>
    <hyperlink ref="P101" r:id="rId412"/>
    <hyperlink ref="Q101" r:id="rId413"/>
    <hyperlink ref="R101" r:id="rId414"/>
    <hyperlink ref="S101" r:id="rId415"/>
    <hyperlink ref="O102" r:id="rId416"/>
    <hyperlink ref="P102" r:id="rId417"/>
    <hyperlink ref="Q102" r:id="rId418"/>
    <hyperlink ref="R102" r:id="rId419"/>
    <hyperlink ref="O103" r:id="rId420"/>
    <hyperlink ref="P103" r:id="rId421"/>
    <hyperlink ref="Q103" r:id="rId422"/>
    <hyperlink ref="O104" r:id="rId423"/>
    <hyperlink ref="P104" r:id="rId424"/>
    <hyperlink ref="Q104" r:id="rId425"/>
    <hyperlink ref="R104" r:id="rId426"/>
    <hyperlink ref="O105" r:id="rId427"/>
    <hyperlink ref="P105" r:id="rId428"/>
    <hyperlink ref="Q105" r:id="rId429"/>
    <hyperlink ref="R105" r:id="rId430"/>
    <hyperlink ref="S105" r:id="rId431"/>
    <hyperlink ref="O106" r:id="rId432"/>
    <hyperlink ref="P106" r:id="rId433"/>
    <hyperlink ref="Q106" r:id="rId434"/>
    <hyperlink ref="R106" r:id="rId435"/>
    <hyperlink ref="S106" r:id="rId436"/>
    <hyperlink ref="O107" r:id="rId437"/>
    <hyperlink ref="P107" r:id="rId438"/>
    <hyperlink ref="Q107" r:id="rId439"/>
    <hyperlink ref="R107" r:id="rId440"/>
    <hyperlink ref="O108" r:id="rId441"/>
    <hyperlink ref="P108" r:id="rId442"/>
    <hyperlink ref="Q108" r:id="rId443"/>
    <hyperlink ref="R108" r:id="rId444"/>
    <hyperlink ref="S108" r:id="rId445"/>
    <hyperlink ref="O109" r:id="rId446"/>
    <hyperlink ref="P109" r:id="rId447"/>
    <hyperlink ref="Q109" r:id="rId448"/>
    <hyperlink ref="R109" r:id="rId449"/>
    <hyperlink ref="O110" r:id="rId450"/>
    <hyperlink ref="P110" r:id="rId451"/>
    <hyperlink ref="Q110" r:id="rId452"/>
    <hyperlink ref="O111" r:id="rId453"/>
    <hyperlink ref="P111" r:id="rId454"/>
    <hyperlink ref="Q111" r:id="rId455"/>
    <hyperlink ref="R111" r:id="rId456"/>
    <hyperlink ref="O112" r:id="rId457"/>
    <hyperlink ref="P112" r:id="rId458"/>
    <hyperlink ref="Q112" r:id="rId459"/>
    <hyperlink ref="R112" r:id="rId460"/>
    <hyperlink ref="S112" r:id="rId461"/>
    <hyperlink ref="T112" r:id="rId462"/>
    <hyperlink ref="O113" r:id="rId463"/>
    <hyperlink ref="P113" r:id="rId464"/>
    <hyperlink ref="Q113" r:id="rId465"/>
    <hyperlink ref="R113" r:id="rId466"/>
    <hyperlink ref="S113" r:id="rId467"/>
    <hyperlink ref="O114" r:id="rId468"/>
    <hyperlink ref="P114" r:id="rId469"/>
    <hyperlink ref="Q114" r:id="rId470"/>
    <hyperlink ref="R114" r:id="rId471"/>
    <hyperlink ref="O115" r:id="rId472"/>
    <hyperlink ref="P115" r:id="rId473"/>
    <hyperlink ref="Q115" r:id="rId474"/>
    <hyperlink ref="R115" r:id="rId475"/>
    <hyperlink ref="S115" r:id="rId476"/>
    <hyperlink ref="O116" r:id="rId477"/>
    <hyperlink ref="P116" r:id="rId478"/>
    <hyperlink ref="Q116" r:id="rId479"/>
    <hyperlink ref="R116" r:id="rId480"/>
    <hyperlink ref="O117" r:id="rId481"/>
    <hyperlink ref="P117" r:id="rId482"/>
    <hyperlink ref="Q117" r:id="rId483"/>
    <hyperlink ref="R117" r:id="rId484"/>
    <hyperlink ref="S117" r:id="rId485"/>
    <hyperlink ref="T117" r:id="rId486"/>
    <hyperlink ref="O118" r:id="rId487"/>
    <hyperlink ref="P118" r:id="rId488"/>
    <hyperlink ref="Q118" r:id="rId489"/>
    <hyperlink ref="R118" r:id="rId490"/>
    <hyperlink ref="S118" r:id="rId491"/>
    <hyperlink ref="T118" r:id="rId492"/>
    <hyperlink ref="U118" r:id="rId493"/>
    <hyperlink ref="O119" r:id="rId494"/>
    <hyperlink ref="P119" r:id="rId495"/>
    <hyperlink ref="Q119" r:id="rId496"/>
    <hyperlink ref="R119" r:id="rId497"/>
    <hyperlink ref="S119" r:id="rId49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000563C1"/>
    <outlinePr summaryBelow="1" summaryRight="1"/>
    <pageSetUpPr/>
  </sheetPr>
  <dimension ref="A1:M503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0" customWidth="1" min="3" max="3"/>
    <col width="38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9" customWidth="1" min="13" max="13"/>
  </cols>
  <sheetData>
    <row r="1" ht="22" customHeight="1">
      <c r="A1" s="1" t="inlineStr">
        <is>
          <t>代號索引　Ticker Index</t>
        </is>
      </c>
    </row>
    <row r="2">
      <c r="A2" s="2" t="inlineStr">
        <is>
          <t>基準 2026-09-16 美東收市　·　工作簿內全部 493 個代號，每個都可點擊開 TradingView 圖表　·　I/J/M 欄為公式　·　表頭可篩選排序</t>
        </is>
      </c>
    </row>
    <row r="8" ht="30" customHeight="1">
      <c r="A8" s="17" t="inlineStr">
        <is>
          <t>代號</t>
        </is>
      </c>
      <c r="B8" s="17" t="inlineStr">
        <is>
          <t>受惠清單</t>
        </is>
      </c>
      <c r="C8" s="17" t="inlineStr">
        <is>
          <t>迴避清單</t>
        </is>
      </c>
      <c r="D8" s="17" t="inlineStr">
        <is>
          <t>所屬子板塊（可多於一個）</t>
        </is>
      </c>
      <c r="E8" s="17" t="inlineStr">
        <is>
          <t>子板塊
最佳5日排名</t>
        </is>
      </c>
      <c r="F8" s="17" t="inlineStr">
        <is>
          <t>收市
09-16</t>
        </is>
      </c>
      <c r="G8" s="17" t="inlineStr">
        <is>
          <t>前收
09-15</t>
        </is>
      </c>
      <c r="H8" s="17" t="inlineStr">
        <is>
          <t>5日前收
09-09</t>
        </is>
      </c>
      <c r="I8" s="17" t="inlineStr">
        <is>
          <t>09-16
漲跌%</t>
        </is>
      </c>
      <c r="J8" s="17" t="inlineStr">
        <is>
          <t>5日
漲跌%</t>
        </is>
      </c>
      <c r="K8" s="17" t="inlineStr">
        <is>
          <t>09-16
成交量</t>
        </is>
      </c>
      <c r="L8" s="17" t="inlineStr">
        <is>
          <t>20日
中位量</t>
        </is>
      </c>
      <c r="M8" s="17" t="inlineStr">
        <is>
          <t>相對量</t>
        </is>
      </c>
    </row>
    <row r="9">
      <c r="A9" s="58" t="inlineStr">
        <is>
          <t>A</t>
        </is>
      </c>
      <c r="B9" s="88" t="inlineStr">
        <is>
          <t>②</t>
        </is>
      </c>
      <c r="C9" s="89" t="inlineStr">
        <is>
          <t>—</t>
        </is>
      </c>
      <c r="D9" s="60" t="inlineStr">
        <is>
          <t>診斷與生命科學工具</t>
        </is>
      </c>
      <c r="E9" s="49" t="n">
        <v>1</v>
      </c>
      <c r="F9" s="90" t="n">
        <v>153.69</v>
      </c>
      <c r="G9" s="90" t="n">
        <v>150.27</v>
      </c>
      <c r="H9" s="90" t="n">
        <v>144.75</v>
      </c>
      <c r="I9" s="53">
        <f>F9/G9-1</f>
        <v>0.02275903373926913</v>
      </c>
      <c r="J9" s="53">
        <f>F9/H9-1</f>
        <v>0.06176165803108802</v>
      </c>
      <c r="K9" s="91" t="n">
        <v>2507653</v>
      </c>
      <c r="L9" s="91" t="n">
        <v>2570400</v>
      </c>
      <c r="M9" s="92">
        <f>K9/L9</f>
        <v>0.9755886243386244</v>
      </c>
    </row>
    <row r="10">
      <c r="A10" s="19" t="inlineStr">
        <is>
          <t>AA</t>
        </is>
      </c>
      <c r="B10" s="14" t="inlineStr">
        <is>
          <t>—</t>
        </is>
      </c>
      <c r="C10" s="14" t="inlineStr">
        <is>
          <t>—</t>
        </is>
      </c>
      <c r="D10" s="6" t="inlineStr">
        <is>
          <t>鋁業</t>
        </is>
      </c>
      <c r="E10" s="61" t="n">
        <v>102</v>
      </c>
      <c r="F10" s="20" t="n">
        <v>46.26</v>
      </c>
      <c r="G10" s="20" t="n">
        <v>46.52</v>
      </c>
      <c r="H10" s="20" t="n">
        <v>50.73</v>
      </c>
      <c r="I10" s="11">
        <f>F10/G10-1</f>
        <v>-0.005588993981083479</v>
      </c>
      <c r="J10" s="11">
        <f>F10/H10-1</f>
        <v>-0.08811354228267299</v>
      </c>
      <c r="K10" s="13" t="n">
        <v>3582218</v>
      </c>
      <c r="L10" s="13" t="n">
        <v>3571800</v>
      </c>
      <c r="M10" s="21">
        <f>K10/L10</f>
        <v>1.0029167366593874</v>
      </c>
    </row>
    <row r="11">
      <c r="A11" s="19" t="inlineStr">
        <is>
          <t>AAL</t>
        </is>
      </c>
      <c r="B11" s="14" t="inlineStr">
        <is>
          <t>—</t>
        </is>
      </c>
      <c r="C11" s="14" t="inlineStr">
        <is>
          <t>—</t>
        </is>
      </c>
      <c r="D11" s="6" t="inlineStr">
        <is>
          <t>航空公司</t>
        </is>
      </c>
      <c r="E11" s="61" t="n">
        <v>49</v>
      </c>
      <c r="F11" s="20" t="n">
        <v>12.7</v>
      </c>
      <c r="G11" s="20" t="n">
        <v>12.77</v>
      </c>
      <c r="H11" s="20" t="n">
        <v>12.94</v>
      </c>
      <c r="I11" s="11">
        <f>F11/G11-1</f>
        <v>-0.005481597494126911</v>
      </c>
      <c r="J11" s="11">
        <f>F11/H11-1</f>
        <v>-0.018547140649149974</v>
      </c>
      <c r="K11" s="13" t="n">
        <v>137508157</v>
      </c>
      <c r="L11" s="13" t="n">
        <v>63556800</v>
      </c>
      <c r="M11" s="21">
        <f>K11/L11</f>
        <v>2.163547519698915</v>
      </c>
    </row>
    <row r="12">
      <c r="A12" s="19" t="inlineStr">
        <is>
          <t>AAOI</t>
        </is>
      </c>
      <c r="B12" s="14" t="inlineStr">
        <is>
          <t>—</t>
        </is>
      </c>
      <c r="C12" s="14" t="inlineStr">
        <is>
          <t>—</t>
        </is>
      </c>
      <c r="D12" s="6" t="inlineStr">
        <is>
          <t>光通訊/CPO</t>
        </is>
      </c>
      <c r="E12" s="61" t="n">
        <v>34</v>
      </c>
      <c r="F12" s="20" t="n">
        <v>96.73999999999999</v>
      </c>
      <c r="G12" s="20" t="n">
        <v>95.29000000000001</v>
      </c>
      <c r="H12" s="20" t="n">
        <v>107.93</v>
      </c>
      <c r="I12" s="11">
        <f>F12/G12-1</f>
        <v>0.015216706894742194</v>
      </c>
      <c r="J12" s="11">
        <f>F12/H12-1</f>
        <v>-0.10367831001575101</v>
      </c>
      <c r="K12" s="13" t="n">
        <v>6995300</v>
      </c>
      <c r="L12" s="13" t="n">
        <v>6115750</v>
      </c>
      <c r="M12" s="21">
        <f>K12/L12</f>
        <v>1.1438171933123493</v>
      </c>
    </row>
    <row r="13">
      <c r="A13" s="19" t="inlineStr">
        <is>
          <t>AAON</t>
        </is>
      </c>
      <c r="B13" s="14" t="inlineStr">
        <is>
          <t>—</t>
        </is>
      </c>
      <c r="C13" s="14" t="inlineStr">
        <is>
          <t>—</t>
        </is>
      </c>
      <c r="D13" s="6" t="inlineStr">
        <is>
          <t>樓宇產品與HVAC</t>
        </is>
      </c>
      <c r="E13" s="61" t="n">
        <v>64</v>
      </c>
      <c r="F13" s="20" t="n">
        <v>75.56</v>
      </c>
      <c r="G13" s="20" t="n">
        <v>74.31999999999999</v>
      </c>
      <c r="H13" s="20" t="n">
        <v>77.02</v>
      </c>
      <c r="I13" s="11">
        <f>F13/G13-1</f>
        <v>0.01668460710441355</v>
      </c>
      <c r="J13" s="11">
        <f>F13/H13-1</f>
        <v>-0.018956115294728515</v>
      </c>
      <c r="K13" s="13" t="n">
        <v>1011085</v>
      </c>
      <c r="L13" s="13" t="n">
        <v>1039650</v>
      </c>
      <c r="M13" s="21">
        <f>K13/L13</f>
        <v>0.9725244072524407</v>
      </c>
    </row>
    <row r="14">
      <c r="A14" s="19" t="inlineStr">
        <is>
          <t>AAPL</t>
        </is>
      </c>
      <c r="B14" s="14" t="inlineStr">
        <is>
          <t>—</t>
        </is>
      </c>
      <c r="C14" s="14" t="inlineStr">
        <is>
          <t>—</t>
        </is>
      </c>
      <c r="D14" s="6" t="inlineStr">
        <is>
          <t>電子硬件與EMS/連接器</t>
        </is>
      </c>
      <c r="E14" s="61" t="n">
        <v>5</v>
      </c>
      <c r="F14" s="20" t="n">
        <v>332.41</v>
      </c>
      <c r="G14" s="20" t="n">
        <v>331.34</v>
      </c>
      <c r="H14" s="20" t="n">
        <v>315.34</v>
      </c>
      <c r="I14" s="11">
        <f>F14/G14-1</f>
        <v>0.0032293112814631986</v>
      </c>
      <c r="J14" s="11">
        <f>F14/H14-1</f>
        <v>0.05413204794824655</v>
      </c>
      <c r="K14" s="13" t="n">
        <v>35870203</v>
      </c>
      <c r="L14" s="13" t="n">
        <v>39438000</v>
      </c>
      <c r="M14" s="21">
        <f>K14/L14</f>
        <v>0.9095340280947309</v>
      </c>
    </row>
    <row r="15">
      <c r="A15" s="19" t="inlineStr">
        <is>
          <t>ABBV</t>
        </is>
      </c>
      <c r="B15" s="14" t="inlineStr">
        <is>
          <t>—</t>
        </is>
      </c>
      <c r="C15" s="14" t="inlineStr">
        <is>
          <t>—</t>
        </is>
      </c>
      <c r="D15" s="6" t="inlineStr">
        <is>
          <t>大型藥廠</t>
        </is>
      </c>
      <c r="E15" s="61" t="n">
        <v>23</v>
      </c>
      <c r="F15" s="20" t="n">
        <v>262.51</v>
      </c>
      <c r="G15" s="20" t="n">
        <v>263.04</v>
      </c>
      <c r="H15" s="20" t="n">
        <v>250.91</v>
      </c>
      <c r="I15" s="11">
        <f>F15/G15-1</f>
        <v>-0.002014902676399144</v>
      </c>
      <c r="J15" s="11">
        <f>F15/H15-1</f>
        <v>0.04623171655175162</v>
      </c>
      <c r="K15" s="13" t="n">
        <v>3117811</v>
      </c>
      <c r="L15" s="13" t="n">
        <v>4355550</v>
      </c>
      <c r="M15" s="21">
        <f>K15/L15</f>
        <v>0.715824867123555</v>
      </c>
    </row>
    <row r="16">
      <c r="A16" s="19" t="inlineStr">
        <is>
          <t>ABT</t>
        </is>
      </c>
      <c r="B16" s="14" t="inlineStr">
        <is>
          <t>—</t>
        </is>
      </c>
      <c r="C16" s="14" t="inlineStr">
        <is>
          <t>—</t>
        </is>
      </c>
      <c r="D16" s="6" t="inlineStr">
        <is>
          <t>醫療器械</t>
        </is>
      </c>
      <c r="E16" s="61" t="n">
        <v>13</v>
      </c>
      <c r="F16" s="20" t="n">
        <v>102.36</v>
      </c>
      <c r="G16" s="20" t="n">
        <v>102.03</v>
      </c>
      <c r="H16" s="20" t="n">
        <v>105.23</v>
      </c>
      <c r="I16" s="11">
        <f>F16/G16-1</f>
        <v>0.0032343428403409646</v>
      </c>
      <c r="J16" s="11">
        <f>F16/H16-1</f>
        <v>-0.02727359118122208</v>
      </c>
      <c r="K16" s="13" t="n">
        <v>5229532</v>
      </c>
      <c r="L16" s="13" t="n">
        <v>7524150</v>
      </c>
      <c r="M16" s="21">
        <f>K16/L16</f>
        <v>0.6950329273074035</v>
      </c>
    </row>
    <row r="17">
      <c r="A17" s="19" t="inlineStr">
        <is>
          <t>ACI</t>
        </is>
      </c>
      <c r="B17" s="14" t="inlineStr">
        <is>
          <t>—</t>
        </is>
      </c>
      <c r="C17" s="14" t="inlineStr">
        <is>
          <t>—</t>
        </is>
      </c>
      <c r="D17" s="6" t="inlineStr">
        <is>
          <t>大賣場與超巿</t>
        </is>
      </c>
      <c r="E17" s="61" t="n">
        <v>36</v>
      </c>
      <c r="F17" s="20" t="n">
        <v>12.56</v>
      </c>
      <c r="G17" s="20" t="n">
        <v>12.84</v>
      </c>
      <c r="H17" s="20" t="n">
        <v>11.85</v>
      </c>
      <c r="I17" s="11">
        <f>F17/G17-1</f>
        <v>-0.02180685358255452</v>
      </c>
      <c r="J17" s="11">
        <f>F17/H17-1</f>
        <v>0.059915611814346015</v>
      </c>
      <c r="K17" s="13" t="n">
        <v>6550657</v>
      </c>
      <c r="L17" s="13" t="n">
        <v>6019100</v>
      </c>
      <c r="M17" s="21">
        <f>K17/L17</f>
        <v>1.0883117077303917</v>
      </c>
    </row>
    <row r="18">
      <c r="A18" s="19" t="inlineStr">
        <is>
          <t>ACM</t>
        </is>
      </c>
      <c r="B18" s="14" t="inlineStr">
        <is>
          <t>—</t>
        </is>
      </c>
      <c r="C18" s="14" t="inlineStr">
        <is>
          <t>—</t>
        </is>
      </c>
      <c r="D18" s="6" t="inlineStr">
        <is>
          <t>工程建設/EPC</t>
        </is>
      </c>
      <c r="E18" s="61" t="n">
        <v>51</v>
      </c>
      <c r="F18" s="20" t="n">
        <v>62.81</v>
      </c>
      <c r="G18" s="20" t="n">
        <v>64.16</v>
      </c>
      <c r="H18" s="20" t="n">
        <v>64.02</v>
      </c>
      <c r="I18" s="11">
        <f>F18/G18-1</f>
        <v>-0.021041147132169535</v>
      </c>
      <c r="J18" s="11">
        <f>F18/H18-1</f>
        <v>-0.018900343642611617</v>
      </c>
      <c r="K18" s="13" t="n">
        <v>1626220</v>
      </c>
      <c r="L18" s="13" t="n">
        <v>1821200</v>
      </c>
      <c r="M18" s="21">
        <f>K18/L18</f>
        <v>0.8929387217219416</v>
      </c>
    </row>
    <row r="19">
      <c r="A19" s="19" t="inlineStr">
        <is>
          <t>ACN</t>
        </is>
      </c>
      <c r="B19" s="14" t="inlineStr">
        <is>
          <t>—</t>
        </is>
      </c>
      <c r="C19" s="14" t="inlineStr">
        <is>
          <t>—</t>
        </is>
      </c>
      <c r="D19" s="6" t="inlineStr">
        <is>
          <t>IT服務與系統整合</t>
        </is>
      </c>
      <c r="E19" s="61" t="n">
        <v>32</v>
      </c>
      <c r="F19" s="20" t="n">
        <v>189.64</v>
      </c>
      <c r="G19" s="20" t="n">
        <v>193.4</v>
      </c>
      <c r="H19" s="20" t="n">
        <v>175.8</v>
      </c>
      <c r="I19" s="11">
        <f>F19/G19-1</f>
        <v>-0.019441571871768426</v>
      </c>
      <c r="J19" s="11">
        <f>F19/H19-1</f>
        <v>0.07872582480090995</v>
      </c>
      <c r="K19" s="13" t="n">
        <v>3317201</v>
      </c>
      <c r="L19" s="13" t="n">
        <v>4839150</v>
      </c>
      <c r="M19" s="21">
        <f>K19/L19</f>
        <v>0.6854924935164234</v>
      </c>
    </row>
    <row r="20">
      <c r="A20" s="19" t="inlineStr">
        <is>
          <t>ADBE</t>
        </is>
      </c>
      <c r="B20" s="14" t="inlineStr">
        <is>
          <t>—</t>
        </is>
      </c>
      <c r="C20" s="14" t="inlineStr">
        <is>
          <t>—</t>
        </is>
      </c>
      <c r="D20" s="6" t="inlineStr">
        <is>
          <t>企業軟體/SaaS</t>
        </is>
      </c>
      <c r="E20" s="61" t="n">
        <v>43</v>
      </c>
      <c r="F20" s="20" t="n">
        <v>250.5</v>
      </c>
      <c r="G20" s="20" t="n">
        <v>257.76</v>
      </c>
      <c r="H20" s="20" t="n">
        <v>254.86</v>
      </c>
      <c r="I20" s="11">
        <f>F20/G20-1</f>
        <v>-0.028165735567970196</v>
      </c>
      <c r="J20" s="11">
        <f>F20/H20-1</f>
        <v>-0.017107431531036665</v>
      </c>
      <c r="K20" s="13" t="n">
        <v>4405737</v>
      </c>
      <c r="L20" s="13" t="n">
        <v>4611700</v>
      </c>
      <c r="M20" s="21">
        <f>K20/L20</f>
        <v>0.9553390289914782</v>
      </c>
    </row>
    <row r="21">
      <c r="A21" s="19" t="inlineStr">
        <is>
          <t>ADI</t>
        </is>
      </c>
      <c r="B21" s="14" t="inlineStr">
        <is>
          <t>—</t>
        </is>
      </c>
      <c r="C21" s="14" t="inlineStr">
        <is>
          <t>—</t>
        </is>
      </c>
      <c r="D21" s="6" t="inlineStr">
        <is>
          <t>類比/功率半導體</t>
        </is>
      </c>
      <c r="E21" s="61" t="n">
        <v>52</v>
      </c>
      <c r="F21" s="20" t="n">
        <v>362.04</v>
      </c>
      <c r="G21" s="20" t="n">
        <v>361.35</v>
      </c>
      <c r="H21" s="20" t="n">
        <v>365.07</v>
      </c>
      <c r="I21" s="11">
        <f>F21/G21-1</f>
        <v>0.0019095060190950086</v>
      </c>
      <c r="J21" s="11">
        <f>F21/H21-1</f>
        <v>-0.00829977812474314</v>
      </c>
      <c r="K21" s="13" t="n">
        <v>3058730</v>
      </c>
      <c r="L21" s="13" t="n">
        <v>3529200</v>
      </c>
      <c r="M21" s="21">
        <f>K21/L21</f>
        <v>0.8666921681967584</v>
      </c>
    </row>
    <row r="22">
      <c r="A22" s="19" t="inlineStr">
        <is>
          <t>ADM</t>
        </is>
      </c>
      <c r="B22" s="14" t="inlineStr">
        <is>
          <t>—</t>
        </is>
      </c>
      <c r="C22" s="14" t="inlineStr">
        <is>
          <t>—</t>
        </is>
      </c>
      <c r="D22" s="6" t="inlineStr">
        <is>
          <t>農產品與農業投入</t>
        </is>
      </c>
      <c r="E22" s="61" t="n">
        <v>85</v>
      </c>
      <c r="F22" s="20" t="n">
        <v>85</v>
      </c>
      <c r="G22" s="20" t="n">
        <v>86.61</v>
      </c>
      <c r="H22" s="20" t="n">
        <v>86.55</v>
      </c>
      <c r="I22" s="11">
        <f>F22/G22-1</f>
        <v>-0.01858907747373284</v>
      </c>
      <c r="J22" s="11">
        <f>F22/H22-1</f>
        <v>-0.01790872328134019</v>
      </c>
      <c r="K22" s="13" t="n">
        <v>4164411</v>
      </c>
      <c r="L22" s="13" t="n">
        <v>3511950</v>
      </c>
      <c r="M22" s="21">
        <f>K22/L22</f>
        <v>1.1857831119463547</v>
      </c>
    </row>
    <row r="23">
      <c r="A23" s="19" t="inlineStr">
        <is>
          <t>ADP</t>
        </is>
      </c>
      <c r="B23" s="14" t="inlineStr">
        <is>
          <t>—</t>
        </is>
      </c>
      <c r="C23" s="14" t="inlineStr">
        <is>
          <t>—</t>
        </is>
      </c>
      <c r="D23" s="6" t="inlineStr">
        <is>
          <t>人力與商業服務</t>
        </is>
      </c>
      <c r="E23" s="61" t="n">
        <v>18</v>
      </c>
      <c r="F23" s="20" t="n">
        <v>273.19</v>
      </c>
      <c r="G23" s="20" t="n">
        <v>276.53</v>
      </c>
      <c r="H23" s="20" t="n">
        <v>265.22</v>
      </c>
      <c r="I23" s="11">
        <f>F23/G23-1</f>
        <v>-0.01207825552381292</v>
      </c>
      <c r="J23" s="11">
        <f>F23/H23-1</f>
        <v>0.030050524093205633</v>
      </c>
      <c r="K23" s="13" t="n">
        <v>2479903</v>
      </c>
      <c r="L23" s="13" t="n">
        <v>1997600</v>
      </c>
      <c r="M23" s="21">
        <f>K23/L23</f>
        <v>1.2414412294753705</v>
      </c>
    </row>
    <row r="24">
      <c r="A24" s="19" t="inlineStr">
        <is>
          <t>AEM</t>
        </is>
      </c>
      <c r="B24" s="14" t="inlineStr">
        <is>
          <t>—</t>
        </is>
      </c>
      <c r="C24" s="14" t="inlineStr">
        <is>
          <t>—</t>
        </is>
      </c>
      <c r="D24" s="6" t="inlineStr">
        <is>
          <t>黃金與貴金屬礦</t>
        </is>
      </c>
      <c r="E24" s="61" t="n">
        <v>66</v>
      </c>
      <c r="F24" s="20" t="n">
        <v>195.57</v>
      </c>
      <c r="G24" s="20" t="n">
        <v>196.9</v>
      </c>
      <c r="H24" s="20" t="n">
        <v>202.57</v>
      </c>
      <c r="I24" s="11">
        <f>F24/G24-1</f>
        <v>-0.006754697816150346</v>
      </c>
      <c r="J24" s="11">
        <f>F24/H24-1</f>
        <v>-0.034555955965838936</v>
      </c>
      <c r="K24" s="13" t="n">
        <v>1818678</v>
      </c>
      <c r="L24" s="13" t="n">
        <v>2763700</v>
      </c>
      <c r="M24" s="21">
        <f>K24/L24</f>
        <v>0.6580591236386004</v>
      </c>
    </row>
    <row r="25">
      <c r="A25" s="19" t="inlineStr">
        <is>
          <t>AEP</t>
        </is>
      </c>
      <c r="B25" s="14" t="inlineStr">
        <is>
          <t>—</t>
        </is>
      </c>
      <c r="C25" s="14" t="inlineStr">
        <is>
          <t>—</t>
        </is>
      </c>
      <c r="D25" s="6" t="inlineStr">
        <is>
          <t>受監管電力公用</t>
        </is>
      </c>
      <c r="E25" s="61" t="n">
        <v>93</v>
      </c>
      <c r="F25" s="20" t="n">
        <v>120.69</v>
      </c>
      <c r="G25" s="20" t="n">
        <v>120.61</v>
      </c>
      <c r="H25" s="20" t="n">
        <v>124.67</v>
      </c>
      <c r="I25" s="11">
        <f>F25/G25-1</f>
        <v>0.0006632949175027214</v>
      </c>
      <c r="J25" s="11">
        <f>F25/H25-1</f>
        <v>-0.031924280099462576</v>
      </c>
      <c r="K25" s="13" t="n">
        <v>4041025</v>
      </c>
      <c r="L25" s="13" t="n">
        <v>3178350</v>
      </c>
      <c r="M25" s="21">
        <f>K25/L25</f>
        <v>1.2714222788553808</v>
      </c>
    </row>
    <row r="26">
      <c r="A26" s="19" t="inlineStr">
        <is>
          <t>AFL</t>
        </is>
      </c>
      <c r="B26" s="14" t="inlineStr">
        <is>
          <t>—</t>
        </is>
      </c>
      <c r="C26" s="14" t="inlineStr">
        <is>
          <t>—</t>
        </is>
      </c>
      <c r="D26" s="6" t="inlineStr">
        <is>
          <t>壽險與年金</t>
        </is>
      </c>
      <c r="E26" s="61" t="n">
        <v>12</v>
      </c>
      <c r="F26" s="20" t="n">
        <v>116.81</v>
      </c>
      <c r="G26" s="20" t="n">
        <v>117.55</v>
      </c>
      <c r="H26" s="20" t="n">
        <v>114.74</v>
      </c>
      <c r="I26" s="11">
        <f>F26/G26-1</f>
        <v>-0.00629519353466601</v>
      </c>
      <c r="J26" s="11">
        <f>F26/H26-1</f>
        <v>0.01804078786822383</v>
      </c>
      <c r="K26" s="13" t="n">
        <v>2475666</v>
      </c>
      <c r="L26" s="13" t="n">
        <v>2025150</v>
      </c>
      <c r="M26" s="21">
        <f>K26/L26</f>
        <v>1.2224605584771497</v>
      </c>
    </row>
    <row r="27">
      <c r="A27" s="19" t="inlineStr">
        <is>
          <t>AFRM</t>
        </is>
      </c>
      <c r="B27" s="14" t="inlineStr">
        <is>
          <t>—</t>
        </is>
      </c>
      <c r="C27" s="14" t="inlineStr">
        <is>
          <t>—</t>
        </is>
      </c>
      <c r="D27" s="6" t="inlineStr">
        <is>
          <t>消費金融與BNPL</t>
        </is>
      </c>
      <c r="E27" s="61" t="n">
        <v>63</v>
      </c>
      <c r="F27" s="20" t="n">
        <v>71.58</v>
      </c>
      <c r="G27" s="20" t="n">
        <v>72.09</v>
      </c>
      <c r="H27" s="20" t="n">
        <v>68.15000000000001</v>
      </c>
      <c r="I27" s="11">
        <f>F27/G27-1</f>
        <v>-0.007074490220557728</v>
      </c>
      <c r="J27" s="11">
        <f>F27/H27-1</f>
        <v>0.05033015407190011</v>
      </c>
      <c r="K27" s="13" t="n">
        <v>3986221</v>
      </c>
      <c r="L27" s="13" t="n">
        <v>3865100</v>
      </c>
      <c r="M27" s="21">
        <f>K27/L27</f>
        <v>1.0313370934775297</v>
      </c>
    </row>
    <row r="28">
      <c r="A28" s="19" t="inlineStr">
        <is>
          <t>AG</t>
        </is>
      </c>
      <c r="B28" s="14" t="inlineStr">
        <is>
          <t>—</t>
        </is>
      </c>
      <c r="C28" s="14" t="inlineStr">
        <is>
          <t>—</t>
        </is>
      </c>
      <c r="D28" s="6" t="inlineStr">
        <is>
          <t>白銀礦</t>
        </is>
      </c>
      <c r="E28" s="61" t="n">
        <v>106</v>
      </c>
      <c r="F28" s="20" t="n">
        <v>18.33</v>
      </c>
      <c r="G28" s="20" t="n">
        <v>18.64</v>
      </c>
      <c r="H28" s="20" t="n">
        <v>21.18</v>
      </c>
      <c r="I28" s="11">
        <f>F28/G28-1</f>
        <v>-0.016630901287553734</v>
      </c>
      <c r="J28" s="11">
        <f>F28/H28-1</f>
        <v>-0.13456090651558084</v>
      </c>
      <c r="K28" s="13" t="n">
        <v>11621118</v>
      </c>
      <c r="L28" s="13" t="n">
        <v>9247050</v>
      </c>
      <c r="M28" s="21">
        <f>K28/L28</f>
        <v>1.256737878566678</v>
      </c>
    </row>
    <row r="29">
      <c r="A29" s="58" t="inlineStr">
        <is>
          <t>AIG</t>
        </is>
      </c>
      <c r="B29" s="88" t="inlineStr">
        <is>
          <t>④</t>
        </is>
      </c>
      <c r="C29" s="89" t="inlineStr">
        <is>
          <t>—</t>
        </is>
      </c>
      <c r="D29" s="60" t="inlineStr">
        <is>
          <t>產險與再保</t>
        </is>
      </c>
      <c r="E29" s="49" t="n">
        <v>6</v>
      </c>
      <c r="F29" s="90" t="n">
        <v>76.06999999999999</v>
      </c>
      <c r="G29" s="90" t="n">
        <v>75.98</v>
      </c>
      <c r="H29" s="90" t="n">
        <v>75.03</v>
      </c>
      <c r="I29" s="53">
        <f>F29/G29-1</f>
        <v>0.001184522242695385</v>
      </c>
      <c r="J29" s="53">
        <f>F29/H29-1</f>
        <v>0.013861122217779354</v>
      </c>
      <c r="K29" s="91" t="n">
        <v>4428000</v>
      </c>
      <c r="L29" s="91" t="n">
        <v>3252850</v>
      </c>
      <c r="M29" s="92">
        <f>K29/L29</f>
        <v>1.3612678113039334</v>
      </c>
    </row>
    <row r="30">
      <c r="A30" s="19" t="inlineStr">
        <is>
          <t>AJG</t>
        </is>
      </c>
      <c r="B30" s="14" t="inlineStr">
        <is>
          <t>—</t>
        </is>
      </c>
      <c r="C30" s="14" t="inlineStr">
        <is>
          <t>—</t>
        </is>
      </c>
      <c r="D30" s="6" t="inlineStr">
        <is>
          <t>保險經紀</t>
        </is>
      </c>
      <c r="E30" s="61" t="n">
        <v>84</v>
      </c>
      <c r="F30" s="20" t="n">
        <v>243.78</v>
      </c>
      <c r="G30" s="20" t="n">
        <v>248.04</v>
      </c>
      <c r="H30" s="20" t="n">
        <v>244.28</v>
      </c>
      <c r="I30" s="11">
        <f>F30/G30-1</f>
        <v>-0.01717464925012091</v>
      </c>
      <c r="J30" s="11">
        <f>F30/H30-1</f>
        <v>-0.0020468315048305374</v>
      </c>
      <c r="K30" s="13" t="n">
        <v>1180463</v>
      </c>
      <c r="L30" s="13" t="n">
        <v>1383450</v>
      </c>
      <c r="M30" s="21">
        <f>K30/L30</f>
        <v>0.8532747840543569</v>
      </c>
    </row>
    <row r="31">
      <c r="A31" s="19" t="inlineStr">
        <is>
          <t>ALB</t>
        </is>
      </c>
      <c r="B31" s="14" t="inlineStr">
        <is>
          <t>—</t>
        </is>
      </c>
      <c r="C31" s="14" t="inlineStr">
        <is>
          <t>—</t>
        </is>
      </c>
      <c r="D31" s="6" t="inlineStr">
        <is>
          <t>特種化工</t>
        </is>
      </c>
      <c r="E31" s="61" t="n">
        <v>46</v>
      </c>
      <c r="F31" s="20" t="n">
        <v>109.47</v>
      </c>
      <c r="G31" s="20" t="n">
        <v>113.45</v>
      </c>
      <c r="H31" s="20" t="n">
        <v>125.91</v>
      </c>
      <c r="I31" s="11">
        <f>F31/G31-1</f>
        <v>-0.0350815337152931</v>
      </c>
      <c r="J31" s="11">
        <f>F31/H31-1</f>
        <v>-0.1305694543721706</v>
      </c>
      <c r="K31" s="13" t="n">
        <v>2748049</v>
      </c>
      <c r="L31" s="13" t="n">
        <v>2137050</v>
      </c>
      <c r="M31" s="21">
        <f>K31/L31</f>
        <v>1.2859076764699</v>
      </c>
    </row>
    <row r="32">
      <c r="A32" s="19" t="inlineStr">
        <is>
          <t>ALEC</t>
        </is>
      </c>
      <c r="B32" s="14" t="inlineStr">
        <is>
          <t>—</t>
        </is>
      </c>
      <c r="C32" s="14" t="inlineStr">
        <is>
          <t>—</t>
        </is>
      </c>
      <c r="D32" s="6" t="inlineStr">
        <is>
          <t>臨床期中小型生技</t>
        </is>
      </c>
      <c r="E32" s="61" t="n">
        <v>110</v>
      </c>
      <c r="F32" s="20" t="n">
        <v>1.925</v>
      </c>
      <c r="G32" s="20" t="n">
        <v>2.035</v>
      </c>
      <c r="H32" s="20" t="n">
        <v>2.27</v>
      </c>
      <c r="I32" s="11">
        <f>F32/G32-1</f>
        <v>-0.05405405405405406</v>
      </c>
      <c r="J32" s="11">
        <f>F32/H32-1</f>
        <v>-0.1519823788546255</v>
      </c>
      <c r="K32" s="13" t="n">
        <v>622260</v>
      </c>
      <c r="L32" s="13" t="n">
        <v>733100</v>
      </c>
      <c r="M32" s="21">
        <f>K32/L32</f>
        <v>0.848806438412222</v>
      </c>
    </row>
    <row r="33">
      <c r="A33" s="19" t="inlineStr">
        <is>
          <t>ALLO</t>
        </is>
      </c>
      <c r="B33" s="14" t="inlineStr">
        <is>
          <t>—</t>
        </is>
      </c>
      <c r="C33" s="14" t="inlineStr">
        <is>
          <t>—</t>
        </is>
      </c>
      <c r="D33" s="6" t="inlineStr">
        <is>
          <t>腫瘤與細胞治療</t>
        </is>
      </c>
      <c r="E33" s="61" t="n">
        <v>50</v>
      </c>
      <c r="F33" s="20" t="n">
        <v>1.69</v>
      </c>
      <c r="G33" s="20" t="n">
        <v>1.72</v>
      </c>
      <c r="H33" s="20" t="n">
        <v>1.73</v>
      </c>
      <c r="I33" s="11">
        <f>F33/G33-1</f>
        <v>-0.01744186046511631</v>
      </c>
      <c r="J33" s="11">
        <f>F33/H33-1</f>
        <v>-0.023121387283236983</v>
      </c>
      <c r="K33" s="13" t="n">
        <v>5604939</v>
      </c>
      <c r="L33" s="13" t="n">
        <v>4808500</v>
      </c>
      <c r="M33" s="21">
        <f>K33/L33</f>
        <v>1.1656314859103671</v>
      </c>
    </row>
    <row r="34">
      <c r="A34" s="19" t="inlineStr">
        <is>
          <t>ALOY</t>
        </is>
      </c>
      <c r="B34" s="14" t="inlineStr">
        <is>
          <t>—</t>
        </is>
      </c>
      <c r="C34" s="14" t="inlineStr">
        <is>
          <t>—</t>
        </is>
      </c>
      <c r="D34" s="6" t="inlineStr">
        <is>
          <t>稀土與關鍵礦產</t>
        </is>
      </c>
      <c r="E34" s="61" t="n">
        <v>109</v>
      </c>
      <c r="F34" s="20" t="n">
        <v>8.15</v>
      </c>
      <c r="G34" s="20" t="n">
        <v>8.465</v>
      </c>
      <c r="H34" s="20" t="n">
        <v>9.539999999999999</v>
      </c>
      <c r="I34" s="11">
        <f>F34/G34-1</f>
        <v>-0.037212049616066056</v>
      </c>
      <c r="J34" s="11">
        <f>F34/H34-1</f>
        <v>-0.1457023060796645</v>
      </c>
      <c r="K34" s="13" t="n">
        <v>2363004</v>
      </c>
      <c r="L34" s="13" t="n">
        <v>1963350</v>
      </c>
      <c r="M34" s="21">
        <f>K34/L34</f>
        <v>1.2035571854228742</v>
      </c>
    </row>
    <row r="35">
      <c r="A35" s="19" t="inlineStr">
        <is>
          <t>ALT</t>
        </is>
      </c>
      <c r="B35" s="14" t="inlineStr">
        <is>
          <t>—</t>
        </is>
      </c>
      <c r="C35" s="14" t="inlineStr">
        <is>
          <t>—</t>
        </is>
      </c>
      <c r="D35" s="6" t="inlineStr">
        <is>
          <t>GLP-1減重與代謝</t>
        </is>
      </c>
      <c r="E35" s="61" t="n">
        <v>94</v>
      </c>
      <c r="F35" s="20" t="n">
        <v>3.24</v>
      </c>
      <c r="G35" s="20" t="n">
        <v>3.23</v>
      </c>
      <c r="H35" s="20" t="n">
        <v>3.35</v>
      </c>
      <c r="I35" s="11">
        <f>F35/G35-1</f>
        <v>0.003095975232198178</v>
      </c>
      <c r="J35" s="11">
        <f>F35/H35-1</f>
        <v>-0.032835820895522394</v>
      </c>
      <c r="K35" s="13" t="n">
        <v>3327619</v>
      </c>
      <c r="L35" s="13" t="n">
        <v>2892900</v>
      </c>
      <c r="M35" s="21">
        <f>K35/L35</f>
        <v>1.1502710083307408</v>
      </c>
    </row>
    <row r="36">
      <c r="A36" s="19" t="inlineStr">
        <is>
          <t>AMAT</t>
        </is>
      </c>
      <c r="B36" s="14" t="inlineStr">
        <is>
          <t>—</t>
        </is>
      </c>
      <c r="C36" s="14" t="inlineStr">
        <is>
          <t>—</t>
        </is>
      </c>
      <c r="D36" s="6" t="inlineStr">
        <is>
          <t>半導體設備</t>
        </is>
      </c>
      <c r="E36" s="61" t="n">
        <v>88</v>
      </c>
      <c r="F36" s="20" t="n">
        <v>415.38</v>
      </c>
      <c r="G36" s="20" t="n">
        <v>421.17</v>
      </c>
      <c r="H36" s="20" t="n">
        <v>468.85</v>
      </c>
      <c r="I36" s="11">
        <f>F36/G36-1</f>
        <v>-0.013747417907258419</v>
      </c>
      <c r="J36" s="11">
        <f>F36/H36-1</f>
        <v>-0.11404500373253712</v>
      </c>
      <c r="K36" s="13" t="n">
        <v>5481018</v>
      </c>
      <c r="L36" s="13" t="n">
        <v>6229800</v>
      </c>
      <c r="M36" s="21">
        <f>K36/L36</f>
        <v>0.8798064143311182</v>
      </c>
    </row>
    <row r="37">
      <c r="A37" s="19" t="inlineStr">
        <is>
          <t>AMD</t>
        </is>
      </c>
      <c r="B37" s="14" t="inlineStr">
        <is>
          <t>—</t>
        </is>
      </c>
      <c r="C37" s="14" t="inlineStr">
        <is>
          <t>—</t>
        </is>
      </c>
      <c r="D37" s="6" t="inlineStr">
        <is>
          <t>AI加速晶片/GPU</t>
        </is>
      </c>
      <c r="E37" s="61" t="n">
        <v>57</v>
      </c>
      <c r="F37" s="20" t="n">
        <v>512.5</v>
      </c>
      <c r="G37" s="20" t="n">
        <v>504.2</v>
      </c>
      <c r="H37" s="20" t="n">
        <v>521.1</v>
      </c>
      <c r="I37" s="11">
        <f>F37/G37-1</f>
        <v>0.016461721539071883</v>
      </c>
      <c r="J37" s="11">
        <f>F37/H37-1</f>
        <v>-0.016503550182306648</v>
      </c>
      <c r="K37" s="13" t="n">
        <v>22139856</v>
      </c>
      <c r="L37" s="13" t="n">
        <v>16522000</v>
      </c>
      <c r="M37" s="21">
        <f>K37/L37</f>
        <v>1.3400227575354073</v>
      </c>
    </row>
    <row r="38">
      <c r="A38" s="19" t="inlineStr">
        <is>
          <t>AMG</t>
        </is>
      </c>
      <c r="B38" s="14" t="inlineStr">
        <is>
          <t>—</t>
        </is>
      </c>
      <c r="C38" s="14" t="inlineStr">
        <is>
          <t>—</t>
        </is>
      </c>
      <c r="D38" s="6" t="inlineStr">
        <is>
          <t>資產管理</t>
        </is>
      </c>
      <c r="E38" s="61" t="n">
        <v>91</v>
      </c>
      <c r="F38" s="20" t="n">
        <v>342.82</v>
      </c>
      <c r="G38" s="20" t="n">
        <v>347.94</v>
      </c>
      <c r="H38" s="20" t="n">
        <v>355.85</v>
      </c>
      <c r="I38" s="11">
        <f>F38/G38-1</f>
        <v>-0.014715180778295145</v>
      </c>
      <c r="J38" s="11">
        <f>F38/H38-1</f>
        <v>-0.036616551917943</v>
      </c>
      <c r="K38" s="13" t="n">
        <v>335040</v>
      </c>
      <c r="L38" s="13" t="n">
        <v>253400</v>
      </c>
      <c r="M38" s="21">
        <f>K38/L38</f>
        <v>1.3221783741120758</v>
      </c>
    </row>
    <row r="39">
      <c r="A39" s="19" t="inlineStr">
        <is>
          <t>AMGN</t>
        </is>
      </c>
      <c r="B39" s="14" t="inlineStr">
        <is>
          <t>—</t>
        </is>
      </c>
      <c r="C39" s="14" t="inlineStr">
        <is>
          <t>—</t>
        </is>
      </c>
      <c r="D39" s="6" t="inlineStr">
        <is>
          <t>大型生物科技</t>
        </is>
      </c>
      <c r="E39" s="61" t="n">
        <v>56</v>
      </c>
      <c r="F39" s="20" t="n">
        <v>376.35</v>
      </c>
      <c r="G39" s="20" t="n">
        <v>375.65</v>
      </c>
      <c r="H39" s="20" t="n">
        <v>391.27</v>
      </c>
      <c r="I39" s="11">
        <f>F39/G39-1</f>
        <v>0.0018634367097032367</v>
      </c>
      <c r="J39" s="11">
        <f>F39/H39-1</f>
        <v>-0.038132236051831137</v>
      </c>
      <c r="K39" s="13" t="n">
        <v>2395424</v>
      </c>
      <c r="L39" s="13" t="n">
        <v>2348850</v>
      </c>
      <c r="M39" s="21">
        <f>K39/L39</f>
        <v>1.0198284266768844</v>
      </c>
    </row>
    <row r="40">
      <c r="A40" s="19" t="inlineStr">
        <is>
          <t>AMH</t>
        </is>
      </c>
      <c r="B40" s="14" t="inlineStr">
        <is>
          <t>—</t>
        </is>
      </c>
      <c r="C40" s="14" t="inlineStr">
        <is>
          <t>—</t>
        </is>
      </c>
      <c r="D40" s="6" t="inlineStr">
        <is>
          <t>住宅公寓REIT</t>
        </is>
      </c>
      <c r="E40" s="61" t="n">
        <v>95</v>
      </c>
      <c r="F40" s="20" t="n">
        <v>31.38</v>
      </c>
      <c r="G40" s="20" t="n">
        <v>31.62</v>
      </c>
      <c r="H40" s="20" t="n">
        <v>32.24</v>
      </c>
      <c r="I40" s="11">
        <f>F40/G40-1</f>
        <v>-0.007590132827324569</v>
      </c>
      <c r="J40" s="11">
        <f>F40/H40-1</f>
        <v>-0.02667493796526066</v>
      </c>
      <c r="K40" s="13" t="n">
        <v>4546465</v>
      </c>
      <c r="L40" s="13" t="n">
        <v>2014950</v>
      </c>
      <c r="M40" s="21">
        <f>K40/L40</f>
        <v>2.256366162932083</v>
      </c>
    </row>
    <row r="41">
      <c r="A41" s="19" t="inlineStr">
        <is>
          <t>AMR</t>
        </is>
      </c>
      <c r="B41" s="14" t="inlineStr">
        <is>
          <t>—</t>
        </is>
      </c>
      <c r="C41" s="14" t="inlineStr">
        <is>
          <t>—</t>
        </is>
      </c>
      <c r="D41" s="6" t="inlineStr">
        <is>
          <t>煤炭</t>
        </is>
      </c>
      <c r="E41" s="61" t="n">
        <v>105</v>
      </c>
      <c r="F41" s="20" t="n">
        <v>189.49</v>
      </c>
      <c r="G41" s="20" t="n">
        <v>188.62</v>
      </c>
      <c r="H41" s="20" t="n">
        <v>226.94</v>
      </c>
      <c r="I41" s="11">
        <f>F41/G41-1</f>
        <v>0.004612448308769057</v>
      </c>
      <c r="J41" s="11">
        <f>F41/H41-1</f>
        <v>-0.1650215916101172</v>
      </c>
      <c r="K41" s="13" t="n">
        <v>340462</v>
      </c>
      <c r="L41" s="13" t="n">
        <v>347750</v>
      </c>
      <c r="M41" s="21">
        <f>K41/L41</f>
        <v>0.9790424155283969</v>
      </c>
    </row>
    <row r="42">
      <c r="A42" s="19" t="inlineStr">
        <is>
          <t>AMT</t>
        </is>
      </c>
      <c r="B42" s="14" t="inlineStr">
        <is>
          <t>—</t>
        </is>
      </c>
      <c r="C42" s="14" t="inlineStr">
        <is>
          <t>—</t>
        </is>
      </c>
      <c r="D42" s="6" t="inlineStr">
        <is>
          <t>通訊塔REIT</t>
        </is>
      </c>
      <c r="E42" s="61" t="n">
        <v>58</v>
      </c>
      <c r="F42" s="20" t="n">
        <v>176.39</v>
      </c>
      <c r="G42" s="20" t="n">
        <v>177.71</v>
      </c>
      <c r="H42" s="20" t="n">
        <v>175.43</v>
      </c>
      <c r="I42" s="11">
        <f>F42/G42-1</f>
        <v>-0.007427831860897127</v>
      </c>
      <c r="J42" s="11">
        <f>F42/H42-1</f>
        <v>0.00547226814113877</v>
      </c>
      <c r="K42" s="13" t="n">
        <v>2348730</v>
      </c>
      <c r="L42" s="13" t="n">
        <v>1982600</v>
      </c>
      <c r="M42" s="21">
        <f>K42/L42</f>
        <v>1.184671643296681</v>
      </c>
    </row>
    <row r="43">
      <c r="A43" s="19" t="inlineStr">
        <is>
          <t>AMZN</t>
        </is>
      </c>
      <c r="B43" s="14" t="inlineStr">
        <is>
          <t>—</t>
        </is>
      </c>
      <c r="C43" s="14" t="inlineStr">
        <is>
          <t>—</t>
        </is>
      </c>
      <c r="D43" s="6" t="inlineStr">
        <is>
          <t>電商平台、雲端基建/IaaS/Neocloud</t>
        </is>
      </c>
      <c r="E43" s="61" t="n">
        <v>35</v>
      </c>
      <c r="F43" s="20" t="n">
        <v>245.96</v>
      </c>
      <c r="G43" s="20" t="n">
        <v>248.42</v>
      </c>
      <c r="H43" s="20" t="n">
        <v>252.4</v>
      </c>
      <c r="I43" s="11">
        <f>F43/G43-1</f>
        <v>-0.00990258433298441</v>
      </c>
      <c r="J43" s="11">
        <f>F43/H43-1</f>
        <v>-0.02551505546751187</v>
      </c>
      <c r="K43" s="13" t="n">
        <v>32895349</v>
      </c>
      <c r="L43" s="13" t="n">
        <v>31225000</v>
      </c>
      <c r="M43" s="21">
        <f>K43/L43</f>
        <v>1.0534939631705365</v>
      </c>
    </row>
    <row r="44">
      <c r="A44" s="19" t="inlineStr">
        <is>
          <t>ANET</t>
        </is>
      </c>
      <c r="B44" s="14" t="inlineStr">
        <is>
          <t>—</t>
        </is>
      </c>
      <c r="C44" s="14" t="inlineStr">
        <is>
          <t>—</t>
        </is>
      </c>
      <c r="D44" s="6" t="inlineStr">
        <is>
          <t>AI資料中心建設</t>
        </is>
      </c>
      <c r="E44" s="61" t="n">
        <v>17</v>
      </c>
      <c r="F44" s="20" t="n">
        <v>197.54</v>
      </c>
      <c r="G44" s="20" t="n">
        <v>192.84</v>
      </c>
      <c r="H44" s="20" t="n">
        <v>192.93</v>
      </c>
      <c r="I44" s="11">
        <f>F44/G44-1</f>
        <v>0.024372536818087376</v>
      </c>
      <c r="J44" s="11">
        <f>F44/H44-1</f>
        <v>0.023894676825791716</v>
      </c>
      <c r="K44" s="13" t="n">
        <v>4470775</v>
      </c>
      <c r="L44" s="13" t="n">
        <v>4665350</v>
      </c>
      <c r="M44" s="21">
        <f>K44/L44</f>
        <v>0.9582935899771722</v>
      </c>
    </row>
    <row r="45">
      <c r="A45" s="19" t="inlineStr">
        <is>
          <t>AON</t>
        </is>
      </c>
      <c r="B45" s="14" t="inlineStr">
        <is>
          <t>—</t>
        </is>
      </c>
      <c r="C45" s="14" t="inlineStr">
        <is>
          <t>—</t>
        </is>
      </c>
      <c r="D45" s="6" t="inlineStr">
        <is>
          <t>保險經紀</t>
        </is>
      </c>
      <c r="E45" s="61" t="n">
        <v>84</v>
      </c>
      <c r="F45" s="20" t="n">
        <v>300.57</v>
      </c>
      <c r="G45" s="20" t="n">
        <v>304.67</v>
      </c>
      <c r="H45" s="20" t="n">
        <v>304.69</v>
      </c>
      <c r="I45" s="11">
        <f>F45/G45-1</f>
        <v>-0.013457183181803334</v>
      </c>
      <c r="J45" s="11">
        <f>F45/H45-1</f>
        <v>-0.0135219403327973</v>
      </c>
      <c r="K45" s="13" t="n">
        <v>3194450</v>
      </c>
      <c r="L45" s="13" t="n">
        <v>1466500</v>
      </c>
      <c r="M45" s="21">
        <f>K45/L45</f>
        <v>2.1782816229116944</v>
      </c>
    </row>
    <row r="46">
      <c r="A46" s="19" t="inlineStr">
        <is>
          <t>APA</t>
        </is>
      </c>
      <c r="B46" s="14" t="inlineStr">
        <is>
          <t>—</t>
        </is>
      </c>
      <c r="C46" s="14" t="inlineStr">
        <is>
          <t>—</t>
        </is>
      </c>
      <c r="D46" s="6" t="inlineStr">
        <is>
          <t>—</t>
        </is>
      </c>
      <c r="E46" s="61" t="n"/>
      <c r="F46" s="20" t="n">
        <v>44.79</v>
      </c>
      <c r="G46" s="20" t="n">
        <v>47.41</v>
      </c>
      <c r="H46" s="20" t="n">
        <v>44.84</v>
      </c>
      <c r="I46" s="11">
        <f>F46/G46-1</f>
        <v>-0.055262602826407936</v>
      </c>
      <c r="J46" s="11">
        <f>F46/H46-1</f>
        <v>-0.001115075825156242</v>
      </c>
      <c r="K46" s="13" t="n">
        <v>9160080</v>
      </c>
      <c r="L46" s="13" t="n">
        <v>4866200</v>
      </c>
      <c r="M46" s="21">
        <f>K46/L46</f>
        <v>1.882388722206239</v>
      </c>
    </row>
    <row r="47">
      <c r="A47" s="19" t="inlineStr">
        <is>
          <t>APD</t>
        </is>
      </c>
      <c r="B47" s="14" t="inlineStr">
        <is>
          <t>—</t>
        </is>
      </c>
      <c r="C47" s="14" t="inlineStr">
        <is>
          <t>—</t>
        </is>
      </c>
      <c r="D47" s="6" t="inlineStr">
        <is>
          <t>特種化工</t>
        </is>
      </c>
      <c r="E47" s="61" t="n">
        <v>46</v>
      </c>
      <c r="F47" s="20" t="n">
        <v>287.08</v>
      </c>
      <c r="G47" s="20" t="n">
        <v>290.56</v>
      </c>
      <c r="H47" s="20" t="n">
        <v>295.24</v>
      </c>
      <c r="I47" s="11">
        <f>F47/G47-1</f>
        <v>-0.01197687224669608</v>
      </c>
      <c r="J47" s="11">
        <f>F47/H47-1</f>
        <v>-0.027638531364313823</v>
      </c>
      <c r="K47" s="13" t="n">
        <v>1465770</v>
      </c>
      <c r="L47" s="13" t="n">
        <v>957300</v>
      </c>
      <c r="M47" s="21">
        <f>K47/L47</f>
        <v>1.5311501096834848</v>
      </c>
    </row>
    <row r="48">
      <c r="A48" s="19" t="inlineStr">
        <is>
          <t>APH</t>
        </is>
      </c>
      <c r="B48" s="14" t="inlineStr">
        <is>
          <t>—</t>
        </is>
      </c>
      <c r="C48" s="14" t="inlineStr">
        <is>
          <t>—</t>
        </is>
      </c>
      <c r="D48" s="6" t="inlineStr">
        <is>
          <t>電子硬件與EMS/連接器</t>
        </is>
      </c>
      <c r="E48" s="61" t="n">
        <v>5</v>
      </c>
      <c r="F48" s="20" t="n">
        <v>77.26000000000001</v>
      </c>
      <c r="G48" s="20" t="n">
        <v>77.65000000000001</v>
      </c>
      <c r="H48" s="20" t="n">
        <v>81.34</v>
      </c>
      <c r="I48" s="11">
        <f>F48/G48-1</f>
        <v>-0.005022537025112683</v>
      </c>
      <c r="J48" s="11">
        <f>F48/H48-1</f>
        <v>-0.050159822965330725</v>
      </c>
      <c r="K48" s="13" t="n">
        <v>8898792</v>
      </c>
      <c r="L48" s="13" t="n">
        <v>11044800</v>
      </c>
      <c r="M48" s="21">
        <f>K48/L48</f>
        <v>0.8056996957844416</v>
      </c>
    </row>
    <row r="49">
      <c r="A49" s="19" t="inlineStr">
        <is>
          <t>APO</t>
        </is>
      </c>
      <c r="B49" s="14" t="inlineStr">
        <is>
          <t>—</t>
        </is>
      </c>
      <c r="C49" s="14" t="inlineStr">
        <is>
          <t>—</t>
        </is>
      </c>
      <c r="D49" s="6" t="inlineStr">
        <is>
          <t>另類資產與私募信貸</t>
        </is>
      </c>
      <c r="E49" s="61" t="n">
        <v>100</v>
      </c>
      <c r="F49" s="20" t="n">
        <v>124.53</v>
      </c>
      <c r="G49" s="20" t="n">
        <v>127</v>
      </c>
      <c r="H49" s="20" t="n">
        <v>130.98</v>
      </c>
      <c r="I49" s="11">
        <f>F49/G49-1</f>
        <v>-0.019448818897637832</v>
      </c>
      <c r="J49" s="11">
        <f>F49/H49-1</f>
        <v>-0.0492441594136509</v>
      </c>
      <c r="K49" s="13" t="n">
        <v>3062118</v>
      </c>
      <c r="L49" s="13" t="n">
        <v>2204050</v>
      </c>
      <c r="M49" s="21">
        <f>K49/L49</f>
        <v>1.389314217009596</v>
      </c>
    </row>
    <row r="50">
      <c r="A50" s="19" t="inlineStr">
        <is>
          <t>APTV</t>
        </is>
      </c>
      <c r="B50" s="14" t="inlineStr">
        <is>
          <t>—</t>
        </is>
      </c>
      <c r="C50" s="14" t="inlineStr">
        <is>
          <t>—</t>
        </is>
      </c>
      <c r="D50" s="6" t="inlineStr">
        <is>
          <t>傳統汽車與零部件</t>
        </is>
      </c>
      <c r="E50" s="61" t="n">
        <v>65</v>
      </c>
      <c r="F50" s="20" t="n">
        <v>43.34</v>
      </c>
      <c r="G50" s="20" t="n">
        <v>43.75</v>
      </c>
      <c r="H50" s="20" t="n">
        <v>44.51</v>
      </c>
      <c r="I50" s="11">
        <f>F50/G50-1</f>
        <v>-0.009371428571428475</v>
      </c>
      <c r="J50" s="11">
        <f>F50/H50-1</f>
        <v>-0.026286227813974272</v>
      </c>
      <c r="K50" s="13" t="n">
        <v>3101679</v>
      </c>
      <c r="L50" s="13" t="n">
        <v>3747950</v>
      </c>
      <c r="M50" s="21">
        <f>K50/L50</f>
        <v>0.8275668031857415</v>
      </c>
    </row>
    <row r="51">
      <c r="A51" s="19" t="inlineStr">
        <is>
          <t>ARES</t>
        </is>
      </c>
      <c r="B51" s="14" t="inlineStr">
        <is>
          <t>—</t>
        </is>
      </c>
      <c r="C51" s="14" t="inlineStr">
        <is>
          <t>—</t>
        </is>
      </c>
      <c r="D51" s="6" t="inlineStr">
        <is>
          <t>另類資產與私募信貸</t>
        </is>
      </c>
      <c r="E51" s="61" t="n">
        <v>100</v>
      </c>
      <c r="F51" s="20" t="n">
        <v>124.21</v>
      </c>
      <c r="G51" s="20" t="n">
        <v>129.1</v>
      </c>
      <c r="H51" s="20" t="n">
        <v>134.37</v>
      </c>
      <c r="I51" s="11">
        <f>F51/G51-1</f>
        <v>-0.037877614252517455</v>
      </c>
      <c r="J51" s="11">
        <f>F51/H51-1</f>
        <v>-0.07561211579965776</v>
      </c>
      <c r="K51" s="13" t="n">
        <v>1803125</v>
      </c>
      <c r="L51" s="13" t="n">
        <v>1713350</v>
      </c>
      <c r="M51" s="21">
        <f>K51/L51</f>
        <v>1.0523973502203285</v>
      </c>
    </row>
    <row r="52">
      <c r="A52" s="19" t="inlineStr">
        <is>
          <t>ARM</t>
        </is>
      </c>
      <c r="B52" s="14" t="inlineStr">
        <is>
          <t>—</t>
        </is>
      </c>
      <c r="C52" s="14" t="inlineStr">
        <is>
          <t>—</t>
        </is>
      </c>
      <c r="D52" s="6" t="inlineStr">
        <is>
          <t>EDA與半導體IP</t>
        </is>
      </c>
      <c r="E52" s="61" t="n">
        <v>37</v>
      </c>
      <c r="F52" s="20" t="n">
        <v>243.98</v>
      </c>
      <c r="G52" s="20" t="n">
        <v>241.83</v>
      </c>
      <c r="H52" s="20" t="n">
        <v>264.23</v>
      </c>
      <c r="I52" s="11">
        <f>F52/G52-1</f>
        <v>0.008890542943389868</v>
      </c>
      <c r="J52" s="11">
        <f>F52/H52-1</f>
        <v>-0.07663777769367608</v>
      </c>
      <c r="K52" s="13" t="n">
        <v>2647545</v>
      </c>
      <c r="L52" s="13" t="n">
        <v>3819600</v>
      </c>
      <c r="M52" s="21">
        <f>K52/L52</f>
        <v>0.6931471881872447</v>
      </c>
    </row>
    <row r="53">
      <c r="A53" s="19" t="inlineStr">
        <is>
          <t>ARVN</t>
        </is>
      </c>
      <c r="B53" s="14" t="inlineStr">
        <is>
          <t>—</t>
        </is>
      </c>
      <c r="C53" s="14" t="inlineStr">
        <is>
          <t>—</t>
        </is>
      </c>
      <c r="D53" s="6" t="inlineStr">
        <is>
          <t>腫瘤與細胞治療</t>
        </is>
      </c>
      <c r="E53" s="61" t="n">
        <v>50</v>
      </c>
      <c r="F53" s="20" t="n">
        <v>8.16</v>
      </c>
      <c r="G53" s="20" t="n">
        <v>8.26</v>
      </c>
      <c r="H53" s="20" t="n">
        <v>8.76</v>
      </c>
      <c r="I53" s="11">
        <f>F53/G53-1</f>
        <v>-0.012106537530266248</v>
      </c>
      <c r="J53" s="11">
        <f>F53/H53-1</f>
        <v>-0.06849315068493145</v>
      </c>
      <c r="K53" s="13" t="n">
        <v>742605</v>
      </c>
      <c r="L53" s="13" t="n">
        <v>562700</v>
      </c>
      <c r="M53" s="21">
        <f>K53/L53</f>
        <v>1.3197174338013151</v>
      </c>
    </row>
    <row r="54">
      <c r="A54" s="19" t="inlineStr">
        <is>
          <t>ASML</t>
        </is>
      </c>
      <c r="B54" s="14" t="inlineStr">
        <is>
          <t>—</t>
        </is>
      </c>
      <c r="C54" s="14" t="inlineStr">
        <is>
          <t>—</t>
        </is>
      </c>
      <c r="D54" s="6" t="inlineStr">
        <is>
          <t>半導體設備</t>
        </is>
      </c>
      <c r="E54" s="61" t="n">
        <v>88</v>
      </c>
      <c r="F54" s="20" t="n">
        <v>1602.22</v>
      </c>
      <c r="G54" s="20" t="n">
        <v>1591.48</v>
      </c>
      <c r="H54" s="20" t="n">
        <v>1729.52</v>
      </c>
      <c r="I54" s="11">
        <f>F54/G54-1</f>
        <v>0.006748435418604037</v>
      </c>
      <c r="J54" s="11">
        <f>F54/H54-1</f>
        <v>-0.07360423701373786</v>
      </c>
      <c r="K54" s="13" t="n">
        <v>1333155</v>
      </c>
      <c r="L54" s="13" t="n">
        <v>1140050</v>
      </c>
      <c r="M54" s="21">
        <f>K54/L54</f>
        <v>1.1693829218016754</v>
      </c>
    </row>
    <row r="55">
      <c r="A55" s="19" t="inlineStr">
        <is>
          <t>ASPI</t>
        </is>
      </c>
      <c r="B55" s="14" t="inlineStr">
        <is>
          <t>—</t>
        </is>
      </c>
      <c r="C55" s="14" t="inlineStr">
        <is>
          <t>—</t>
        </is>
      </c>
      <c r="D55" s="6" t="inlineStr">
        <is>
          <t>小型模組化核能SMR</t>
        </is>
      </c>
      <c r="E55" s="61" t="n">
        <v>108</v>
      </c>
      <c r="F55" s="20" t="n">
        <v>3.15</v>
      </c>
      <c r="G55" s="20" t="n">
        <v>3.16</v>
      </c>
      <c r="H55" s="20" t="n">
        <v>3.82</v>
      </c>
      <c r="I55" s="11">
        <f>F55/G55-1</f>
        <v>-0.0031645569620254443</v>
      </c>
      <c r="J55" s="11">
        <f>F55/H55-1</f>
        <v>-0.17539267015706805</v>
      </c>
      <c r="K55" s="13" t="n">
        <v>3490226</v>
      </c>
      <c r="L55" s="13" t="n">
        <v>3629800</v>
      </c>
      <c r="M55" s="21">
        <f>K55/L55</f>
        <v>0.9615477436773376</v>
      </c>
    </row>
    <row r="56">
      <c r="A56" s="19" t="inlineStr">
        <is>
          <t>ASTS</t>
        </is>
      </c>
      <c r="B56" s="14" t="inlineStr">
        <is>
          <t>—</t>
        </is>
      </c>
      <c r="C56" s="14" t="inlineStr">
        <is>
          <t>—</t>
        </is>
      </c>
      <c r="D56" s="6" t="inlineStr">
        <is>
          <t>太空與衛星、有線/寬頻/衛星</t>
        </is>
      </c>
      <c r="E56" s="61" t="n">
        <v>40</v>
      </c>
      <c r="F56" s="20" t="n">
        <v>59.27</v>
      </c>
      <c r="G56" s="20" t="n">
        <v>58.77</v>
      </c>
      <c r="H56" s="20" t="n">
        <v>62.42</v>
      </c>
      <c r="I56" s="11">
        <f>F56/G56-1</f>
        <v>0.00850774204526128</v>
      </c>
      <c r="J56" s="11">
        <f>F56/H56-1</f>
        <v>-0.05046459468119191</v>
      </c>
      <c r="K56" s="13" t="n">
        <v>7180000</v>
      </c>
      <c r="L56" s="13" t="n">
        <v>8418700</v>
      </c>
      <c r="M56" s="21">
        <f>K56/L56</f>
        <v>0.8528632686756863</v>
      </c>
    </row>
    <row r="57">
      <c r="A57" s="19" t="inlineStr">
        <is>
          <t>ATO</t>
        </is>
      </c>
      <c r="B57" s="14" t="inlineStr">
        <is>
          <t>—</t>
        </is>
      </c>
      <c r="C57" s="14" t="inlineStr">
        <is>
          <t>—</t>
        </is>
      </c>
      <c r="D57" s="6" t="inlineStr">
        <is>
          <t>燃氣公用</t>
        </is>
      </c>
      <c r="E57" s="61" t="n">
        <v>77</v>
      </c>
      <c r="F57" s="20" t="n">
        <v>161.96</v>
      </c>
      <c r="G57" s="20" t="n">
        <v>162.04</v>
      </c>
      <c r="H57" s="20" t="n">
        <v>166.59</v>
      </c>
      <c r="I57" s="11">
        <f>F57/G57-1</f>
        <v>-0.0004937052579608858</v>
      </c>
      <c r="J57" s="11">
        <f>F57/H57-1</f>
        <v>-0.027792784680953253</v>
      </c>
      <c r="K57" s="13" t="n">
        <v>1180765</v>
      </c>
      <c r="L57" s="13" t="n">
        <v>850300</v>
      </c>
      <c r="M57" s="21">
        <f>K57/L57</f>
        <v>1.3886451840526872</v>
      </c>
    </row>
    <row r="58">
      <c r="A58" s="19" t="inlineStr">
        <is>
          <t>AU</t>
        </is>
      </c>
      <c r="B58" s="14" t="inlineStr">
        <is>
          <t>—</t>
        </is>
      </c>
      <c r="C58" s="14" t="inlineStr">
        <is>
          <t>—</t>
        </is>
      </c>
      <c r="D58" s="6" t="inlineStr">
        <is>
          <t>黃金與貴金屬礦</t>
        </is>
      </c>
      <c r="E58" s="61" t="n">
        <v>66</v>
      </c>
      <c r="F58" s="20" t="n">
        <v>99.73999999999999</v>
      </c>
      <c r="G58" s="20" t="n">
        <v>100.71</v>
      </c>
      <c r="H58" s="20" t="n">
        <v>108.53</v>
      </c>
      <c r="I58" s="11">
        <f>F58/G58-1</f>
        <v>-0.00963161552973879</v>
      </c>
      <c r="J58" s="11">
        <f>F58/H58-1</f>
        <v>-0.08099143094075378</v>
      </c>
      <c r="K58" s="13" t="n">
        <v>1819531</v>
      </c>
      <c r="L58" s="13" t="n">
        <v>2588500</v>
      </c>
      <c r="M58" s="21">
        <f>K58/L58</f>
        <v>0.7029287231987638</v>
      </c>
    </row>
    <row r="59">
      <c r="A59" s="19" t="inlineStr">
        <is>
          <t>AVAV</t>
        </is>
      </c>
      <c r="B59" s="14" t="inlineStr">
        <is>
          <t>—</t>
        </is>
      </c>
      <c r="C59" s="14" t="inlineStr">
        <is>
          <t>—</t>
        </is>
      </c>
      <c r="D59" s="6" t="inlineStr">
        <is>
          <t>國防科技與無人機</t>
        </is>
      </c>
      <c r="E59" s="61" t="n">
        <v>7</v>
      </c>
      <c r="F59" s="20" t="n">
        <v>156.45</v>
      </c>
      <c r="G59" s="20" t="n">
        <v>156.99</v>
      </c>
      <c r="H59" s="20" t="n">
        <v>140.8</v>
      </c>
      <c r="I59" s="11">
        <f>F59/G59-1</f>
        <v>-0.0034397095356393237</v>
      </c>
      <c r="J59" s="11">
        <f>F59/H59-1</f>
        <v>0.11115056818181812</v>
      </c>
      <c r="K59" s="13" t="n">
        <v>1499141</v>
      </c>
      <c r="L59" s="13" t="n">
        <v>1432850</v>
      </c>
      <c r="M59" s="21">
        <f>K59/L59</f>
        <v>1.0462651359179258</v>
      </c>
    </row>
    <row r="60">
      <c r="A60" s="19" t="inlineStr">
        <is>
          <t>AVGO</t>
        </is>
      </c>
      <c r="B60" s="14" t="inlineStr">
        <is>
          <t>—</t>
        </is>
      </c>
      <c r="C60" s="14" t="inlineStr">
        <is>
          <t>—</t>
        </is>
      </c>
      <c r="D60" s="6" t="inlineStr">
        <is>
          <t>AI加速晶片/GPU</t>
        </is>
      </c>
      <c r="E60" s="61" t="n">
        <v>57</v>
      </c>
      <c r="F60" s="20" t="n">
        <v>339.51</v>
      </c>
      <c r="G60" s="20" t="n">
        <v>339.27</v>
      </c>
      <c r="H60" s="20" t="n">
        <v>364.38</v>
      </c>
      <c r="I60" s="11">
        <f>F60/G60-1</f>
        <v>0.000707401184897094</v>
      </c>
      <c r="J60" s="11">
        <f>F60/H60-1</f>
        <v>-0.06825292277292938</v>
      </c>
      <c r="K60" s="13" t="n">
        <v>22933915</v>
      </c>
      <c r="L60" s="13" t="n">
        <v>22413100</v>
      </c>
      <c r="M60" s="21">
        <f>K60/L60</f>
        <v>1.0232370801004769</v>
      </c>
    </row>
    <row r="61">
      <c r="A61" s="19" t="inlineStr">
        <is>
          <t>AWK</t>
        </is>
      </c>
      <c r="B61" s="14" t="inlineStr">
        <is>
          <t>—</t>
        </is>
      </c>
      <c r="C61" s="14" t="inlineStr">
        <is>
          <t>—</t>
        </is>
      </c>
      <c r="D61" s="6" t="inlineStr">
        <is>
          <t>水務公用</t>
        </is>
      </c>
      <c r="E61" s="61" t="n">
        <v>60</v>
      </c>
      <c r="F61" s="20" t="n">
        <v>137.76</v>
      </c>
      <c r="G61" s="20" t="n">
        <v>138.02</v>
      </c>
      <c r="H61" s="20" t="n">
        <v>140.33</v>
      </c>
      <c r="I61" s="11">
        <f>F61/G61-1</f>
        <v>-0.001883784958701784</v>
      </c>
      <c r="J61" s="11">
        <f>F61/H61-1</f>
        <v>-0.018313974203662986</v>
      </c>
      <c r="K61" s="13" t="n">
        <v>1382053</v>
      </c>
      <c r="L61" s="13" t="n">
        <v>1941000</v>
      </c>
      <c r="M61" s="21">
        <f>K61/L61</f>
        <v>0.7120314270994332</v>
      </c>
    </row>
    <row r="62">
      <c r="A62" s="19" t="inlineStr">
        <is>
          <t>AWR</t>
        </is>
      </c>
      <c r="B62" s="14" t="inlineStr">
        <is>
          <t>—</t>
        </is>
      </c>
      <c r="C62" s="14" t="inlineStr">
        <is>
          <t>—</t>
        </is>
      </c>
      <c r="D62" s="6" t="inlineStr">
        <is>
          <t>水務公用</t>
        </is>
      </c>
      <c r="E62" s="61" t="n">
        <v>60</v>
      </c>
      <c r="F62" s="20" t="n">
        <v>87.17</v>
      </c>
      <c r="G62" s="20" t="n">
        <v>86.45</v>
      </c>
      <c r="H62" s="20" t="n">
        <v>88.28</v>
      </c>
      <c r="I62" s="11">
        <f>F62/G62-1</f>
        <v>0.008328513591671527</v>
      </c>
      <c r="J62" s="11">
        <f>F62/H62-1</f>
        <v>-0.012573629361123717</v>
      </c>
      <c r="K62" s="13" t="n">
        <v>234775</v>
      </c>
      <c r="L62" s="13" t="n">
        <v>177150</v>
      </c>
      <c r="M62" s="21">
        <f>K62/L62</f>
        <v>1.3252893028506916</v>
      </c>
    </row>
    <row r="63">
      <c r="A63" s="19" t="inlineStr">
        <is>
          <t>AXP</t>
        </is>
      </c>
      <c r="B63" s="14" t="inlineStr">
        <is>
          <t>—</t>
        </is>
      </c>
      <c r="C63" s="14" t="inlineStr">
        <is>
          <t>—</t>
        </is>
      </c>
      <c r="D63" s="6" t="inlineStr">
        <is>
          <t>消費金融與BNPL</t>
        </is>
      </c>
      <c r="E63" s="61" t="n">
        <v>63</v>
      </c>
      <c r="F63" s="20" t="n">
        <v>312.43</v>
      </c>
      <c r="G63" s="20" t="n">
        <v>324.43</v>
      </c>
      <c r="H63" s="20" t="n">
        <v>321.8</v>
      </c>
      <c r="I63" s="11">
        <f>F63/G63-1</f>
        <v>-0.036987948093579526</v>
      </c>
      <c r="J63" s="11">
        <f>F63/H63-1</f>
        <v>-0.02911746426351769</v>
      </c>
      <c r="K63" s="13" t="n">
        <v>4634628</v>
      </c>
      <c r="L63" s="13" t="n">
        <v>2415500</v>
      </c>
      <c r="M63" s="21">
        <f>K63/L63</f>
        <v>1.9187033740426414</v>
      </c>
    </row>
    <row r="64">
      <c r="A64" s="19" t="inlineStr">
        <is>
          <t>BA</t>
        </is>
      </c>
      <c r="B64" s="14" t="inlineStr">
        <is>
          <t>—</t>
        </is>
      </c>
      <c r="C64" s="14" t="inlineStr">
        <is>
          <t>—</t>
        </is>
      </c>
      <c r="D64" s="6" t="inlineStr">
        <is>
          <t>航太與國防</t>
        </is>
      </c>
      <c r="E64" s="61" t="n">
        <v>26</v>
      </c>
      <c r="F64" s="20" t="n">
        <v>201.96</v>
      </c>
      <c r="G64" s="20" t="n">
        <v>209.69</v>
      </c>
      <c r="H64" s="20" t="n">
        <v>206.42</v>
      </c>
      <c r="I64" s="11">
        <f>F64/G64-1</f>
        <v>-0.036863942009633166</v>
      </c>
      <c r="J64" s="11">
        <f>F64/H64-1</f>
        <v>-0.021606433485127363</v>
      </c>
      <c r="K64" s="13" t="n">
        <v>12845697</v>
      </c>
      <c r="L64" s="13" t="n">
        <v>4698900</v>
      </c>
      <c r="M64" s="21">
        <f>K64/L64</f>
        <v>2.7337668390474366</v>
      </c>
    </row>
    <row r="65">
      <c r="A65" s="19" t="inlineStr">
        <is>
          <t>BAC</t>
        </is>
      </c>
      <c r="B65" s="14" t="inlineStr">
        <is>
          <t>—</t>
        </is>
      </c>
      <c r="C65" s="14" t="inlineStr">
        <is>
          <t>—</t>
        </is>
      </c>
      <c r="D65" s="6" t="inlineStr">
        <is>
          <t>大型全能銀行</t>
        </is>
      </c>
      <c r="E65" s="61" t="n">
        <v>68</v>
      </c>
      <c r="F65" s="20" t="n">
        <v>57.9</v>
      </c>
      <c r="G65" s="20" t="n">
        <v>59.52</v>
      </c>
      <c r="H65" s="20" t="n">
        <v>62.67</v>
      </c>
      <c r="I65" s="11">
        <f>F65/G65-1</f>
        <v>-0.027217741935483986</v>
      </c>
      <c r="J65" s="11">
        <f>F65/H65-1</f>
        <v>-0.07611297271421735</v>
      </c>
      <c r="K65" s="13" t="n">
        <v>50082472</v>
      </c>
      <c r="L65" s="13" t="n">
        <v>29116400</v>
      </c>
      <c r="M65" s="21">
        <f>K65/L65</f>
        <v>1.7200777568655465</v>
      </c>
    </row>
    <row r="66">
      <c r="A66" s="19" t="inlineStr">
        <is>
          <t>BBY</t>
        </is>
      </c>
      <c r="B66" s="14" t="inlineStr">
        <is>
          <t>—</t>
        </is>
      </c>
      <c r="C66" s="14" t="inlineStr">
        <is>
          <t>—</t>
        </is>
      </c>
      <c r="D66" s="6" t="inlineStr">
        <is>
          <t>專門零售</t>
        </is>
      </c>
      <c r="E66" s="61" t="n">
        <v>74</v>
      </c>
      <c r="F66" s="20" t="n">
        <v>92.45</v>
      </c>
      <c r="G66" s="20" t="n">
        <v>93.23999999999999</v>
      </c>
      <c r="H66" s="20" t="n">
        <v>88.03</v>
      </c>
      <c r="I66" s="11">
        <f>F66/G66-1</f>
        <v>-0.008472758472758413</v>
      </c>
      <c r="J66" s="11">
        <f>F66/H66-1</f>
        <v>0.050210155628762854</v>
      </c>
      <c r="K66" s="13" t="n">
        <v>4014976</v>
      </c>
      <c r="L66" s="13" t="n">
        <v>3817400</v>
      </c>
      <c r="M66" s="21">
        <f>K66/L66</f>
        <v>1.0517566930371458</v>
      </c>
    </row>
    <row r="67">
      <c r="A67" s="19" t="inlineStr">
        <is>
          <t>BC</t>
        </is>
      </c>
      <c r="B67" s="14" t="inlineStr">
        <is>
          <t>—</t>
        </is>
      </c>
      <c r="C67" s="14" t="inlineStr">
        <is>
          <t>—</t>
        </is>
      </c>
      <c r="D67" s="6" t="inlineStr">
        <is>
          <t>家居耐用與休閒用品</t>
        </is>
      </c>
      <c r="E67" s="61" t="n">
        <v>103</v>
      </c>
      <c r="F67" s="20" t="n">
        <v>67.72</v>
      </c>
      <c r="G67" s="20" t="n">
        <v>68.8</v>
      </c>
      <c r="H67" s="20" t="n">
        <v>70.93000000000001</v>
      </c>
      <c r="I67" s="11">
        <f>F67/G67-1</f>
        <v>-0.01569767441860459</v>
      </c>
      <c r="J67" s="11">
        <f>F67/H67-1</f>
        <v>-0.04525588608487252</v>
      </c>
      <c r="K67" s="13" t="n">
        <v>851791</v>
      </c>
      <c r="L67" s="13" t="n">
        <v>697050</v>
      </c>
      <c r="M67" s="21">
        <f>K67/L67</f>
        <v>1.221994118069005</v>
      </c>
    </row>
    <row r="68">
      <c r="A68" s="19" t="inlineStr">
        <is>
          <t>BEAM</t>
        </is>
      </c>
      <c r="B68" s="14" t="inlineStr">
        <is>
          <t>—</t>
        </is>
      </c>
      <c r="C68" s="14" t="inlineStr">
        <is>
          <t>—</t>
        </is>
      </c>
      <c r="D68" s="6" t="inlineStr">
        <is>
          <t>基因治療與基因編輯</t>
        </is>
      </c>
      <c r="E68" s="61" t="n">
        <v>83</v>
      </c>
      <c r="F68" s="20" t="n">
        <v>23.1</v>
      </c>
      <c r="G68" s="20" t="n">
        <v>23.22</v>
      </c>
      <c r="H68" s="20" t="n">
        <v>25.175</v>
      </c>
      <c r="I68" s="11">
        <f>F68/G68-1</f>
        <v>-0.0051679586563306845</v>
      </c>
      <c r="J68" s="11">
        <f>F68/H68-1</f>
        <v>-0.08242303872889767</v>
      </c>
      <c r="K68" s="13" t="n">
        <v>1817117</v>
      </c>
      <c r="L68" s="13" t="n">
        <v>1358400</v>
      </c>
      <c r="M68" s="21">
        <f>K68/L68</f>
        <v>1.3376891931684334</v>
      </c>
    </row>
    <row r="69">
      <c r="A69" s="19" t="inlineStr">
        <is>
          <t>BEN</t>
        </is>
      </c>
      <c r="B69" s="14" t="inlineStr">
        <is>
          <t>—</t>
        </is>
      </c>
      <c r="C69" s="14" t="inlineStr">
        <is>
          <t>—</t>
        </is>
      </c>
      <c r="D69" s="6" t="inlineStr">
        <is>
          <t>資產管理</t>
        </is>
      </c>
      <c r="E69" s="61" t="n">
        <v>91</v>
      </c>
      <c r="F69" s="20" t="n">
        <v>32.72</v>
      </c>
      <c r="G69" s="20" t="n">
        <v>33.29</v>
      </c>
      <c r="H69" s="20" t="n">
        <v>34.12</v>
      </c>
      <c r="I69" s="11">
        <f>F69/G69-1</f>
        <v>-0.017122258936617563</v>
      </c>
      <c r="J69" s="11">
        <f>F69/H69-1</f>
        <v>-0.041031652989449</v>
      </c>
      <c r="K69" s="13" t="n">
        <v>2559776</v>
      </c>
      <c r="L69" s="13" t="n">
        <v>2834000</v>
      </c>
      <c r="M69" s="21">
        <f>K69/L69</f>
        <v>0.9032378263937897</v>
      </c>
    </row>
    <row r="70">
      <c r="A70" s="19" t="inlineStr">
        <is>
          <t>BF.B</t>
        </is>
      </c>
      <c r="B70" s="14" t="inlineStr">
        <is>
          <t>—</t>
        </is>
      </c>
      <c r="C70" s="14" t="inlineStr">
        <is>
          <t>—</t>
        </is>
      </c>
      <c r="D70" s="6" t="inlineStr">
        <is>
          <t>酒精飲品</t>
        </is>
      </c>
      <c r="E70" s="61" t="n">
        <v>28</v>
      </c>
      <c r="F70" s="20" t="n">
        <v>25.74</v>
      </c>
      <c r="G70" s="20" t="n">
        <v>26.18</v>
      </c>
      <c r="H70" s="20" t="n">
        <v>26.15</v>
      </c>
      <c r="I70" s="11">
        <f>F70/G70-1</f>
        <v>-0.01680672268907568</v>
      </c>
      <c r="J70" s="11">
        <f>F70/H70-1</f>
        <v>-0.01567877629063097</v>
      </c>
      <c r="K70" s="13" t="n">
        <v>2280909</v>
      </c>
      <c r="L70" s="13" t="n">
        <v>2232050</v>
      </c>
      <c r="M70" s="21">
        <f>K70/L70</f>
        <v>1.0218897426132927</v>
      </c>
    </row>
    <row r="71">
      <c r="A71" s="19" t="inlineStr">
        <is>
          <t>BG</t>
        </is>
      </c>
      <c r="B71" s="14" t="inlineStr">
        <is>
          <t>—</t>
        </is>
      </c>
      <c r="C71" s="14" t="inlineStr">
        <is>
          <t>—</t>
        </is>
      </c>
      <c r="D71" s="6" t="inlineStr">
        <is>
          <t>農產品與農業投入</t>
        </is>
      </c>
      <c r="E71" s="61" t="n">
        <v>85</v>
      </c>
      <c r="F71" s="20" t="n">
        <v>117.13</v>
      </c>
      <c r="G71" s="20" t="n">
        <v>121.76</v>
      </c>
      <c r="H71" s="20" t="n">
        <v>123.5</v>
      </c>
      <c r="I71" s="11">
        <f>F71/G71-1</f>
        <v>-0.03802562417871225</v>
      </c>
      <c r="J71" s="11">
        <f>F71/H71-1</f>
        <v>-0.05157894736842106</v>
      </c>
      <c r="K71" s="13" t="n">
        <v>1810242</v>
      </c>
      <c r="L71" s="13" t="n">
        <v>1604600</v>
      </c>
      <c r="M71" s="21">
        <f>K71/L71</f>
        <v>1.1281577963355354</v>
      </c>
    </row>
    <row r="72">
      <c r="A72" s="19" t="inlineStr">
        <is>
          <t>BIIB</t>
        </is>
      </c>
      <c r="B72" s="14" t="inlineStr">
        <is>
          <t>—</t>
        </is>
      </c>
      <c r="C72" s="14" t="inlineStr">
        <is>
          <t>—</t>
        </is>
      </c>
      <c r="D72" s="6" t="inlineStr">
        <is>
          <t>大型生物科技</t>
        </is>
      </c>
      <c r="E72" s="61" t="n">
        <v>56</v>
      </c>
      <c r="F72" s="20" t="n">
        <v>216.01</v>
      </c>
      <c r="G72" s="20" t="n">
        <v>216.17</v>
      </c>
      <c r="H72" s="20" t="n">
        <v>210.73</v>
      </c>
      <c r="I72" s="11">
        <f>F72/G72-1</f>
        <v>-0.000740158208817121</v>
      </c>
      <c r="J72" s="11">
        <f>F72/H72-1</f>
        <v>0.025055758553599317</v>
      </c>
      <c r="K72" s="13" t="n">
        <v>606472</v>
      </c>
      <c r="L72" s="13" t="n">
        <v>694300</v>
      </c>
      <c r="M72" s="21">
        <f>K72/L72</f>
        <v>0.8735013682846032</v>
      </c>
    </row>
    <row r="73">
      <c r="A73" s="19" t="inlineStr">
        <is>
          <t>BJ</t>
        </is>
      </c>
      <c r="B73" s="14" t="inlineStr">
        <is>
          <t>—</t>
        </is>
      </c>
      <c r="C73" s="14" t="inlineStr">
        <is>
          <t>—</t>
        </is>
      </c>
      <c r="D73" s="6" t="inlineStr">
        <is>
          <t>大賣場與超巿</t>
        </is>
      </c>
      <c r="E73" s="61" t="n">
        <v>36</v>
      </c>
      <c r="F73" s="20" t="n">
        <v>92.98</v>
      </c>
      <c r="G73" s="20" t="n">
        <v>95.06</v>
      </c>
      <c r="H73" s="20" t="n">
        <v>88.51000000000001</v>
      </c>
      <c r="I73" s="11">
        <f>F73/G73-1</f>
        <v>-0.021880917315379778</v>
      </c>
      <c r="J73" s="11">
        <f>F73/H73-1</f>
        <v>0.05050276804880793</v>
      </c>
      <c r="K73" s="13" t="n">
        <v>1218509</v>
      </c>
      <c r="L73" s="13" t="n">
        <v>1640450</v>
      </c>
      <c r="M73" s="21">
        <f>K73/L73</f>
        <v>0.7427894784967539</v>
      </c>
    </row>
    <row r="74">
      <c r="A74" s="19" t="inlineStr">
        <is>
          <t>BKR</t>
        </is>
      </c>
      <c r="B74" s="14" t="inlineStr">
        <is>
          <t>—</t>
        </is>
      </c>
      <c r="C74" s="14" t="inlineStr">
        <is>
          <t>—</t>
        </is>
      </c>
      <c r="D74" s="6" t="inlineStr">
        <is>
          <t>油田服務</t>
        </is>
      </c>
      <c r="E74" s="61" t="n">
        <v>101</v>
      </c>
      <c r="F74" s="20" t="n">
        <v>56.32</v>
      </c>
      <c r="G74" s="20" t="n">
        <v>56.72</v>
      </c>
      <c r="H74" s="20" t="n">
        <v>63.64</v>
      </c>
      <c r="I74" s="11">
        <f>F74/G74-1</f>
        <v>-0.007052186177715081</v>
      </c>
      <c r="J74" s="11">
        <f>F74/H74-1</f>
        <v>-0.11502199874292895</v>
      </c>
      <c r="K74" s="13" t="n">
        <v>9540591</v>
      </c>
      <c r="L74" s="13" t="n">
        <v>5968300</v>
      </c>
      <c r="M74" s="21">
        <f>K74/L74</f>
        <v>1.5985441415478445</v>
      </c>
    </row>
    <row r="75">
      <c r="A75" s="19" t="inlineStr">
        <is>
          <t>BLK</t>
        </is>
      </c>
      <c r="B75" s="14" t="inlineStr">
        <is>
          <t>—</t>
        </is>
      </c>
      <c r="C75" s="14" t="inlineStr">
        <is>
          <t>—</t>
        </is>
      </c>
      <c r="D75" s="6" t="inlineStr">
        <is>
          <t>資產管理</t>
        </is>
      </c>
      <c r="E75" s="61" t="n">
        <v>91</v>
      </c>
      <c r="F75" s="20" t="n">
        <v>1037.24</v>
      </c>
      <c r="G75" s="20" t="n">
        <v>1058.66</v>
      </c>
      <c r="H75" s="20" t="n">
        <v>1072.03</v>
      </c>
      <c r="I75" s="11">
        <f>F75/G75-1</f>
        <v>-0.020233124893733634</v>
      </c>
      <c r="J75" s="11">
        <f>F75/H75-1</f>
        <v>-0.032452450024719415</v>
      </c>
      <c r="K75" s="13" t="n">
        <v>633917</v>
      </c>
      <c r="L75" s="13" t="n">
        <v>547700</v>
      </c>
      <c r="M75" s="21">
        <f>K75/L75</f>
        <v>1.1574164688698192</v>
      </c>
    </row>
    <row r="76">
      <c r="A76" s="19" t="inlineStr">
        <is>
          <t>BMY</t>
        </is>
      </c>
      <c r="B76" s="14" t="inlineStr">
        <is>
          <t>—</t>
        </is>
      </c>
      <c r="C76" s="14" t="inlineStr">
        <is>
          <t>—</t>
        </is>
      </c>
      <c r="D76" s="6" t="inlineStr">
        <is>
          <t>大型藥廠</t>
        </is>
      </c>
      <c r="E76" s="61" t="n">
        <v>23</v>
      </c>
      <c r="F76" s="20" t="n">
        <v>63.6</v>
      </c>
      <c r="G76" s="20" t="n">
        <v>63.73</v>
      </c>
      <c r="H76" s="20" t="n">
        <v>64.41</v>
      </c>
      <c r="I76" s="11">
        <f>F76/G76-1</f>
        <v>-0.0020398556409852997</v>
      </c>
      <c r="J76" s="11">
        <f>F76/H76-1</f>
        <v>-0.012575687005123348</v>
      </c>
      <c r="K76" s="13" t="n">
        <v>9448926</v>
      </c>
      <c r="L76" s="13" t="n">
        <v>6993850</v>
      </c>
      <c r="M76" s="21">
        <f>K76/L76</f>
        <v>1.3510335509054383</v>
      </c>
    </row>
    <row r="77">
      <c r="A77" s="19" t="inlineStr">
        <is>
          <t>BRO</t>
        </is>
      </c>
      <c r="B77" s="14" t="inlineStr">
        <is>
          <t>—</t>
        </is>
      </c>
      <c r="C77" s="14" t="inlineStr">
        <is>
          <t>—</t>
        </is>
      </c>
      <c r="D77" s="6" t="inlineStr">
        <is>
          <t>保險經紀</t>
        </is>
      </c>
      <c r="E77" s="61" t="n">
        <v>84</v>
      </c>
      <c r="F77" s="20" t="n">
        <v>65.88</v>
      </c>
      <c r="G77" s="20" t="n">
        <v>67.23</v>
      </c>
      <c r="H77" s="20" t="n">
        <v>66.53</v>
      </c>
      <c r="I77" s="11">
        <f>F77/G77-1</f>
        <v>-0.0200803212851407</v>
      </c>
      <c r="J77" s="11">
        <f>F77/H77-1</f>
        <v>-0.00977002855854514</v>
      </c>
      <c r="K77" s="13" t="n">
        <v>1872436</v>
      </c>
      <c r="L77" s="13" t="n">
        <v>1529600</v>
      </c>
      <c r="M77" s="21">
        <f>K77/L77</f>
        <v>1.2241344142259414</v>
      </c>
    </row>
    <row r="78">
      <c r="A78" s="19" t="inlineStr">
        <is>
          <t>BSX</t>
        </is>
      </c>
      <c r="B78" s="14" t="inlineStr">
        <is>
          <t>—</t>
        </is>
      </c>
      <c r="C78" s="14" t="inlineStr">
        <is>
          <t>—</t>
        </is>
      </c>
      <c r="D78" s="6" t="inlineStr">
        <is>
          <t>醫療器械</t>
        </is>
      </c>
      <c r="E78" s="61" t="n">
        <v>13</v>
      </c>
      <c r="F78" s="20" t="n">
        <v>43.91</v>
      </c>
      <c r="G78" s="20" t="n">
        <v>43.87</v>
      </c>
      <c r="H78" s="20" t="n">
        <v>44.96</v>
      </c>
      <c r="I78" s="11">
        <f>F78/G78-1</f>
        <v>0.0009117848187827349</v>
      </c>
      <c r="J78" s="11">
        <f>F78/H78-1</f>
        <v>-0.023354092526690517</v>
      </c>
      <c r="K78" s="13" t="n">
        <v>28470334</v>
      </c>
      <c r="L78" s="13" t="n">
        <v>18437150</v>
      </c>
      <c r="M78" s="21">
        <f>K78/L78</f>
        <v>1.5441830217793966</v>
      </c>
    </row>
    <row r="79">
      <c r="A79" s="19" t="inlineStr">
        <is>
          <t>BTU</t>
        </is>
      </c>
      <c r="B79" s="14" t="inlineStr">
        <is>
          <t>—</t>
        </is>
      </c>
      <c r="C79" s="14" t="inlineStr">
        <is>
          <t>—</t>
        </is>
      </c>
      <c r="D79" s="6" t="inlineStr">
        <is>
          <t>煤炭</t>
        </is>
      </c>
      <c r="E79" s="61" t="n">
        <v>105</v>
      </c>
      <c r="F79" s="20" t="n">
        <v>27.35</v>
      </c>
      <c r="G79" s="20" t="n">
        <v>26.66</v>
      </c>
      <c r="H79" s="20" t="n">
        <v>29.36</v>
      </c>
      <c r="I79" s="11">
        <f>F79/G79-1</f>
        <v>0.02588147036759203</v>
      </c>
      <c r="J79" s="11">
        <f>F79/H79-1</f>
        <v>-0.06846049046321523</v>
      </c>
      <c r="K79" s="13" t="n">
        <v>2540912</v>
      </c>
      <c r="L79" s="13" t="n">
        <v>2056650</v>
      </c>
      <c r="M79" s="21">
        <f>K79/L79</f>
        <v>1.2354615515522815</v>
      </c>
    </row>
    <row r="80">
      <c r="A80" s="19" t="inlineStr">
        <is>
          <t>BX</t>
        </is>
      </c>
      <c r="B80" s="14" t="inlineStr">
        <is>
          <t>—</t>
        </is>
      </c>
      <c r="C80" s="14" t="inlineStr">
        <is>
          <t>—</t>
        </is>
      </c>
      <c r="D80" s="6" t="inlineStr">
        <is>
          <t>另類資產與私募信貸</t>
        </is>
      </c>
      <c r="E80" s="61" t="n">
        <v>100</v>
      </c>
      <c r="F80" s="20" t="n">
        <v>123.45</v>
      </c>
      <c r="G80" s="20" t="n">
        <v>126.7</v>
      </c>
      <c r="H80" s="20" t="n">
        <v>129.07</v>
      </c>
      <c r="I80" s="11">
        <f>F80/G80-1</f>
        <v>-0.025651144435674844</v>
      </c>
      <c r="J80" s="11">
        <f>F80/H80-1</f>
        <v>-0.04354226388781279</v>
      </c>
      <c r="K80" s="13" t="n">
        <v>3619719</v>
      </c>
      <c r="L80" s="13" t="n">
        <v>3130250</v>
      </c>
      <c r="M80" s="21">
        <f>K80/L80</f>
        <v>1.1563673827969012</v>
      </c>
    </row>
    <row r="81">
      <c r="A81" s="19" t="inlineStr">
        <is>
          <t>BXP</t>
        </is>
      </c>
      <c r="B81" s="14" t="inlineStr">
        <is>
          <t>—</t>
        </is>
      </c>
      <c r="C81" s="14" t="inlineStr">
        <is>
          <t>—</t>
        </is>
      </c>
      <c r="D81" s="6" t="inlineStr">
        <is>
          <t>辦公樓REIT</t>
        </is>
      </c>
      <c r="E81" s="61" t="n">
        <v>16</v>
      </c>
      <c r="F81" s="20" t="n">
        <v>64.04000000000001</v>
      </c>
      <c r="G81" s="20" t="n">
        <v>63.84</v>
      </c>
      <c r="H81" s="20" t="n">
        <v>64.29000000000001</v>
      </c>
      <c r="I81" s="11">
        <f>F81/G81-1</f>
        <v>0.0031328320802006537</v>
      </c>
      <c r="J81" s="11">
        <f>F81/H81-1</f>
        <v>-0.0038886296469123893</v>
      </c>
      <c r="K81" s="13" t="n">
        <v>1657543</v>
      </c>
      <c r="L81" s="13" t="n">
        <v>1116050</v>
      </c>
      <c r="M81" s="21">
        <f>K81/L81</f>
        <v>1.4851870435912369</v>
      </c>
    </row>
    <row r="82">
      <c r="A82" s="19" t="inlineStr">
        <is>
          <t>C</t>
        </is>
      </c>
      <c r="B82" s="14" t="inlineStr">
        <is>
          <t>—</t>
        </is>
      </c>
      <c r="C82" s="14" t="inlineStr">
        <is>
          <t>—</t>
        </is>
      </c>
      <c r="D82" s="6" t="inlineStr">
        <is>
          <t>大型全能銀行</t>
        </is>
      </c>
      <c r="E82" s="61" t="n">
        <v>68</v>
      </c>
      <c r="F82" s="20" t="n">
        <v>132.95</v>
      </c>
      <c r="G82" s="20" t="n">
        <v>136.17</v>
      </c>
      <c r="H82" s="20" t="n">
        <v>137.8</v>
      </c>
      <c r="I82" s="11">
        <f>F82/G82-1</f>
        <v>-0.02364691194829993</v>
      </c>
      <c r="J82" s="11">
        <f>F82/H82-1</f>
        <v>-0.03519593613933247</v>
      </c>
      <c r="K82" s="13" t="n">
        <v>9451142</v>
      </c>
      <c r="L82" s="13" t="n">
        <v>7615450</v>
      </c>
      <c r="M82" s="21">
        <f>K82/L82</f>
        <v>1.2410483950390325</v>
      </c>
    </row>
    <row r="83">
      <c r="A83" s="19" t="inlineStr">
        <is>
          <t>CAG</t>
        </is>
      </c>
      <c r="B83" s="14" t="inlineStr">
        <is>
          <t>—</t>
        </is>
      </c>
      <c r="C83" s="14" t="inlineStr">
        <is>
          <t>—</t>
        </is>
      </c>
      <c r="D83" s="6" t="inlineStr">
        <is>
          <t>食品加工</t>
        </is>
      </c>
      <c r="E83" s="61" t="n">
        <v>30</v>
      </c>
      <c r="F83" s="20" t="n">
        <v>15.18</v>
      </c>
      <c r="G83" s="20" t="n">
        <v>15.02</v>
      </c>
      <c r="H83" s="20" t="n">
        <v>15.11</v>
      </c>
      <c r="I83" s="11">
        <f>F83/G83-1</f>
        <v>0.010652463382157196</v>
      </c>
      <c r="J83" s="11">
        <f>F83/H83-1</f>
        <v>0.0046326935804104075</v>
      </c>
      <c r="K83" s="13" t="n">
        <v>11937477</v>
      </c>
      <c r="L83" s="13" t="n">
        <v>10310650</v>
      </c>
      <c r="M83" s="21">
        <f>K83/L83</f>
        <v>1.157781226207853</v>
      </c>
    </row>
    <row r="84">
      <c r="A84" s="19" t="inlineStr">
        <is>
          <t>CAH</t>
        </is>
      </c>
      <c r="B84" s="14" t="inlineStr">
        <is>
          <t>—</t>
        </is>
      </c>
      <c r="C84" s="14" t="inlineStr">
        <is>
          <t>—</t>
        </is>
      </c>
      <c r="D84" s="6" t="inlineStr">
        <is>
          <t>藥品分銷與藥房</t>
        </is>
      </c>
      <c r="E84" s="61" t="n">
        <v>82</v>
      </c>
      <c r="F84" s="20" t="n">
        <v>232.54</v>
      </c>
      <c r="G84" s="20" t="n">
        <v>232.65</v>
      </c>
      <c r="H84" s="20" t="n">
        <v>240</v>
      </c>
      <c r="I84" s="11">
        <f>F84/G84-1</f>
        <v>-0.0004728132387707973</v>
      </c>
      <c r="J84" s="11">
        <f>F84/H84-1</f>
        <v>-0.03108333333333335</v>
      </c>
      <c r="K84" s="13" t="n">
        <v>1220551</v>
      </c>
      <c r="L84" s="13" t="n">
        <v>1393500</v>
      </c>
      <c r="M84" s="21">
        <f>K84/L84</f>
        <v>0.8758887692859706</v>
      </c>
    </row>
    <row r="85">
      <c r="A85" s="19" t="inlineStr">
        <is>
          <t>CARR</t>
        </is>
      </c>
      <c r="B85" s="14" t="inlineStr">
        <is>
          <t>—</t>
        </is>
      </c>
      <c r="C85" s="14" t="inlineStr">
        <is>
          <t>—</t>
        </is>
      </c>
      <c r="D85" s="6" t="inlineStr">
        <is>
          <t>樓宇產品與HVAC</t>
        </is>
      </c>
      <c r="E85" s="61" t="n">
        <v>64</v>
      </c>
      <c r="F85" s="20" t="n">
        <v>54.26</v>
      </c>
      <c r="G85" s="20" t="n">
        <v>55.54</v>
      </c>
      <c r="H85" s="20" t="n">
        <v>57.95</v>
      </c>
      <c r="I85" s="11">
        <f>F85/G85-1</f>
        <v>-0.023046453006841938</v>
      </c>
      <c r="J85" s="11">
        <f>F85/H85-1</f>
        <v>-0.06367558239861959</v>
      </c>
      <c r="K85" s="13" t="n">
        <v>8231250</v>
      </c>
      <c r="L85" s="13" t="n">
        <v>5215300</v>
      </c>
      <c r="M85" s="21">
        <f>K85/L85</f>
        <v>1.5782888807930513</v>
      </c>
    </row>
    <row r="86">
      <c r="A86" s="19" t="inlineStr">
        <is>
          <t>CAT</t>
        </is>
      </c>
      <c r="B86" s="14" t="inlineStr">
        <is>
          <t>—</t>
        </is>
      </c>
      <c r="C86" s="14" t="inlineStr">
        <is>
          <t>—</t>
        </is>
      </c>
      <c r="D86" s="6" t="inlineStr">
        <is>
          <t>機械與重工</t>
        </is>
      </c>
      <c r="E86" s="61" t="n">
        <v>39</v>
      </c>
      <c r="F86" s="20" t="n">
        <v>782.72</v>
      </c>
      <c r="G86" s="20" t="n">
        <v>783.54</v>
      </c>
      <c r="H86" s="20" t="n">
        <v>815.5599999999999</v>
      </c>
      <c r="I86" s="11">
        <f>F86/G86-1</f>
        <v>-0.0010465324042167046</v>
      </c>
      <c r="J86" s="11">
        <f>F86/H86-1</f>
        <v>-0.0402668105350924</v>
      </c>
      <c r="K86" s="13" t="n">
        <v>2645330</v>
      </c>
      <c r="L86" s="13" t="n">
        <v>2389950</v>
      </c>
      <c r="M86" s="21">
        <f>K86/L86</f>
        <v>1.1068557919621749</v>
      </c>
    </row>
    <row r="87">
      <c r="A87" s="58" t="inlineStr">
        <is>
          <t>CB</t>
        </is>
      </c>
      <c r="B87" s="88" t="inlineStr">
        <is>
          <t>④</t>
        </is>
      </c>
      <c r="C87" s="89" t="inlineStr">
        <is>
          <t>—</t>
        </is>
      </c>
      <c r="D87" s="60" t="inlineStr">
        <is>
          <t>產險與再保</t>
        </is>
      </c>
      <c r="E87" s="49" t="n">
        <v>6</v>
      </c>
      <c r="F87" s="90" t="n">
        <v>341.53</v>
      </c>
      <c r="G87" s="90" t="n">
        <v>341.86</v>
      </c>
      <c r="H87" s="90" t="n">
        <v>337.62</v>
      </c>
      <c r="I87" s="53">
        <f>F87/G87-1</f>
        <v>-0.000965307435792595</v>
      </c>
      <c r="J87" s="53">
        <f>F87/H87-1</f>
        <v>0.011581067472306028</v>
      </c>
      <c r="K87" s="91" t="n">
        <v>1537674</v>
      </c>
      <c r="L87" s="91" t="n">
        <v>1618150</v>
      </c>
      <c r="M87" s="92">
        <f>K87/L87</f>
        <v>0.9502666625467354</v>
      </c>
    </row>
    <row r="88">
      <c r="A88" s="19" t="inlineStr">
        <is>
          <t>CBOE</t>
        </is>
      </c>
      <c r="B88" s="14" t="inlineStr">
        <is>
          <t>—</t>
        </is>
      </c>
      <c r="C88" s="14" t="inlineStr">
        <is>
          <t>—</t>
        </is>
      </c>
      <c r="D88" s="6" t="inlineStr">
        <is>
          <t>交易所與金融數據</t>
        </is>
      </c>
      <c r="E88" s="61" t="n">
        <v>78</v>
      </c>
      <c r="F88" s="20" t="n">
        <v>270.43</v>
      </c>
      <c r="G88" s="20" t="n">
        <v>270.44</v>
      </c>
      <c r="H88" s="20" t="n">
        <v>291.87</v>
      </c>
      <c r="I88" s="11">
        <f>F88/G88-1</f>
        <v>-3.697677858305326e-05</v>
      </c>
      <c r="J88" s="11">
        <f>F88/H88-1</f>
        <v>-0.07345736115393842</v>
      </c>
      <c r="K88" s="13" t="n">
        <v>1151178</v>
      </c>
      <c r="L88" s="13" t="n">
        <v>925550</v>
      </c>
      <c r="M88" s="21">
        <f>K88/L88</f>
        <v>1.2437772135487009</v>
      </c>
    </row>
    <row r="89">
      <c r="A89" s="19" t="inlineStr">
        <is>
          <t>CBRE</t>
        </is>
      </c>
      <c r="B89" s="14" t="inlineStr">
        <is>
          <t>—</t>
        </is>
      </c>
      <c r="C89" s="14" t="inlineStr">
        <is>
          <t>—</t>
        </is>
      </c>
      <c r="D89" s="6" t="inlineStr">
        <is>
          <t>地產開發與服務</t>
        </is>
      </c>
      <c r="E89" s="61" t="n">
        <v>75</v>
      </c>
      <c r="F89" s="20" t="n">
        <v>138.56</v>
      </c>
      <c r="G89" s="20" t="n">
        <v>140.11</v>
      </c>
      <c r="H89" s="20" t="n">
        <v>139.68</v>
      </c>
      <c r="I89" s="11">
        <f>F89/G89-1</f>
        <v>-0.011062736421383224</v>
      </c>
      <c r="J89" s="11">
        <f>F89/H89-1</f>
        <v>-0.008018327605956554</v>
      </c>
      <c r="K89" s="13" t="n">
        <v>1868540</v>
      </c>
      <c r="L89" s="13" t="n">
        <v>1543800</v>
      </c>
      <c r="M89" s="21">
        <f>K89/L89</f>
        <v>1.21035108174634</v>
      </c>
    </row>
    <row r="90">
      <c r="A90" s="19" t="inlineStr">
        <is>
          <t>CCI</t>
        </is>
      </c>
      <c r="B90" s="14" t="inlineStr">
        <is>
          <t>—</t>
        </is>
      </c>
      <c r="C90" s="14" t="inlineStr">
        <is>
          <t>—</t>
        </is>
      </c>
      <c r="D90" s="6" t="inlineStr">
        <is>
          <t>通訊塔REIT</t>
        </is>
      </c>
      <c r="E90" s="61" t="n">
        <v>58</v>
      </c>
      <c r="F90" s="20" t="n">
        <v>73.22</v>
      </c>
      <c r="G90" s="20" t="n">
        <v>73.25</v>
      </c>
      <c r="H90" s="20" t="n">
        <v>75.18000000000001</v>
      </c>
      <c r="I90" s="11">
        <f>F90/G90-1</f>
        <v>-0.0004095563139931979</v>
      </c>
      <c r="J90" s="11">
        <f>F90/H90-1</f>
        <v>-0.026070763500931182</v>
      </c>
      <c r="K90" s="13" t="n">
        <v>4236706</v>
      </c>
      <c r="L90" s="13" t="n">
        <v>2471900</v>
      </c>
      <c r="M90" s="21">
        <f>K90/L90</f>
        <v>1.7139471661474979</v>
      </c>
    </row>
    <row r="91">
      <c r="A91" s="39" t="inlineStr">
        <is>
          <t>CCJ</t>
        </is>
      </c>
      <c r="B91" s="93" t="inlineStr">
        <is>
          <t>—</t>
        </is>
      </c>
      <c r="C91" s="94" t="inlineStr">
        <is>
          <t>鈾與核燃料／SMR</t>
        </is>
      </c>
      <c r="D91" s="40" t="inlineStr">
        <is>
          <t>鈾與核燃料</t>
        </is>
      </c>
      <c r="E91" s="67" t="n">
        <v>111</v>
      </c>
      <c r="F91" s="41" t="n">
        <v>90.90000000000001</v>
      </c>
      <c r="G91" s="41" t="n">
        <v>91.20999999999999</v>
      </c>
      <c r="H91" s="41" t="n">
        <v>100.41</v>
      </c>
      <c r="I91" s="42">
        <f>F91/G91-1</f>
        <v>-0.003398750137046269</v>
      </c>
      <c r="J91" s="42">
        <f>F91/H91-1</f>
        <v>-0.0947116821033761</v>
      </c>
      <c r="K91" s="43" t="n">
        <v>2114588</v>
      </c>
      <c r="L91" s="43" t="n">
        <v>2289300</v>
      </c>
      <c r="M91" s="44">
        <f>K91/L91</f>
        <v>0.9236832219455728</v>
      </c>
    </row>
    <row r="92">
      <c r="A92" s="19" t="inlineStr">
        <is>
          <t>CCL</t>
        </is>
      </c>
      <c r="B92" s="14" t="inlineStr">
        <is>
          <t>—</t>
        </is>
      </c>
      <c r="C92" s="14" t="inlineStr">
        <is>
          <t>—</t>
        </is>
      </c>
      <c r="D92" s="6" t="inlineStr">
        <is>
          <t>酒店與郵輪</t>
        </is>
      </c>
      <c r="E92" s="61" t="n">
        <v>41</v>
      </c>
      <c r="F92" s="20" t="n">
        <v>22.35</v>
      </c>
      <c r="G92" s="20" t="n">
        <v>22.11</v>
      </c>
      <c r="H92" s="20" t="n">
        <v>22.7</v>
      </c>
      <c r="I92" s="11">
        <f>F92/G92-1</f>
        <v>0.010854816824966251</v>
      </c>
      <c r="J92" s="11">
        <f>F92/H92-1</f>
        <v>-0.01541850220264307</v>
      </c>
      <c r="K92" s="13" t="n">
        <v>25226938</v>
      </c>
      <c r="L92" s="13" t="n">
        <v>19163700</v>
      </c>
      <c r="M92" s="21">
        <f>K92/L92</f>
        <v>1.3163918241258212</v>
      </c>
    </row>
    <row r="93">
      <c r="A93" s="19" t="inlineStr">
        <is>
          <t>CDE</t>
        </is>
      </c>
      <c r="B93" s="14" t="inlineStr">
        <is>
          <t>—</t>
        </is>
      </c>
      <c r="C93" s="14" t="inlineStr">
        <is>
          <t>—</t>
        </is>
      </c>
      <c r="D93" s="6" t="inlineStr">
        <is>
          <t>白銀礦</t>
        </is>
      </c>
      <c r="E93" s="61" t="n">
        <v>106</v>
      </c>
      <c r="F93" s="20" t="n">
        <v>18.98</v>
      </c>
      <c r="G93" s="20" t="n">
        <v>19.91</v>
      </c>
      <c r="H93" s="20" t="n">
        <v>21</v>
      </c>
      <c r="I93" s="11">
        <f>F93/G93-1</f>
        <v>-0.04671019588146663</v>
      </c>
      <c r="J93" s="11">
        <f>F93/H93-1</f>
        <v>-0.09619047619047616</v>
      </c>
      <c r="K93" s="13" t="n">
        <v>43120080</v>
      </c>
      <c r="L93" s="13" t="n">
        <v>36695150</v>
      </c>
      <c r="M93" s="21">
        <f>K93/L93</f>
        <v>1.175089351045029</v>
      </c>
    </row>
    <row r="94">
      <c r="A94" s="58" t="inlineStr">
        <is>
          <t>CDNS</t>
        </is>
      </c>
      <c r="B94" s="88" t="inlineStr">
        <is>
          <t>⑤</t>
        </is>
      </c>
      <c r="C94" s="89" t="inlineStr">
        <is>
          <t>—</t>
        </is>
      </c>
      <c r="D94" s="60" t="inlineStr">
        <is>
          <t>EDA與半導體IP</t>
        </is>
      </c>
      <c r="E94" s="49" t="n">
        <v>37</v>
      </c>
      <c r="F94" s="90" t="n">
        <v>279.9</v>
      </c>
      <c r="G94" s="90" t="n">
        <v>273.96</v>
      </c>
      <c r="H94" s="90" t="n">
        <v>284.6</v>
      </c>
      <c r="I94" s="53">
        <f>F94/G94-1</f>
        <v>0.021681997371879147</v>
      </c>
      <c r="J94" s="53">
        <f>F94/H94-1</f>
        <v>-0.016514406184118258</v>
      </c>
      <c r="K94" s="91" t="n">
        <v>2495946</v>
      </c>
      <c r="L94" s="91" t="n">
        <v>2244900</v>
      </c>
      <c r="M94" s="92">
        <f>K94/L94</f>
        <v>1.1118294801550181</v>
      </c>
    </row>
    <row r="95">
      <c r="A95" s="19" t="inlineStr">
        <is>
          <t>CEG</t>
        </is>
      </c>
      <c r="B95" s="14" t="inlineStr">
        <is>
          <t>—</t>
        </is>
      </c>
      <c r="C95" s="14" t="inlineStr">
        <is>
          <t>—</t>
        </is>
      </c>
      <c r="D95" s="6" t="inlineStr">
        <is>
          <t>IPP與電力交易商</t>
        </is>
      </c>
      <c r="E95" s="61" t="n">
        <v>96</v>
      </c>
      <c r="F95" s="20" t="n">
        <v>259.53</v>
      </c>
      <c r="G95" s="20" t="n">
        <v>259.89</v>
      </c>
      <c r="H95" s="20" t="n">
        <v>293.905</v>
      </c>
      <c r="I95" s="11">
        <f>F95/G95-1</f>
        <v>-0.0013852014313748828</v>
      </c>
      <c r="J95" s="11">
        <f>F95/H95-1</f>
        <v>-0.1169595617631548</v>
      </c>
      <c r="K95" s="13" t="n">
        <v>2723582</v>
      </c>
      <c r="L95" s="13" t="n">
        <v>2472700</v>
      </c>
      <c r="M95" s="21">
        <f>K95/L95</f>
        <v>1.1014607514053463</v>
      </c>
    </row>
    <row r="96">
      <c r="A96" s="19" t="inlineStr">
        <is>
          <t>CELH</t>
        </is>
      </c>
      <c r="B96" s="14" t="inlineStr">
        <is>
          <t>—</t>
        </is>
      </c>
      <c r="C96" s="14" t="inlineStr">
        <is>
          <t>—</t>
        </is>
      </c>
      <c r="D96" s="6" t="inlineStr">
        <is>
          <t>非酒精飲品</t>
        </is>
      </c>
      <c r="E96" s="61" t="n">
        <v>47</v>
      </c>
      <c r="F96" s="20" t="n">
        <v>28.25</v>
      </c>
      <c r="G96" s="20" t="n">
        <v>27.63</v>
      </c>
      <c r="H96" s="20" t="n">
        <v>27.64</v>
      </c>
      <c r="I96" s="11">
        <f>F96/G96-1</f>
        <v>0.022439377488237433</v>
      </c>
      <c r="J96" s="11">
        <f>F96/H96-1</f>
        <v>0.022069464544138828</v>
      </c>
      <c r="K96" s="13" t="n">
        <v>6292051</v>
      </c>
      <c r="L96" s="13" t="n">
        <v>8050600</v>
      </c>
      <c r="M96" s="21">
        <f>K96/L96</f>
        <v>0.7815629890939806</v>
      </c>
    </row>
    <row r="97">
      <c r="A97" s="19" t="inlineStr">
        <is>
          <t>CENX</t>
        </is>
      </c>
      <c r="B97" s="14" t="inlineStr">
        <is>
          <t>—</t>
        </is>
      </c>
      <c r="C97" s="14" t="inlineStr">
        <is>
          <t>—</t>
        </is>
      </c>
      <c r="D97" s="6" t="inlineStr">
        <is>
          <t>鋁業</t>
        </is>
      </c>
      <c r="E97" s="61" t="n">
        <v>102</v>
      </c>
      <c r="F97" s="20" t="n">
        <v>39.8</v>
      </c>
      <c r="G97" s="20" t="n">
        <v>39.71</v>
      </c>
      <c r="H97" s="20" t="n">
        <v>47.69</v>
      </c>
      <c r="I97" s="11">
        <f>F97/G97-1</f>
        <v>0.002266431629312393</v>
      </c>
      <c r="J97" s="11">
        <f>F97/H97-1</f>
        <v>-0.16544348920109042</v>
      </c>
      <c r="K97" s="13" t="n">
        <v>1710601</v>
      </c>
      <c r="L97" s="13" t="n">
        <v>1557200</v>
      </c>
      <c r="M97" s="21">
        <f>K97/L97</f>
        <v>1.098510788594914</v>
      </c>
    </row>
    <row r="98">
      <c r="A98" s="19" t="inlineStr">
        <is>
          <t>CF</t>
        </is>
      </c>
      <c r="B98" s="14" t="inlineStr">
        <is>
          <t>—</t>
        </is>
      </c>
      <c r="C98" s="14" t="inlineStr">
        <is>
          <t>—</t>
        </is>
      </c>
      <c r="D98" s="6" t="inlineStr">
        <is>
          <t>基礎化工與化肥</t>
        </is>
      </c>
      <c r="E98" s="61" t="n">
        <v>61</v>
      </c>
      <c r="F98" s="20" t="n">
        <v>131.99</v>
      </c>
      <c r="G98" s="20" t="n">
        <v>135.54</v>
      </c>
      <c r="H98" s="20" t="n">
        <v>138.11</v>
      </c>
      <c r="I98" s="11">
        <f>F98/G98-1</f>
        <v>-0.026191530175593836</v>
      </c>
      <c r="J98" s="11">
        <f>F98/H98-1</f>
        <v>-0.04431250452537838</v>
      </c>
      <c r="K98" s="13" t="n">
        <v>1648027</v>
      </c>
      <c r="L98" s="13" t="n">
        <v>2420250</v>
      </c>
      <c r="M98" s="21">
        <f>K98/L98</f>
        <v>0.6809325482904659</v>
      </c>
    </row>
    <row r="99">
      <c r="A99" s="19" t="inlineStr">
        <is>
          <t>CHD</t>
        </is>
      </c>
      <c r="B99" s="14" t="inlineStr">
        <is>
          <t>—</t>
        </is>
      </c>
      <c r="C99" s="14" t="inlineStr">
        <is>
          <t>—</t>
        </is>
      </c>
      <c r="D99" s="6" t="inlineStr">
        <is>
          <t>家庭與個人護理</t>
        </is>
      </c>
      <c r="E99" s="61" t="n">
        <v>15</v>
      </c>
      <c r="F99" s="20" t="n">
        <v>95.51000000000001</v>
      </c>
      <c r="G99" s="20" t="n">
        <v>94.51000000000001</v>
      </c>
      <c r="H99" s="20" t="n">
        <v>95.19</v>
      </c>
      <c r="I99" s="11">
        <f>F99/G99-1</f>
        <v>0.010580890911014773</v>
      </c>
      <c r="J99" s="11">
        <f>F99/H99-1</f>
        <v>0.0033616976573169755</v>
      </c>
      <c r="K99" s="13" t="n">
        <v>1841072</v>
      </c>
      <c r="L99" s="13" t="n">
        <v>1890300</v>
      </c>
      <c r="M99" s="21">
        <f>K99/L99</f>
        <v>0.9739575728720309</v>
      </c>
    </row>
    <row r="100">
      <c r="A100" s="19" t="inlineStr">
        <is>
          <t>CHEF</t>
        </is>
      </c>
      <c r="B100" s="14" t="inlineStr">
        <is>
          <t>—</t>
        </is>
      </c>
      <c r="C100" s="14" t="inlineStr">
        <is>
          <t>—</t>
        </is>
      </c>
      <c r="D100" s="6" t="inlineStr">
        <is>
          <t>必需品分銷</t>
        </is>
      </c>
      <c r="E100" s="61" t="n">
        <v>92</v>
      </c>
      <c r="F100" s="20" t="n">
        <v>109.68</v>
      </c>
      <c r="G100" s="20" t="n">
        <v>106.46</v>
      </c>
      <c r="H100" s="20" t="n">
        <v>109.29</v>
      </c>
      <c r="I100" s="11">
        <f>F100/G100-1</f>
        <v>0.030246101822280824</v>
      </c>
      <c r="J100" s="11">
        <f>F100/H100-1</f>
        <v>0.0035684875102937053</v>
      </c>
      <c r="K100" s="13" t="n">
        <v>694374</v>
      </c>
      <c r="L100" s="13" t="n">
        <v>542800</v>
      </c>
      <c r="M100" s="21">
        <f>K100/L100</f>
        <v>1.2792446573323508</v>
      </c>
    </row>
    <row r="101">
      <c r="A101" s="19" t="inlineStr">
        <is>
          <t>CHTR</t>
        </is>
      </c>
      <c r="B101" s="14" t="inlineStr">
        <is>
          <t>—</t>
        </is>
      </c>
      <c r="C101" s="14" t="inlineStr">
        <is>
          <t>—</t>
        </is>
      </c>
      <c r="D101" s="6" t="inlineStr">
        <is>
          <t>有線/寬頻/衛星</t>
        </is>
      </c>
      <c r="E101" s="61" t="n">
        <v>80</v>
      </c>
      <c r="F101" s="20" t="n">
        <v>135</v>
      </c>
      <c r="G101" s="20" t="n">
        <v>141.2</v>
      </c>
      <c r="H101" s="20" t="n">
        <v>133.89</v>
      </c>
      <c r="I101" s="11">
        <f>F101/G101-1</f>
        <v>-0.04390934844192629</v>
      </c>
      <c r="J101" s="11">
        <f>F101/H101-1</f>
        <v>0.00829038763163803</v>
      </c>
      <c r="K101" s="13" t="n">
        <v>2059689</v>
      </c>
      <c r="L101" s="13" t="n">
        <v>2519300</v>
      </c>
      <c r="M101" s="21">
        <f>K101/L101</f>
        <v>0.8175640058746477</v>
      </c>
    </row>
    <row r="102">
      <c r="A102" s="19" t="inlineStr">
        <is>
          <t>CHWY</t>
        </is>
      </c>
      <c r="B102" s="14" t="inlineStr">
        <is>
          <t>—</t>
        </is>
      </c>
      <c r="C102" s="14" t="inlineStr">
        <is>
          <t>—</t>
        </is>
      </c>
      <c r="D102" s="6" t="inlineStr">
        <is>
          <t>電商平台</t>
        </is>
      </c>
      <c r="E102" s="61" t="n">
        <v>35</v>
      </c>
      <c r="F102" s="20" t="n">
        <v>20.91</v>
      </c>
      <c r="G102" s="20" t="n">
        <v>21.19</v>
      </c>
      <c r="H102" s="20" t="n">
        <v>20.75</v>
      </c>
      <c r="I102" s="11">
        <f>F102/G102-1</f>
        <v>-0.013213780084945781</v>
      </c>
      <c r="J102" s="11">
        <f>F102/H102-1</f>
        <v>0.007710843373494036</v>
      </c>
      <c r="K102" s="13" t="n">
        <v>10475455</v>
      </c>
      <c r="L102" s="13" t="n">
        <v>7325150</v>
      </c>
      <c r="M102" s="21">
        <f>K102/L102</f>
        <v>1.4300669610861212</v>
      </c>
    </row>
    <row r="103">
      <c r="A103" s="19" t="inlineStr">
        <is>
          <t>CI</t>
        </is>
      </c>
      <c r="B103" s="14" t="inlineStr">
        <is>
          <t>—</t>
        </is>
      </c>
      <c r="C103" s="14" t="inlineStr">
        <is>
          <t>—</t>
        </is>
      </c>
      <c r="D103" s="6" t="inlineStr">
        <is>
          <t>醫療保險與管理式醫療</t>
        </is>
      </c>
      <c r="E103" s="61" t="n">
        <v>76</v>
      </c>
      <c r="F103" s="20" t="n">
        <v>280.45</v>
      </c>
      <c r="G103" s="20" t="n">
        <v>288.9</v>
      </c>
      <c r="H103" s="20" t="n">
        <v>278.17</v>
      </c>
      <c r="I103" s="11">
        <f>F103/G103-1</f>
        <v>-0.029248875043267564</v>
      </c>
      <c r="J103" s="11">
        <f>F103/H103-1</f>
        <v>0.008196426645576294</v>
      </c>
      <c r="K103" s="13" t="n">
        <v>1165972</v>
      </c>
      <c r="L103" s="13" t="n">
        <v>1381850</v>
      </c>
      <c r="M103" s="21">
        <f>K103/L103</f>
        <v>0.8437760972609183</v>
      </c>
    </row>
    <row r="104">
      <c r="A104" s="19" t="inlineStr">
        <is>
          <t>CIEN</t>
        </is>
      </c>
      <c r="B104" s="14" t="inlineStr">
        <is>
          <t>—</t>
        </is>
      </c>
      <c r="C104" s="14" t="inlineStr">
        <is>
          <t>—</t>
        </is>
      </c>
      <c r="D104" s="6" t="inlineStr">
        <is>
          <t>AI資料中心建設</t>
        </is>
      </c>
      <c r="E104" s="61" t="n">
        <v>17</v>
      </c>
      <c r="F104" s="20" t="n">
        <v>340.5</v>
      </c>
      <c r="G104" s="20" t="n">
        <v>334.33</v>
      </c>
      <c r="H104" s="20" t="n">
        <v>338</v>
      </c>
      <c r="I104" s="11">
        <f>F104/G104-1</f>
        <v>0.018454820087937085</v>
      </c>
      <c r="J104" s="11">
        <f>F104/H104-1</f>
        <v>0.007396449704142105</v>
      </c>
      <c r="K104" s="13" t="n">
        <v>3947478</v>
      </c>
      <c r="L104" s="13" t="n">
        <v>1903200</v>
      </c>
      <c r="M104" s="21">
        <f>K104/L104</f>
        <v>2.074126733921816</v>
      </c>
    </row>
    <row r="105">
      <c r="A105" s="19" t="inlineStr">
        <is>
          <t>CL</t>
        </is>
      </c>
      <c r="B105" s="14" t="inlineStr">
        <is>
          <t>—</t>
        </is>
      </c>
      <c r="C105" s="14" t="inlineStr">
        <is>
          <t>—</t>
        </is>
      </c>
      <c r="D105" s="6" t="inlineStr">
        <is>
          <t>家庭與個人護理</t>
        </is>
      </c>
      <c r="E105" s="61" t="n">
        <v>15</v>
      </c>
      <c r="F105" s="20" t="n">
        <v>87.02</v>
      </c>
      <c r="G105" s="20" t="n">
        <v>87</v>
      </c>
      <c r="H105" s="20" t="n">
        <v>88.03</v>
      </c>
      <c r="I105" s="11">
        <f>F105/G105-1</f>
        <v>0.0002298850574711242</v>
      </c>
      <c r="J105" s="11">
        <f>F105/H105-1</f>
        <v>-0.011473361354083944</v>
      </c>
      <c r="K105" s="13" t="n">
        <v>5864154</v>
      </c>
      <c r="L105" s="13" t="n">
        <v>4225950</v>
      </c>
      <c r="M105" s="21">
        <f>K105/L105</f>
        <v>1.3876534270400738</v>
      </c>
    </row>
    <row r="106">
      <c r="A106" s="58" t="inlineStr">
        <is>
          <t>CLF</t>
        </is>
      </c>
      <c r="B106" s="88" t="inlineStr">
        <is>
          <t>⑥</t>
        </is>
      </c>
      <c r="C106" s="89" t="inlineStr">
        <is>
          <t>—</t>
        </is>
      </c>
      <c r="D106" s="60" t="inlineStr">
        <is>
          <t>鋼鐵</t>
        </is>
      </c>
      <c r="E106" s="49" t="n">
        <v>11</v>
      </c>
      <c r="F106" s="90" t="n">
        <v>12.15</v>
      </c>
      <c r="G106" s="90" t="n">
        <v>11.79</v>
      </c>
      <c r="H106" s="90" t="n">
        <v>12.09</v>
      </c>
      <c r="I106" s="53">
        <f>F106/G106-1</f>
        <v>0.03053435114503822</v>
      </c>
      <c r="J106" s="53">
        <f>F106/H106-1</f>
        <v>0.00496277915632759</v>
      </c>
      <c r="K106" s="91" t="n">
        <v>14277992</v>
      </c>
      <c r="L106" s="91" t="n">
        <v>12008650</v>
      </c>
      <c r="M106" s="92">
        <f>K106/L106</f>
        <v>1.1889756134119989</v>
      </c>
    </row>
    <row r="107">
      <c r="A107" s="19" t="inlineStr">
        <is>
          <t>CLH</t>
        </is>
      </c>
      <c r="B107" s="14" t="inlineStr">
        <is>
          <t>—</t>
        </is>
      </c>
      <c r="C107" s="14" t="inlineStr">
        <is>
          <t>—</t>
        </is>
      </c>
      <c r="D107" s="6" t="inlineStr">
        <is>
          <t>廢物管理與環境服務</t>
        </is>
      </c>
      <c r="E107" s="61" t="n">
        <v>70</v>
      </c>
      <c r="F107" s="20" t="n">
        <v>318.96</v>
      </c>
      <c r="G107" s="20" t="n">
        <v>318.2</v>
      </c>
      <c r="H107" s="20" t="n">
        <v>315.7</v>
      </c>
      <c r="I107" s="11">
        <f>F107/G107-1</f>
        <v>0.0023884349465743693</v>
      </c>
      <c r="J107" s="11">
        <f>F107/H107-1</f>
        <v>0.010326259106746782</v>
      </c>
      <c r="K107" s="13" t="n">
        <v>521597</v>
      </c>
      <c r="L107" s="13" t="n">
        <v>363550</v>
      </c>
      <c r="M107" s="21">
        <f>K107/L107</f>
        <v>1.434732498968505</v>
      </c>
    </row>
    <row r="108">
      <c r="A108" s="19" t="inlineStr">
        <is>
          <t>CMCSA</t>
        </is>
      </c>
      <c r="B108" s="14" t="inlineStr">
        <is>
          <t>—</t>
        </is>
      </c>
      <c r="C108" s="14" t="inlineStr">
        <is>
          <t>—</t>
        </is>
      </c>
      <c r="D108" s="6" t="inlineStr">
        <is>
          <t>有線/寬頻/衛星</t>
        </is>
      </c>
      <c r="E108" s="61" t="n">
        <v>80</v>
      </c>
      <c r="F108" s="20" t="n">
        <v>23.73</v>
      </c>
      <c r="G108" s="20" t="n">
        <v>24.42</v>
      </c>
      <c r="H108" s="20" t="n">
        <v>24.59</v>
      </c>
      <c r="I108" s="11">
        <f>F108/G108-1</f>
        <v>-0.02825552825552835</v>
      </c>
      <c r="J108" s="11">
        <f>F108/H108-1</f>
        <v>-0.03497356649044325</v>
      </c>
      <c r="K108" s="13" t="n">
        <v>24252852</v>
      </c>
      <c r="L108" s="13" t="n">
        <v>21317750</v>
      </c>
      <c r="M108" s="21">
        <f>K108/L108</f>
        <v>1.1376834797293336</v>
      </c>
    </row>
    <row r="109">
      <c r="A109" s="19" t="inlineStr">
        <is>
          <t>CME</t>
        </is>
      </c>
      <c r="B109" s="14" t="inlineStr">
        <is>
          <t>—</t>
        </is>
      </c>
      <c r="C109" s="14" t="inlineStr">
        <is>
          <t>—</t>
        </is>
      </c>
      <c r="D109" s="6" t="inlineStr">
        <is>
          <t>交易所與金融數據</t>
        </is>
      </c>
      <c r="E109" s="61" t="n">
        <v>78</v>
      </c>
      <c r="F109" s="20" t="n">
        <v>272.46</v>
      </c>
      <c r="G109" s="20" t="n">
        <v>275.09</v>
      </c>
      <c r="H109" s="20" t="n">
        <v>274.7</v>
      </c>
      <c r="I109" s="11">
        <f>F109/G109-1</f>
        <v>-0.009560507470282475</v>
      </c>
      <c r="J109" s="11">
        <f>F109/H109-1</f>
        <v>-0.008154350200218485</v>
      </c>
      <c r="K109" s="13" t="n">
        <v>1654503</v>
      </c>
      <c r="L109" s="13" t="n">
        <v>1696400</v>
      </c>
      <c r="M109" s="21">
        <f>K109/L109</f>
        <v>0.9753024050931384</v>
      </c>
    </row>
    <row r="110">
      <c r="A110" s="19" t="inlineStr">
        <is>
          <t>CMG</t>
        </is>
      </c>
      <c r="B110" s="14" t="inlineStr">
        <is>
          <t>—</t>
        </is>
      </c>
      <c r="C110" s="14" t="inlineStr">
        <is>
          <t>—</t>
        </is>
      </c>
      <c r="D110" s="6" t="inlineStr">
        <is>
          <t>餐飲連鎖</t>
        </is>
      </c>
      <c r="E110" s="61" t="n">
        <v>90</v>
      </c>
      <c r="F110" s="20" t="n">
        <v>33.68</v>
      </c>
      <c r="G110" s="20" t="n">
        <v>34.83</v>
      </c>
      <c r="H110" s="20" t="n">
        <v>36.03</v>
      </c>
      <c r="I110" s="11">
        <f>F110/G110-1</f>
        <v>-0.03301751363766858</v>
      </c>
      <c r="J110" s="11">
        <f>F110/H110-1</f>
        <v>-0.06522342492367472</v>
      </c>
      <c r="K110" s="13" t="n">
        <v>13036560</v>
      </c>
      <c r="L110" s="13" t="n">
        <v>11485850</v>
      </c>
      <c r="M110" s="21">
        <f>K110/L110</f>
        <v>1.1350104694036576</v>
      </c>
    </row>
    <row r="111">
      <c r="A111" s="19" t="inlineStr">
        <is>
          <t>CMI</t>
        </is>
      </c>
      <c r="B111" s="14" t="inlineStr">
        <is>
          <t>—</t>
        </is>
      </c>
      <c r="C111" s="14" t="inlineStr">
        <is>
          <t>—</t>
        </is>
      </c>
      <c r="D111" s="6" t="inlineStr">
        <is>
          <t>機械與重工</t>
        </is>
      </c>
      <c r="E111" s="61" t="n">
        <v>39</v>
      </c>
      <c r="F111" s="20" t="n">
        <v>527.5</v>
      </c>
      <c r="G111" s="20" t="n">
        <v>538.02</v>
      </c>
      <c r="H111" s="20" t="n">
        <v>554.76</v>
      </c>
      <c r="I111" s="11">
        <f>F111/G111-1</f>
        <v>-0.019553176461841515</v>
      </c>
      <c r="J111" s="11">
        <f>F111/H111-1</f>
        <v>-0.04913836614031286</v>
      </c>
      <c r="K111" s="13" t="n">
        <v>1450326</v>
      </c>
      <c r="L111" s="13" t="n">
        <v>1031450</v>
      </c>
      <c r="M111" s="21">
        <f>K111/L111</f>
        <v>1.406104028309661</v>
      </c>
    </row>
    <row r="112">
      <c r="A112" s="19" t="inlineStr">
        <is>
          <t>CNC</t>
        </is>
      </c>
      <c r="B112" s="14" t="inlineStr">
        <is>
          <t>—</t>
        </is>
      </c>
      <c r="C112" s="14" t="inlineStr">
        <is>
          <t>—</t>
        </is>
      </c>
      <c r="D112" s="6" t="inlineStr">
        <is>
          <t>醫療保險與管理式醫療</t>
        </is>
      </c>
      <c r="E112" s="61" t="n">
        <v>76</v>
      </c>
      <c r="F112" s="20" t="n">
        <v>66.01000000000001</v>
      </c>
      <c r="G112" s="20" t="n">
        <v>67.66</v>
      </c>
      <c r="H112" s="20" t="n">
        <v>64.06</v>
      </c>
      <c r="I112" s="11">
        <f>F112/G112-1</f>
        <v>-0.024386639077741523</v>
      </c>
      <c r="J112" s="11">
        <f>F112/H112-1</f>
        <v>0.03044021230096794</v>
      </c>
      <c r="K112" s="13" t="n">
        <v>4277512</v>
      </c>
      <c r="L112" s="13" t="n">
        <v>3613850</v>
      </c>
      <c r="M112" s="21">
        <f>K112/L112</f>
        <v>1.183644036138744</v>
      </c>
    </row>
    <row r="113">
      <c r="A113" s="19" t="inlineStr">
        <is>
          <t>CNR</t>
        </is>
      </c>
      <c r="B113" s="14" t="inlineStr">
        <is>
          <t>—</t>
        </is>
      </c>
      <c r="C113" s="14" t="inlineStr">
        <is>
          <t>—</t>
        </is>
      </c>
      <c r="D113" s="6" t="inlineStr">
        <is>
          <t>煤炭</t>
        </is>
      </c>
      <c r="E113" s="61" t="n">
        <v>105</v>
      </c>
      <c r="F113" s="20" t="n">
        <v>94.01000000000001</v>
      </c>
      <c r="G113" s="20" t="n">
        <v>94.51000000000001</v>
      </c>
      <c r="H113" s="20" t="n">
        <v>99.37</v>
      </c>
      <c r="I113" s="11">
        <f>F113/G113-1</f>
        <v>-0.0052904454555073865</v>
      </c>
      <c r="J113" s="11">
        <f>F113/H113-1</f>
        <v>-0.05393982087149041</v>
      </c>
      <c r="K113" s="13" t="n">
        <v>506266</v>
      </c>
      <c r="L113" s="13" t="n">
        <v>474950</v>
      </c>
      <c r="M113" s="21">
        <f>K113/L113</f>
        <v>1.0659353616170124</v>
      </c>
    </row>
    <row r="114">
      <c r="A114" s="19" t="inlineStr">
        <is>
          <t>COF</t>
        </is>
      </c>
      <c r="B114" s="14" t="inlineStr">
        <is>
          <t>—</t>
        </is>
      </c>
      <c r="C114" s="14" t="inlineStr">
        <is>
          <t>—</t>
        </is>
      </c>
      <c r="D114" s="6" t="inlineStr">
        <is>
          <t>消費金融與BNPL</t>
        </is>
      </c>
      <c r="E114" s="61" t="n">
        <v>63</v>
      </c>
      <c r="F114" s="20" t="n">
        <v>203.19</v>
      </c>
      <c r="G114" s="20" t="n">
        <v>206.85</v>
      </c>
      <c r="H114" s="20" t="n">
        <v>210.86</v>
      </c>
      <c r="I114" s="11">
        <f>F114/G114-1</f>
        <v>-0.01769398114575782</v>
      </c>
      <c r="J114" s="11">
        <f>F114/H114-1</f>
        <v>-0.03637484586929729</v>
      </c>
      <c r="K114" s="13" t="n">
        <v>4214426</v>
      </c>
      <c r="L114" s="13" t="n">
        <v>3033900</v>
      </c>
      <c r="M114" s="21">
        <f>K114/L114</f>
        <v>1.389111704406869</v>
      </c>
    </row>
    <row r="115">
      <c r="A115" s="58" t="inlineStr">
        <is>
          <t>COHR</t>
        </is>
      </c>
      <c r="B115" s="88" t="inlineStr">
        <is>
          <t>⑤</t>
        </is>
      </c>
      <c r="C115" s="89" t="inlineStr">
        <is>
          <t>—</t>
        </is>
      </c>
      <c r="D115" s="60" t="inlineStr">
        <is>
          <t>光通訊/CPO</t>
        </is>
      </c>
      <c r="E115" s="49" t="n">
        <v>34</v>
      </c>
      <c r="F115" s="90" t="n">
        <v>289.93</v>
      </c>
      <c r="G115" s="90" t="n">
        <v>271.17</v>
      </c>
      <c r="H115" s="90" t="n">
        <v>303.48</v>
      </c>
      <c r="I115" s="53">
        <f>F115/G115-1</f>
        <v>0.06918169414020725</v>
      </c>
      <c r="J115" s="53">
        <f>F115/H115-1</f>
        <v>-0.04464874126795837</v>
      </c>
      <c r="K115" s="91" t="n">
        <v>7505429</v>
      </c>
      <c r="L115" s="91" t="n">
        <v>5354200</v>
      </c>
      <c r="M115" s="92">
        <f>K115/L115</f>
        <v>1.4017834597138694</v>
      </c>
    </row>
    <row r="116">
      <c r="A116" s="39" t="inlineStr">
        <is>
          <t>COIN</t>
        </is>
      </c>
      <c r="B116" s="93" t="inlineStr">
        <is>
          <t>—</t>
        </is>
      </c>
      <c r="C116" s="94" t="inlineStr">
        <is>
          <t>數位資產</t>
        </is>
      </c>
      <c r="D116" s="40" t="inlineStr">
        <is>
          <t>數位資產金融與礦業轉HPC</t>
        </is>
      </c>
      <c r="E116" s="67" t="n">
        <v>104</v>
      </c>
      <c r="F116" s="41" t="n">
        <v>164.51</v>
      </c>
      <c r="G116" s="41" t="n">
        <v>172.11</v>
      </c>
      <c r="H116" s="41" t="n">
        <v>174.72</v>
      </c>
      <c r="I116" s="42">
        <f>F116/G116-1</f>
        <v>-0.04415780605426778</v>
      </c>
      <c r="J116" s="42">
        <f>F116/H116-1</f>
        <v>-0.05843635531135538</v>
      </c>
      <c r="K116" s="43" t="n">
        <v>13685409</v>
      </c>
      <c r="L116" s="43" t="n">
        <v>9628700</v>
      </c>
      <c r="M116" s="44">
        <f>K116/L116</f>
        <v>1.4213142999574189</v>
      </c>
    </row>
    <row r="117">
      <c r="A117" s="19" t="inlineStr">
        <is>
          <t>COMP</t>
        </is>
      </c>
      <c r="B117" s="14" t="inlineStr">
        <is>
          <t>—</t>
        </is>
      </c>
      <c r="C117" s="14" t="inlineStr">
        <is>
          <t>—</t>
        </is>
      </c>
      <c r="D117" s="6" t="inlineStr">
        <is>
          <t>地產開發與服務</t>
        </is>
      </c>
      <c r="E117" s="61" t="n">
        <v>75</v>
      </c>
      <c r="F117" s="20" t="n">
        <v>10.33</v>
      </c>
      <c r="G117" s="20" t="n">
        <v>10.36</v>
      </c>
      <c r="H117" s="20" t="n">
        <v>10.68</v>
      </c>
      <c r="I117" s="11">
        <f>F117/G117-1</f>
        <v>-0.0028957528957528345</v>
      </c>
      <c r="J117" s="11">
        <f>F117/H117-1</f>
        <v>-0.03277153558052426</v>
      </c>
      <c r="K117" s="13" t="n">
        <v>15115557</v>
      </c>
      <c r="L117" s="13" t="n">
        <v>11176250</v>
      </c>
      <c r="M117" s="21">
        <f>K117/L117</f>
        <v>1.352471267196063</v>
      </c>
    </row>
    <row r="118">
      <c r="A118" s="39" t="inlineStr">
        <is>
          <t>COP</t>
        </is>
      </c>
      <c r="B118" s="93" t="inlineStr">
        <is>
          <t>—</t>
        </is>
      </c>
      <c r="C118" s="94" t="inlineStr">
        <is>
          <t>頁岩E&amp;P／油服</t>
        </is>
      </c>
      <c r="D118" s="40" t="inlineStr">
        <is>
          <t>頁岩E&amp;P勘探生產</t>
        </is>
      </c>
      <c r="E118" s="67" t="n">
        <v>45</v>
      </c>
      <c r="F118" s="41" t="n">
        <v>132.54</v>
      </c>
      <c r="G118" s="41" t="n">
        <v>141.22</v>
      </c>
      <c r="H118" s="41" t="n">
        <v>136.53</v>
      </c>
      <c r="I118" s="42">
        <f>F118/G118-1</f>
        <v>-0.06146438181560687</v>
      </c>
      <c r="J118" s="42">
        <f>F118/H118-1</f>
        <v>-0.029224346297517134</v>
      </c>
      <c r="K118" s="43" t="n">
        <v>9045920</v>
      </c>
      <c r="L118" s="43" t="n">
        <v>6032150</v>
      </c>
      <c r="M118" s="44">
        <f>K118/L118</f>
        <v>1.4996178808550849</v>
      </c>
    </row>
    <row r="119">
      <c r="A119" s="19" t="inlineStr">
        <is>
          <t>COR</t>
        </is>
      </c>
      <c r="B119" s="14" t="inlineStr">
        <is>
          <t>—</t>
        </is>
      </c>
      <c r="C119" s="14" t="inlineStr">
        <is>
          <t>—</t>
        </is>
      </c>
      <c r="D119" s="6" t="inlineStr">
        <is>
          <t>藥品分銷與藥房</t>
        </is>
      </c>
      <c r="E119" s="61" t="n">
        <v>82</v>
      </c>
      <c r="F119" s="20" t="n">
        <v>318.5</v>
      </c>
      <c r="G119" s="20" t="n">
        <v>323.29</v>
      </c>
      <c r="H119" s="20" t="n">
        <v>323.32</v>
      </c>
      <c r="I119" s="11">
        <f>F119/G119-1</f>
        <v>-0.014816418695289157</v>
      </c>
      <c r="J119" s="11">
        <f>F119/H119-1</f>
        <v>-0.014907831250773218</v>
      </c>
      <c r="K119" s="13" t="n">
        <v>931138</v>
      </c>
      <c r="L119" s="13" t="n">
        <v>1079900</v>
      </c>
      <c r="M119" s="21">
        <f>K119/L119</f>
        <v>0.8622446522826187</v>
      </c>
    </row>
    <row r="120">
      <c r="A120" s="19" t="inlineStr">
        <is>
          <t>COST</t>
        </is>
      </c>
      <c r="B120" s="14" t="inlineStr">
        <is>
          <t>—</t>
        </is>
      </c>
      <c r="C120" s="14" t="inlineStr">
        <is>
          <t>—</t>
        </is>
      </c>
      <c r="D120" s="6" t="inlineStr">
        <is>
          <t>大賣場與超巿</t>
        </is>
      </c>
      <c r="E120" s="61" t="n">
        <v>36</v>
      </c>
      <c r="F120" s="20" t="n">
        <v>893.74</v>
      </c>
      <c r="G120" s="20" t="n">
        <v>901.35</v>
      </c>
      <c r="H120" s="20" t="n">
        <v>902.6</v>
      </c>
      <c r="I120" s="11">
        <f>F120/G120-1</f>
        <v>-0.008442891218727433</v>
      </c>
      <c r="J120" s="11">
        <f>F120/H120-1</f>
        <v>-0.00981608686018176</v>
      </c>
      <c r="K120" s="13" t="n">
        <v>2084976</v>
      </c>
      <c r="L120" s="13" t="n">
        <v>2070900</v>
      </c>
      <c r="M120" s="21">
        <f>K120/L120</f>
        <v>1.0067970447631465</v>
      </c>
    </row>
    <row r="121">
      <c r="A121" s="19" t="inlineStr">
        <is>
          <t>CRCL</t>
        </is>
      </c>
      <c r="B121" s="14" t="inlineStr">
        <is>
          <t>—</t>
        </is>
      </c>
      <c r="C121" s="14" t="inlineStr">
        <is>
          <t>—</t>
        </is>
      </c>
      <c r="D121" s="6" t="inlineStr">
        <is>
          <t>數位資產金融與礦業轉HPC</t>
        </is>
      </c>
      <c r="E121" s="61" t="n">
        <v>104</v>
      </c>
      <c r="F121" s="20" t="n">
        <v>80.45</v>
      </c>
      <c r="G121" s="20" t="n">
        <v>86.3</v>
      </c>
      <c r="H121" s="20" t="n">
        <v>92.98999999999999</v>
      </c>
      <c r="I121" s="11">
        <f>F121/G121-1</f>
        <v>-0.06778679026651213</v>
      </c>
      <c r="J121" s="11">
        <f>F121/H121-1</f>
        <v>-0.134853210022583</v>
      </c>
      <c r="K121" s="13" t="n">
        <v>25664194</v>
      </c>
      <c r="L121" s="13" t="n">
        <v>15000500</v>
      </c>
      <c r="M121" s="21">
        <f>K121/L121</f>
        <v>1.7108892370254325</v>
      </c>
    </row>
    <row r="122">
      <c r="A122" s="58" t="inlineStr">
        <is>
          <t>CRDO</t>
        </is>
      </c>
      <c r="B122" s="88" t="inlineStr">
        <is>
          <t>⑤</t>
        </is>
      </c>
      <c r="C122" s="89" t="inlineStr">
        <is>
          <t>—</t>
        </is>
      </c>
      <c r="D122" s="60" t="inlineStr">
        <is>
          <t>光通訊/CPO</t>
        </is>
      </c>
      <c r="E122" s="49" t="n">
        <v>34</v>
      </c>
      <c r="F122" s="90" t="n">
        <v>161.49</v>
      </c>
      <c r="G122" s="90" t="n">
        <v>150.39</v>
      </c>
      <c r="H122" s="90" t="n">
        <v>167.92</v>
      </c>
      <c r="I122" s="53">
        <f>F122/G122-1</f>
        <v>0.07380809894274898</v>
      </c>
      <c r="J122" s="53">
        <f>F122/H122-1</f>
        <v>-0.038292043830395306</v>
      </c>
      <c r="K122" s="91" t="n">
        <v>8837959</v>
      </c>
      <c r="L122" s="91" t="n">
        <v>6192050</v>
      </c>
      <c r="M122" s="92">
        <f>K122/L122</f>
        <v>1.42730743453299</v>
      </c>
    </row>
    <row r="123">
      <c r="A123" s="19" t="inlineStr">
        <is>
          <t>CRH</t>
        </is>
      </c>
      <c r="B123" s="14" t="inlineStr">
        <is>
          <t>—</t>
        </is>
      </c>
      <c r="C123" s="14" t="inlineStr">
        <is>
          <t>—</t>
        </is>
      </c>
      <c r="D123" s="6" t="inlineStr">
        <is>
          <t>包裝與建材</t>
        </is>
      </c>
      <c r="E123" s="61" t="n">
        <v>59</v>
      </c>
      <c r="F123" s="20" t="n">
        <v>86.7</v>
      </c>
      <c r="G123" s="20" t="n">
        <v>87.69</v>
      </c>
      <c r="H123" s="20" t="n">
        <v>89.34999999999999</v>
      </c>
      <c r="I123" s="11">
        <f>F123/G123-1</f>
        <v>-0.011289770783441622</v>
      </c>
      <c r="J123" s="11">
        <f>F123/H123-1</f>
        <v>-0.029658645775041848</v>
      </c>
      <c r="K123" s="13" t="n">
        <v>4690253</v>
      </c>
      <c r="L123" s="13" t="n">
        <v>4250150</v>
      </c>
      <c r="M123" s="21">
        <f>K123/L123</f>
        <v>1.103549992353211</v>
      </c>
    </row>
    <row r="124">
      <c r="A124" s="19" t="inlineStr">
        <is>
          <t>CRM</t>
        </is>
      </c>
      <c r="B124" s="14" t="inlineStr">
        <is>
          <t>—</t>
        </is>
      </c>
      <c r="C124" s="14" t="inlineStr">
        <is>
          <t>—</t>
        </is>
      </c>
      <c r="D124" s="6" t="inlineStr">
        <is>
          <t>企業軟體/SaaS</t>
        </is>
      </c>
      <c r="E124" s="61" t="n">
        <v>43</v>
      </c>
      <c r="F124" s="20" t="n">
        <v>250.54</v>
      </c>
      <c r="G124" s="20" t="n">
        <v>255.65</v>
      </c>
      <c r="H124" s="20" t="n">
        <v>244.16</v>
      </c>
      <c r="I124" s="11">
        <f>F124/G124-1</f>
        <v>-0.019988265206336786</v>
      </c>
      <c r="J124" s="11">
        <f>F124/H124-1</f>
        <v>0.026130406290956643</v>
      </c>
      <c r="K124" s="13" t="n">
        <v>9423825</v>
      </c>
      <c r="L124" s="13" t="n">
        <v>13558300</v>
      </c>
      <c r="M124" s="21">
        <f>K124/L124</f>
        <v>0.6950594838585958</v>
      </c>
    </row>
    <row r="125">
      <c r="A125" s="19" t="inlineStr">
        <is>
          <t>CRSP</t>
        </is>
      </c>
      <c r="B125" s="14" t="inlineStr">
        <is>
          <t>—</t>
        </is>
      </c>
      <c r="C125" s="14" t="inlineStr">
        <is>
          <t>—</t>
        </is>
      </c>
      <c r="D125" s="6" t="inlineStr">
        <is>
          <t>基因治療與基因編輯</t>
        </is>
      </c>
      <c r="E125" s="61" t="n">
        <v>83</v>
      </c>
      <c r="F125" s="20" t="n">
        <v>52.21</v>
      </c>
      <c r="G125" s="20" t="n">
        <v>51.83</v>
      </c>
      <c r="H125" s="20" t="n">
        <v>53.45</v>
      </c>
      <c r="I125" s="11">
        <f>F125/G125-1</f>
        <v>0.007331661200077333</v>
      </c>
      <c r="J125" s="11">
        <f>F125/H125-1</f>
        <v>-0.02319925163704395</v>
      </c>
      <c r="K125" s="13" t="n">
        <v>2662814</v>
      </c>
      <c r="L125" s="13" t="n">
        <v>1287600</v>
      </c>
      <c r="M125" s="21">
        <f>K125/L125</f>
        <v>2.068044423734079</v>
      </c>
    </row>
    <row r="126">
      <c r="A126" s="19" t="inlineStr">
        <is>
          <t>CRVS</t>
        </is>
      </c>
      <c r="B126" s="14" t="inlineStr">
        <is>
          <t>—</t>
        </is>
      </c>
      <c r="C126" s="14" t="inlineStr">
        <is>
          <t>—</t>
        </is>
      </c>
      <c r="D126" s="6" t="inlineStr">
        <is>
          <t>腫瘤與細胞治療</t>
        </is>
      </c>
      <c r="E126" s="61" t="n">
        <v>50</v>
      </c>
      <c r="F126" s="20" t="n">
        <v>12.23</v>
      </c>
      <c r="G126" s="20" t="n">
        <v>12.95</v>
      </c>
      <c r="H126" s="20" t="n">
        <v>13.33</v>
      </c>
      <c r="I126" s="11">
        <f>F126/G126-1</f>
        <v>-0.055598455598455554</v>
      </c>
      <c r="J126" s="11">
        <f>F126/H126-1</f>
        <v>-0.08252063015753941</v>
      </c>
      <c r="K126" s="13" t="n">
        <v>951501</v>
      </c>
      <c r="L126" s="13" t="n">
        <v>738150</v>
      </c>
      <c r="M126" s="21">
        <f>K126/L126</f>
        <v>1.2890347490347491</v>
      </c>
    </row>
    <row r="127">
      <c r="A127" s="19" t="inlineStr">
        <is>
          <t>CRWD</t>
        </is>
      </c>
      <c r="B127" s="14" t="inlineStr">
        <is>
          <t>—</t>
        </is>
      </c>
      <c r="C127" s="14" t="inlineStr">
        <is>
          <t>—</t>
        </is>
      </c>
      <c r="D127" s="6" t="inlineStr">
        <is>
          <t>網絡安全</t>
        </is>
      </c>
      <c r="E127" s="61" t="n">
        <v>2</v>
      </c>
      <c r="F127" s="20" t="n">
        <v>241.36</v>
      </c>
      <c r="G127" s="20" t="n">
        <v>242.49</v>
      </c>
      <c r="H127" s="20" t="n">
        <v>207.8</v>
      </c>
      <c r="I127" s="11">
        <f>F127/G127-1</f>
        <v>-0.004659985978803238</v>
      </c>
      <c r="J127" s="11">
        <f>F127/H127-1</f>
        <v>0.1615014436958615</v>
      </c>
      <c r="K127" s="13" t="n">
        <v>11674471</v>
      </c>
      <c r="L127" s="13" t="n">
        <v>9826900</v>
      </c>
      <c r="M127" s="21">
        <f>K127/L127</f>
        <v>1.1880115804577231</v>
      </c>
    </row>
    <row r="128">
      <c r="A128" s="19" t="inlineStr">
        <is>
          <t>CRWV</t>
        </is>
      </c>
      <c r="B128" s="14" t="inlineStr">
        <is>
          <t>—</t>
        </is>
      </c>
      <c r="C128" s="14" t="inlineStr">
        <is>
          <t>—</t>
        </is>
      </c>
      <c r="D128" s="6" t="inlineStr">
        <is>
          <t>雲端基建/IaaS/Neocloud</t>
        </is>
      </c>
      <c r="E128" s="61" t="n">
        <v>48</v>
      </c>
      <c r="F128" s="20" t="n">
        <v>83.34999999999999</v>
      </c>
      <c r="G128" s="20" t="n">
        <v>80.92</v>
      </c>
      <c r="H128" s="20" t="n">
        <v>94.94</v>
      </c>
      <c r="I128" s="11">
        <f>F128/G128-1</f>
        <v>0.03002965892239229</v>
      </c>
      <c r="J128" s="11">
        <f>F128/H128-1</f>
        <v>-0.12207710132715399</v>
      </c>
      <c r="K128" s="13" t="n">
        <v>18092554</v>
      </c>
      <c r="L128" s="13" t="n">
        <v>19189900</v>
      </c>
      <c r="M128" s="21">
        <f>K128/L128</f>
        <v>0.942816481586668</v>
      </c>
    </row>
    <row r="129">
      <c r="A129" s="19" t="inlineStr">
        <is>
          <t>CSX</t>
        </is>
      </c>
      <c r="B129" s="14" t="inlineStr">
        <is>
          <t>—</t>
        </is>
      </c>
      <c r="C129" s="14" t="inlineStr">
        <is>
          <t>—</t>
        </is>
      </c>
      <c r="D129" s="6" t="inlineStr">
        <is>
          <t>鐵路運輸</t>
        </is>
      </c>
      <c r="E129" s="61" t="n">
        <v>62</v>
      </c>
      <c r="F129" s="20" t="n">
        <v>47.9</v>
      </c>
      <c r="G129" s="20" t="n">
        <v>48.66</v>
      </c>
      <c r="H129" s="20" t="n">
        <v>48.37</v>
      </c>
      <c r="I129" s="11">
        <f>F129/G129-1</f>
        <v>-0.015618577887381746</v>
      </c>
      <c r="J129" s="11">
        <f>F129/H129-1</f>
        <v>-0.00971676659086207</v>
      </c>
      <c r="K129" s="13" t="n">
        <v>10979821</v>
      </c>
      <c r="L129" s="13" t="n">
        <v>8675200</v>
      </c>
      <c r="M129" s="21">
        <f>K129/L129</f>
        <v>1.2656562384728882</v>
      </c>
    </row>
    <row r="130">
      <c r="A130" s="19" t="inlineStr">
        <is>
          <t>CTAS</t>
        </is>
      </c>
      <c r="B130" s="14" t="inlineStr">
        <is>
          <t>—</t>
        </is>
      </c>
      <c r="C130" s="14" t="inlineStr">
        <is>
          <t>—</t>
        </is>
      </c>
      <c r="D130" s="6" t="inlineStr">
        <is>
          <t>人力與商業服務</t>
        </is>
      </c>
      <c r="E130" s="61" t="n">
        <v>18</v>
      </c>
      <c r="F130" s="20" t="n">
        <v>199.46</v>
      </c>
      <c r="G130" s="20" t="n">
        <v>198.95</v>
      </c>
      <c r="H130" s="20" t="n">
        <v>200.04</v>
      </c>
      <c r="I130" s="11">
        <f>F130/G130-1</f>
        <v>0.0025634581553155567</v>
      </c>
      <c r="J130" s="11">
        <f>F130/H130-1</f>
        <v>-0.0028994201159767696</v>
      </c>
      <c r="K130" s="13" t="n">
        <v>2076315</v>
      </c>
      <c r="L130" s="13" t="n">
        <v>1729050</v>
      </c>
      <c r="M130" s="21">
        <f>K130/L130</f>
        <v>1.2008415025592087</v>
      </c>
    </row>
    <row r="131">
      <c r="A131" s="19" t="inlineStr">
        <is>
          <t>CTSH</t>
        </is>
      </c>
      <c r="B131" s="14" t="inlineStr">
        <is>
          <t>—</t>
        </is>
      </c>
      <c r="C131" s="14" t="inlineStr">
        <is>
          <t>—</t>
        </is>
      </c>
      <c r="D131" s="6" t="inlineStr">
        <is>
          <t>IT服務與系統整合</t>
        </is>
      </c>
      <c r="E131" s="61" t="n">
        <v>32</v>
      </c>
      <c r="F131" s="20" t="n">
        <v>61.85</v>
      </c>
      <c r="G131" s="20" t="n">
        <v>63.28</v>
      </c>
      <c r="H131" s="20" t="n">
        <v>58.2</v>
      </c>
      <c r="I131" s="11">
        <f>F131/G131-1</f>
        <v>-0.022597977243994927</v>
      </c>
      <c r="J131" s="11">
        <f>F131/H131-1</f>
        <v>0.0627147766323024</v>
      </c>
      <c r="K131" s="13" t="n">
        <v>5175196</v>
      </c>
      <c r="L131" s="13" t="n">
        <v>5809000</v>
      </c>
      <c r="M131" s="21">
        <f>K131/L131</f>
        <v>0.8908927526252367</v>
      </c>
    </row>
    <row r="132">
      <c r="A132" s="19" t="inlineStr">
        <is>
          <t>CTVA</t>
        </is>
      </c>
      <c r="B132" s="14" t="inlineStr">
        <is>
          <t>—</t>
        </is>
      </c>
      <c r="C132" s="14" t="inlineStr">
        <is>
          <t>—</t>
        </is>
      </c>
      <c r="D132" s="6" t="inlineStr">
        <is>
          <t>農產品與農業投入</t>
        </is>
      </c>
      <c r="E132" s="61" t="n">
        <v>85</v>
      </c>
      <c r="F132" s="20" t="n">
        <v>81.01000000000001</v>
      </c>
      <c r="G132" s="20" t="n">
        <v>83.39</v>
      </c>
      <c r="H132" s="20" t="n">
        <v>84.75</v>
      </c>
      <c r="I132" s="11">
        <f>F132/G132-1</f>
        <v>-0.028540592397169884</v>
      </c>
      <c r="J132" s="11">
        <f>F132/H132-1</f>
        <v>-0.04412979351032442</v>
      </c>
      <c r="K132" s="13" t="n">
        <v>6479729</v>
      </c>
      <c r="L132" s="13" t="n">
        <v>4439150</v>
      </c>
      <c r="M132" s="21">
        <f>K132/L132</f>
        <v>1.45967786625818</v>
      </c>
    </row>
    <row r="133">
      <c r="A133" s="19" t="inlineStr">
        <is>
          <t>CVS</t>
        </is>
      </c>
      <c r="B133" s="14" t="inlineStr">
        <is>
          <t>—</t>
        </is>
      </c>
      <c r="C133" s="14" t="inlineStr">
        <is>
          <t>—</t>
        </is>
      </c>
      <c r="D133" s="6" t="inlineStr">
        <is>
          <t>藥品分銷與藥房</t>
        </is>
      </c>
      <c r="E133" s="61" t="n">
        <v>82</v>
      </c>
      <c r="F133" s="20" t="n">
        <v>91.72</v>
      </c>
      <c r="G133" s="20" t="n">
        <v>94.48999999999999</v>
      </c>
      <c r="H133" s="20" t="n">
        <v>95.38</v>
      </c>
      <c r="I133" s="11">
        <f>F133/G133-1</f>
        <v>-0.029315271457297065</v>
      </c>
      <c r="J133" s="11">
        <f>F133/H133-1</f>
        <v>-0.038372824491507584</v>
      </c>
      <c r="K133" s="13" t="n">
        <v>7221291</v>
      </c>
      <c r="L133" s="13" t="n">
        <v>5201800</v>
      </c>
      <c r="M133" s="21">
        <f>K133/L133</f>
        <v>1.3882292667922642</v>
      </c>
    </row>
    <row r="134">
      <c r="A134" s="39" t="inlineStr">
        <is>
          <t>CVX</t>
        </is>
      </c>
      <c r="B134" s="93" t="inlineStr">
        <is>
          <t>—</t>
        </is>
      </c>
      <c r="C134" s="94" t="inlineStr">
        <is>
          <t>綜合油氣巨頭</t>
        </is>
      </c>
      <c r="D134" s="40" t="inlineStr">
        <is>
          <t>綜合油氣巨頭</t>
        </is>
      </c>
      <c r="E134" s="67" t="n">
        <v>53</v>
      </c>
      <c r="F134" s="41" t="n">
        <v>211.54</v>
      </c>
      <c r="G134" s="41" t="n">
        <v>217.77</v>
      </c>
      <c r="H134" s="41" t="n">
        <v>213.81</v>
      </c>
      <c r="I134" s="42">
        <f>F134/G134-1</f>
        <v>-0.028608164577306416</v>
      </c>
      <c r="J134" s="42">
        <f>F134/H134-1</f>
        <v>-0.010616902857677468</v>
      </c>
      <c r="K134" s="43" t="n">
        <v>8045164</v>
      </c>
      <c r="L134" s="43" t="n">
        <v>7908100</v>
      </c>
      <c r="M134" s="44">
        <f>K134/L134</f>
        <v>1.017332102527788</v>
      </c>
    </row>
    <row r="135">
      <c r="A135" s="19" t="inlineStr">
        <is>
          <t>CWST</t>
        </is>
      </c>
      <c r="B135" s="14" t="inlineStr">
        <is>
          <t>—</t>
        </is>
      </c>
      <c r="C135" s="14" t="inlineStr">
        <is>
          <t>—</t>
        </is>
      </c>
      <c r="D135" s="6" t="inlineStr">
        <is>
          <t>廢物管理與環境服務</t>
        </is>
      </c>
      <c r="E135" s="61" t="n">
        <v>70</v>
      </c>
      <c r="F135" s="20" t="n">
        <v>90.06</v>
      </c>
      <c r="G135" s="20" t="n">
        <v>90.34</v>
      </c>
      <c r="H135" s="20" t="n">
        <v>91.16</v>
      </c>
      <c r="I135" s="11">
        <f>F135/G135-1</f>
        <v>-0.003099402258135986</v>
      </c>
      <c r="J135" s="11">
        <f>F135/H135-1</f>
        <v>-0.012066695919262793</v>
      </c>
      <c r="K135" s="13" t="n">
        <v>472027</v>
      </c>
      <c r="L135" s="13" t="n">
        <v>429250</v>
      </c>
      <c r="M135" s="21">
        <f>K135/L135</f>
        <v>1.0996552125800816</v>
      </c>
    </row>
    <row r="136">
      <c r="A136" s="19" t="inlineStr">
        <is>
          <t>CWT</t>
        </is>
      </c>
      <c r="B136" s="14" t="inlineStr">
        <is>
          <t>—</t>
        </is>
      </c>
      <c r="C136" s="14" t="inlineStr">
        <is>
          <t>—</t>
        </is>
      </c>
      <c r="D136" s="6" t="inlineStr">
        <is>
          <t>水務公用</t>
        </is>
      </c>
      <c r="E136" s="61" t="n">
        <v>60</v>
      </c>
      <c r="F136" s="20" t="n">
        <v>48.05</v>
      </c>
      <c r="G136" s="20" t="n">
        <v>47.82</v>
      </c>
      <c r="H136" s="20" t="n">
        <v>49.43</v>
      </c>
      <c r="I136" s="11">
        <f>F136/G136-1</f>
        <v>0.004809703053115788</v>
      </c>
      <c r="J136" s="11">
        <f>F136/H136-1</f>
        <v>-0.02791826825814292</v>
      </c>
      <c r="K136" s="13" t="n">
        <v>338649</v>
      </c>
      <c r="L136" s="13" t="n">
        <v>417400</v>
      </c>
      <c r="M136" s="21">
        <f>K136/L136</f>
        <v>0.8113296597987542</v>
      </c>
    </row>
    <row r="137">
      <c r="A137" s="19" t="inlineStr">
        <is>
          <t>D</t>
        </is>
      </c>
      <c r="B137" s="14" t="inlineStr">
        <is>
          <t>—</t>
        </is>
      </c>
      <c r="C137" s="14" t="inlineStr">
        <is>
          <t>—</t>
        </is>
      </c>
      <c r="D137" s="6" t="inlineStr">
        <is>
          <t>受監管電力公用</t>
        </is>
      </c>
      <c r="E137" s="61" t="n">
        <v>93</v>
      </c>
      <c r="F137" s="20" t="n">
        <v>63.51</v>
      </c>
      <c r="G137" s="20" t="n">
        <v>63.87</v>
      </c>
      <c r="H137" s="20" t="n">
        <v>65.09999999999999</v>
      </c>
      <c r="I137" s="11">
        <f>F137/G137-1</f>
        <v>-0.005636449037106583</v>
      </c>
      <c r="J137" s="11">
        <f>F137/H137-1</f>
        <v>-0.02442396313364048</v>
      </c>
      <c r="K137" s="13" t="n">
        <v>3696454</v>
      </c>
      <c r="L137" s="13" t="n">
        <v>4436250</v>
      </c>
      <c r="M137" s="21">
        <f>K137/L137</f>
        <v>0.8332384333615103</v>
      </c>
    </row>
    <row r="138">
      <c r="A138" s="19" t="inlineStr">
        <is>
          <t>DAL</t>
        </is>
      </c>
      <c r="B138" s="14" t="inlineStr">
        <is>
          <t>—</t>
        </is>
      </c>
      <c r="C138" s="14" t="inlineStr">
        <is>
          <t>—</t>
        </is>
      </c>
      <c r="D138" s="6" t="inlineStr">
        <is>
          <t>航空公司</t>
        </is>
      </c>
      <c r="E138" s="61" t="n">
        <v>49</v>
      </c>
      <c r="F138" s="20" t="n">
        <v>77.87</v>
      </c>
      <c r="G138" s="20" t="n">
        <v>78.89</v>
      </c>
      <c r="H138" s="20" t="n">
        <v>78.75</v>
      </c>
      <c r="I138" s="11">
        <f>F138/G138-1</f>
        <v>-0.012929395360628648</v>
      </c>
      <c r="J138" s="11">
        <f>F138/H138-1</f>
        <v>-0.01117460317460317</v>
      </c>
      <c r="K138" s="13" t="n">
        <v>6982674</v>
      </c>
      <c r="L138" s="13" t="n">
        <v>5199800</v>
      </c>
      <c r="M138" s="21">
        <f>K138/L138</f>
        <v>1.3428735720604639</v>
      </c>
    </row>
    <row r="139">
      <c r="A139" s="19" t="inlineStr">
        <is>
          <t>DDOG</t>
        </is>
      </c>
      <c r="B139" s="14" t="inlineStr">
        <is>
          <t>—</t>
        </is>
      </c>
      <c r="C139" s="14" t="inlineStr">
        <is>
          <t>—</t>
        </is>
      </c>
      <c r="D139" s="6" t="inlineStr">
        <is>
          <t>資料/分析平台</t>
        </is>
      </c>
      <c r="E139" s="61" t="n">
        <v>8</v>
      </c>
      <c r="F139" s="20" t="n">
        <v>230.79</v>
      </c>
      <c r="G139" s="20" t="n">
        <v>230.27</v>
      </c>
      <c r="H139" s="20" t="n">
        <v>225.27</v>
      </c>
      <c r="I139" s="11">
        <f>F139/G139-1</f>
        <v>0.0022582186129325166</v>
      </c>
      <c r="J139" s="11">
        <f>F139/H139-1</f>
        <v>0.024503928618990534</v>
      </c>
      <c r="K139" s="13" t="n">
        <v>2771124</v>
      </c>
      <c r="L139" s="13" t="n">
        <v>3532200</v>
      </c>
      <c r="M139" s="21">
        <f>K139/L139</f>
        <v>0.7845320197044335</v>
      </c>
    </row>
    <row r="140">
      <c r="A140" s="19" t="inlineStr">
        <is>
          <t>DE</t>
        </is>
      </c>
      <c r="B140" s="14" t="inlineStr">
        <is>
          <t>—</t>
        </is>
      </c>
      <c r="C140" s="14" t="inlineStr">
        <is>
          <t>—</t>
        </is>
      </c>
      <c r="D140" s="6" t="inlineStr">
        <is>
          <t>機械與重工</t>
        </is>
      </c>
      <c r="E140" s="61" t="n">
        <v>39</v>
      </c>
      <c r="F140" s="20" t="n">
        <v>669.47</v>
      </c>
      <c r="G140" s="20" t="n">
        <v>684.04</v>
      </c>
      <c r="H140" s="20" t="n">
        <v>677.21</v>
      </c>
      <c r="I140" s="11">
        <f>F140/G140-1</f>
        <v>-0.021299923981053626</v>
      </c>
      <c r="J140" s="11">
        <f>F140/H140-1</f>
        <v>-0.011429246467122511</v>
      </c>
      <c r="K140" s="13" t="n">
        <v>871620</v>
      </c>
      <c r="L140" s="13" t="n">
        <v>1223600</v>
      </c>
      <c r="M140" s="21">
        <f>K140/L140</f>
        <v>0.7123406341941811</v>
      </c>
    </row>
    <row r="141">
      <c r="A141" s="19" t="inlineStr">
        <is>
          <t>DECK</t>
        </is>
      </c>
      <c r="B141" s="14" t="inlineStr">
        <is>
          <t>—</t>
        </is>
      </c>
      <c r="C141" s="14" t="inlineStr">
        <is>
          <t>—</t>
        </is>
      </c>
      <c r="D141" s="6" t="inlineStr">
        <is>
          <t>服裝與奢侈品</t>
        </is>
      </c>
      <c r="E141" s="61" t="n">
        <v>79</v>
      </c>
      <c r="F141" s="20" t="n">
        <v>77.95999999999999</v>
      </c>
      <c r="G141" s="20" t="n">
        <v>77.51000000000001</v>
      </c>
      <c r="H141" s="20" t="n">
        <v>80.23</v>
      </c>
      <c r="I141" s="11">
        <f>F141/G141-1</f>
        <v>0.005805702490001119</v>
      </c>
      <c r="J141" s="11">
        <f>F141/H141-1</f>
        <v>-0.028293655739748402</v>
      </c>
      <c r="K141" s="13" t="n">
        <v>3042249</v>
      </c>
      <c r="L141" s="13" t="n">
        <v>2897500</v>
      </c>
      <c r="M141" s="21">
        <f>K141/L141</f>
        <v>1.0499565142364107</v>
      </c>
    </row>
    <row r="142">
      <c r="A142" s="19" t="inlineStr">
        <is>
          <t>DELL</t>
        </is>
      </c>
      <c r="B142" s="14" t="inlineStr">
        <is>
          <t>—</t>
        </is>
      </c>
      <c r="C142" s="14" t="inlineStr">
        <is>
          <t>—</t>
        </is>
      </c>
      <c r="D142" s="6" t="inlineStr">
        <is>
          <t>電子硬件與EMS/連接器</t>
        </is>
      </c>
      <c r="E142" s="61" t="n">
        <v>5</v>
      </c>
      <c r="F142" s="20" t="n">
        <v>563.29</v>
      </c>
      <c r="G142" s="20" t="n">
        <v>543.51</v>
      </c>
      <c r="H142" s="20" t="n">
        <v>535.25</v>
      </c>
      <c r="I142" s="11">
        <f>F142/G142-1</f>
        <v>0.03639307464444075</v>
      </c>
      <c r="J142" s="11">
        <f>F142/H142-1</f>
        <v>0.05238673517048098</v>
      </c>
      <c r="K142" s="13" t="n">
        <v>13032107</v>
      </c>
      <c r="L142" s="13" t="n">
        <v>6875200</v>
      </c>
      <c r="M142" s="21">
        <f>K142/L142</f>
        <v>1.895524057481964</v>
      </c>
    </row>
    <row r="143">
      <c r="A143" s="19" t="inlineStr">
        <is>
          <t>DEO</t>
        </is>
      </c>
      <c r="B143" s="14" t="inlineStr">
        <is>
          <t>—</t>
        </is>
      </c>
      <c r="C143" s="14" t="inlineStr">
        <is>
          <t>—</t>
        </is>
      </c>
      <c r="D143" s="6" t="inlineStr">
        <is>
          <t>酒精飲品</t>
        </is>
      </c>
      <c r="E143" s="61" t="n">
        <v>28</v>
      </c>
      <c r="F143" s="20" t="n">
        <v>86.95</v>
      </c>
      <c r="G143" s="20" t="n">
        <v>86.8</v>
      </c>
      <c r="H143" s="20" t="n">
        <v>86.09999999999999</v>
      </c>
      <c r="I143" s="11">
        <f>F143/G143-1</f>
        <v>0.001728110599078514</v>
      </c>
      <c r="J143" s="11">
        <f>F143/H143-1</f>
        <v>0.009872241579558683</v>
      </c>
      <c r="K143" s="13" t="n">
        <v>1381311</v>
      </c>
      <c r="L143" s="13" t="n">
        <v>876400</v>
      </c>
      <c r="M143" s="21">
        <f>K143/L143</f>
        <v>1.5761193518941123</v>
      </c>
    </row>
    <row r="144">
      <c r="A144" s="39" t="inlineStr">
        <is>
          <t>DHI</t>
        </is>
      </c>
      <c r="B144" s="93" t="inlineStr">
        <is>
          <t>—</t>
        </is>
      </c>
      <c r="C144" s="94" t="inlineStr">
        <is>
          <t>住宅建築商</t>
        </is>
      </c>
      <c r="D144" s="40" t="inlineStr">
        <is>
          <t>住宅建築商</t>
        </is>
      </c>
      <c r="E144" s="67" t="n">
        <v>44</v>
      </c>
      <c r="F144" s="41" t="n">
        <v>138.32</v>
      </c>
      <c r="G144" s="41" t="n">
        <v>140.2</v>
      </c>
      <c r="H144" s="41" t="n">
        <v>138.93</v>
      </c>
      <c r="I144" s="42">
        <f>F144/G144-1</f>
        <v>-0.013409415121255264</v>
      </c>
      <c r="J144" s="42">
        <f>F144/H144-1</f>
        <v>-0.004390700352695731</v>
      </c>
      <c r="K144" s="43" t="n">
        <v>3932995</v>
      </c>
      <c r="L144" s="43" t="n">
        <v>1928200</v>
      </c>
      <c r="M144" s="44">
        <f>K144/L144</f>
        <v>2.0397235763924906</v>
      </c>
    </row>
    <row r="145">
      <c r="A145" s="19" t="inlineStr">
        <is>
          <t>DHR</t>
        </is>
      </c>
      <c r="B145" s="14" t="inlineStr">
        <is>
          <t>—</t>
        </is>
      </c>
      <c r="C145" s="14" t="inlineStr">
        <is>
          <t>—</t>
        </is>
      </c>
      <c r="D145" s="6" t="inlineStr">
        <is>
          <t>診斷與生命科學工具</t>
        </is>
      </c>
      <c r="E145" s="61" t="n">
        <v>1</v>
      </c>
      <c r="F145" s="20" t="n">
        <v>208.36</v>
      </c>
      <c r="G145" s="20" t="n">
        <v>209.36</v>
      </c>
      <c r="H145" s="20" t="n">
        <v>204.85</v>
      </c>
      <c r="I145" s="11">
        <f>F145/G145-1</f>
        <v>-0.00477646159724876</v>
      </c>
      <c r="J145" s="11">
        <f>F145/H145-1</f>
        <v>0.017134488650232038</v>
      </c>
      <c r="K145" s="13" t="n">
        <v>3566919</v>
      </c>
      <c r="L145" s="13" t="n">
        <v>2986050</v>
      </c>
      <c r="M145" s="21">
        <f>K145/L145</f>
        <v>1.1945275531220174</v>
      </c>
    </row>
    <row r="146">
      <c r="A146" s="58" t="inlineStr">
        <is>
          <t>DINO</t>
        </is>
      </c>
      <c r="B146" s="88" t="inlineStr">
        <is>
          <t>①</t>
        </is>
      </c>
      <c r="C146" s="89" t="inlineStr">
        <is>
          <t>—</t>
        </is>
      </c>
      <c r="D146" s="60" t="inlineStr">
        <is>
          <t>煉油與成品油</t>
        </is>
      </c>
      <c r="E146" s="49" t="n">
        <v>4</v>
      </c>
      <c r="F146" s="90" t="n">
        <v>113.97</v>
      </c>
      <c r="G146" s="90" t="n">
        <v>112.25</v>
      </c>
      <c r="H146" s="90" t="n">
        <v>108.14</v>
      </c>
      <c r="I146" s="53">
        <f>F146/G146-1</f>
        <v>0.015322939866369678</v>
      </c>
      <c r="J146" s="53">
        <f>F146/H146-1</f>
        <v>0.05391159607915674</v>
      </c>
      <c r="K146" s="91" t="n">
        <v>2091749</v>
      </c>
      <c r="L146" s="91" t="n">
        <v>2328700</v>
      </c>
      <c r="M146" s="92">
        <f>K146/L146</f>
        <v>0.8982475200755786</v>
      </c>
    </row>
    <row r="147">
      <c r="A147" s="19" t="inlineStr">
        <is>
          <t>DIS</t>
        </is>
      </c>
      <c r="B147" s="14" t="inlineStr">
        <is>
          <t>—</t>
        </is>
      </c>
      <c r="C147" s="14" t="inlineStr">
        <is>
          <t>—</t>
        </is>
      </c>
      <c r="D147" s="6" t="inlineStr">
        <is>
          <t>串流影音</t>
        </is>
      </c>
      <c r="E147" s="61" t="n">
        <v>20</v>
      </c>
      <c r="F147" s="20" t="n">
        <v>106.99</v>
      </c>
      <c r="G147" s="20" t="n">
        <v>106.42</v>
      </c>
      <c r="H147" s="20" t="n">
        <v>104.18</v>
      </c>
      <c r="I147" s="11">
        <f>F147/G147-1</f>
        <v>0.005356136064649464</v>
      </c>
      <c r="J147" s="11">
        <f>F147/H147-1</f>
        <v>0.0269725475139182</v>
      </c>
      <c r="K147" s="13" t="n">
        <v>10105714</v>
      </c>
      <c r="L147" s="13" t="n">
        <v>7325300</v>
      </c>
      <c r="M147" s="21">
        <f>K147/L147</f>
        <v>1.3795631578228877</v>
      </c>
    </row>
    <row r="148">
      <c r="A148" s="19" t="inlineStr">
        <is>
          <t>DKNG</t>
        </is>
      </c>
      <c r="B148" s="14" t="inlineStr">
        <is>
          <t>—</t>
        </is>
      </c>
      <c r="C148" s="14" t="inlineStr">
        <is>
          <t>—</t>
        </is>
      </c>
      <c r="D148" s="6" t="inlineStr">
        <is>
          <t>博彩與線上博彩</t>
        </is>
      </c>
      <c r="E148" s="61" t="n">
        <v>71</v>
      </c>
      <c r="F148" s="20" t="n">
        <v>24.33</v>
      </c>
      <c r="G148" s="20" t="n">
        <v>24.64</v>
      </c>
      <c r="H148" s="20" t="n">
        <v>23.66</v>
      </c>
      <c r="I148" s="11">
        <f>F148/G148-1</f>
        <v>-0.012581168831168887</v>
      </c>
      <c r="J148" s="11">
        <f>F148/H148-1</f>
        <v>0.028317836010143704</v>
      </c>
      <c r="K148" s="13" t="n">
        <v>8913196</v>
      </c>
      <c r="L148" s="13" t="n">
        <v>8334600</v>
      </c>
      <c r="M148" s="21">
        <f>K148/L148</f>
        <v>1.0694209680128621</v>
      </c>
    </row>
    <row r="149">
      <c r="A149" s="19" t="inlineStr">
        <is>
          <t>DLR</t>
        </is>
      </c>
      <c r="B149" s="14" t="inlineStr">
        <is>
          <t>—</t>
        </is>
      </c>
      <c r="C149" s="14" t="inlineStr">
        <is>
          <t>—</t>
        </is>
      </c>
      <c r="D149" s="6" t="inlineStr">
        <is>
          <t>資料中心REIT</t>
        </is>
      </c>
      <c r="E149" s="61" t="n">
        <v>22</v>
      </c>
      <c r="F149" s="20" t="n">
        <v>181.07</v>
      </c>
      <c r="G149" s="20" t="n">
        <v>179.27</v>
      </c>
      <c r="H149" s="20" t="n">
        <v>189.08</v>
      </c>
      <c r="I149" s="11">
        <f>F149/G149-1</f>
        <v>0.01004072070061901</v>
      </c>
      <c r="J149" s="11">
        <f>F149/H149-1</f>
        <v>-0.04236302094351607</v>
      </c>
      <c r="K149" s="13" t="n">
        <v>2634743</v>
      </c>
      <c r="L149" s="13" t="n">
        <v>1666500</v>
      </c>
      <c r="M149" s="21">
        <f>K149/L149</f>
        <v>1.581003900390039</v>
      </c>
    </row>
    <row r="150">
      <c r="A150" s="19" t="inlineStr">
        <is>
          <t>DNLI</t>
        </is>
      </c>
      <c r="B150" s="14" t="inlineStr">
        <is>
          <t>—</t>
        </is>
      </c>
      <c r="C150" s="14" t="inlineStr">
        <is>
          <t>—</t>
        </is>
      </c>
      <c r="D150" s="6" t="inlineStr">
        <is>
          <t>臨床期中小型生技</t>
        </is>
      </c>
      <c r="E150" s="61" t="n">
        <v>110</v>
      </c>
      <c r="F150" s="20" t="n">
        <v>20.06</v>
      </c>
      <c r="G150" s="20" t="n">
        <v>20.38</v>
      </c>
      <c r="H150" s="20" t="n">
        <v>21.57</v>
      </c>
      <c r="I150" s="11">
        <f>F150/G150-1</f>
        <v>-0.015701668302257166</v>
      </c>
      <c r="J150" s="11">
        <f>F150/H150-1</f>
        <v>-0.07000463606861385</v>
      </c>
      <c r="K150" s="13" t="n">
        <v>1855504</v>
      </c>
      <c r="L150" s="13" t="n">
        <v>1110050</v>
      </c>
      <c r="M150" s="21">
        <f>K150/L150</f>
        <v>1.671549930183325</v>
      </c>
    </row>
    <row r="151">
      <c r="A151" s="19" t="inlineStr">
        <is>
          <t>DNN</t>
        </is>
      </c>
      <c r="B151" s="14" t="inlineStr">
        <is>
          <t>—</t>
        </is>
      </c>
      <c r="C151" s="14" t="inlineStr">
        <is>
          <t>—</t>
        </is>
      </c>
      <c r="D151" s="6" t="inlineStr">
        <is>
          <t>鈾與核燃料</t>
        </is>
      </c>
      <c r="E151" s="61" t="n">
        <v>111</v>
      </c>
      <c r="F151" s="20" t="n">
        <v>2.82</v>
      </c>
      <c r="G151" s="20" t="n">
        <v>2.86</v>
      </c>
      <c r="H151" s="20" t="n">
        <v>3.35</v>
      </c>
      <c r="I151" s="11">
        <f>F151/G151-1</f>
        <v>-0.013986013986013957</v>
      </c>
      <c r="J151" s="11">
        <f>F151/H151-1</f>
        <v>-0.15820895522388068</v>
      </c>
      <c r="K151" s="13" t="n">
        <v>21304528</v>
      </c>
      <c r="L151" s="13" t="n">
        <v>25124400</v>
      </c>
      <c r="M151" s="21">
        <f>K151/L151</f>
        <v>0.847961662766076</v>
      </c>
    </row>
    <row r="152">
      <c r="A152" s="19" t="inlineStr">
        <is>
          <t>DOC</t>
        </is>
      </c>
      <c r="B152" s="14" t="inlineStr">
        <is>
          <t>—</t>
        </is>
      </c>
      <c r="C152" s="14" t="inlineStr">
        <is>
          <t>—</t>
        </is>
      </c>
      <c r="D152" s="6" t="inlineStr">
        <is>
          <t>醫療與長者住宅REIT</t>
        </is>
      </c>
      <c r="E152" s="61" t="n">
        <v>42</v>
      </c>
      <c r="F152" s="20" t="n">
        <v>20.35</v>
      </c>
      <c r="G152" s="20" t="n">
        <v>20.16</v>
      </c>
      <c r="H152" s="20" t="n">
        <v>20.39</v>
      </c>
      <c r="I152" s="11">
        <f>F152/G152-1</f>
        <v>0.009424603174603252</v>
      </c>
      <c r="J152" s="11">
        <f>F152/H152-1</f>
        <v>-0.0019617459538989745</v>
      </c>
      <c r="K152" s="13" t="n">
        <v>4910034</v>
      </c>
      <c r="L152" s="13" t="n">
        <v>4117350</v>
      </c>
      <c r="M152" s="21">
        <f>K152/L152</f>
        <v>1.1925228605777989</v>
      </c>
    </row>
    <row r="153">
      <c r="A153" s="19" t="inlineStr">
        <is>
          <t>DOCS</t>
        </is>
      </c>
      <c r="B153" s="14" t="inlineStr">
        <is>
          <t>—</t>
        </is>
      </c>
      <c r="C153" s="14" t="inlineStr">
        <is>
          <t>—</t>
        </is>
      </c>
      <c r="D153" s="6" t="inlineStr">
        <is>
          <t>數位醫療與遠距醫療</t>
        </is>
      </c>
      <c r="E153" s="61" t="n">
        <v>21</v>
      </c>
      <c r="F153" s="20" t="n">
        <v>25.94</v>
      </c>
      <c r="G153" s="20" t="n">
        <v>25.81</v>
      </c>
      <c r="H153" s="20" t="n">
        <v>24.19</v>
      </c>
      <c r="I153" s="11">
        <f>F153/G153-1</f>
        <v>0.0050368074389772755</v>
      </c>
      <c r="J153" s="11">
        <f>F153/H153-1</f>
        <v>0.0723439437784208</v>
      </c>
      <c r="K153" s="13" t="n">
        <v>2306461</v>
      </c>
      <c r="L153" s="13" t="n">
        <v>2560750</v>
      </c>
      <c r="M153" s="21">
        <f>K153/L153</f>
        <v>0.9006974519183832</v>
      </c>
    </row>
    <row r="154">
      <c r="A154" s="19" t="inlineStr">
        <is>
          <t>DOW</t>
        </is>
      </c>
      <c r="B154" s="14" t="inlineStr">
        <is>
          <t>—</t>
        </is>
      </c>
      <c r="C154" s="14" t="inlineStr">
        <is>
          <t>—</t>
        </is>
      </c>
      <c r="D154" s="6" t="inlineStr">
        <is>
          <t>基礎化工與化肥</t>
        </is>
      </c>
      <c r="E154" s="61" t="n">
        <v>61</v>
      </c>
      <c r="F154" s="20" t="n">
        <v>30.08</v>
      </c>
      <c r="G154" s="20" t="n">
        <v>29.85</v>
      </c>
      <c r="H154" s="20" t="n">
        <v>29.4</v>
      </c>
      <c r="I154" s="11">
        <f>F154/G154-1</f>
        <v>0.007705192629815727</v>
      </c>
      <c r="J154" s="11">
        <f>F154/H154-1</f>
        <v>0.023129251700680253</v>
      </c>
      <c r="K154" s="13" t="n">
        <v>12242991</v>
      </c>
      <c r="L154" s="13" t="n">
        <v>8424650</v>
      </c>
      <c r="M154" s="21">
        <f>K154/L154</f>
        <v>1.4532343776892809</v>
      </c>
    </row>
    <row r="155">
      <c r="A155" s="19" t="inlineStr">
        <is>
          <t>DRI</t>
        </is>
      </c>
      <c r="B155" s="14" t="inlineStr">
        <is>
          <t>—</t>
        </is>
      </c>
      <c r="C155" s="14" t="inlineStr">
        <is>
          <t>—</t>
        </is>
      </c>
      <c r="D155" s="6" t="inlineStr">
        <is>
          <t>餐飲連鎖</t>
        </is>
      </c>
      <c r="E155" s="61" t="n">
        <v>90</v>
      </c>
      <c r="F155" s="20" t="n">
        <v>208.08</v>
      </c>
      <c r="G155" s="20" t="n">
        <v>209.12</v>
      </c>
      <c r="H155" s="20" t="n">
        <v>209.42</v>
      </c>
      <c r="I155" s="11">
        <f>F155/G155-1</f>
        <v>-0.004973221117061888</v>
      </c>
      <c r="J155" s="11">
        <f>F155/H155-1</f>
        <v>-0.0063986247731829815</v>
      </c>
      <c r="K155" s="13" t="n">
        <v>1098468</v>
      </c>
      <c r="L155" s="13" t="n">
        <v>974950</v>
      </c>
      <c r="M155" s="21">
        <f>K155/L155</f>
        <v>1.1266916252115493</v>
      </c>
    </row>
    <row r="156">
      <c r="A156" s="19" t="inlineStr">
        <is>
          <t>DTIL</t>
        </is>
      </c>
      <c r="B156" s="14" t="inlineStr">
        <is>
          <t>—</t>
        </is>
      </c>
      <c r="C156" s="14" t="inlineStr">
        <is>
          <t>—</t>
        </is>
      </c>
      <c r="D156" s="6" t="inlineStr">
        <is>
          <t>臨床期中小型生技</t>
        </is>
      </c>
      <c r="E156" s="61" t="n">
        <v>110</v>
      </c>
      <c r="F156" s="20" t="n">
        <v>6.63</v>
      </c>
      <c r="G156" s="20" t="n">
        <v>6.61</v>
      </c>
      <c r="H156" s="20" t="n">
        <v>7.25</v>
      </c>
      <c r="I156" s="11">
        <f>F156/G156-1</f>
        <v>0.00302571860816947</v>
      </c>
      <c r="J156" s="11">
        <f>F156/H156-1</f>
        <v>-0.08551724137931038</v>
      </c>
      <c r="K156" s="13" t="n">
        <v>289212</v>
      </c>
      <c r="L156" s="13" t="n">
        <v>249500</v>
      </c>
      <c r="M156" s="21">
        <f>K156/L156</f>
        <v>1.1591663326653308</v>
      </c>
    </row>
    <row r="157">
      <c r="A157" s="19" t="inlineStr">
        <is>
          <t>DUK</t>
        </is>
      </c>
      <c r="B157" s="14" t="inlineStr">
        <is>
          <t>—</t>
        </is>
      </c>
      <c r="C157" s="14" t="inlineStr">
        <is>
          <t>—</t>
        </is>
      </c>
      <c r="D157" s="6" t="inlineStr">
        <is>
          <t>受監管電力公用</t>
        </is>
      </c>
      <c r="E157" s="61" t="n">
        <v>93</v>
      </c>
      <c r="F157" s="20" t="n">
        <v>117.76</v>
      </c>
      <c r="G157" s="20" t="n">
        <v>117.77</v>
      </c>
      <c r="H157" s="20" t="n">
        <v>120.43</v>
      </c>
      <c r="I157" s="11">
        <f>F157/G157-1</f>
        <v>-8.491126772514068e-05</v>
      </c>
      <c r="J157" s="11">
        <f>F157/H157-1</f>
        <v>-0.022170555509424594</v>
      </c>
      <c r="K157" s="13" t="n">
        <v>3820021</v>
      </c>
      <c r="L157" s="13" t="n">
        <v>3388150</v>
      </c>
      <c r="M157" s="21">
        <f>K157/L157</f>
        <v>1.1274651358410932</v>
      </c>
    </row>
    <row r="158">
      <c r="A158" s="39" t="inlineStr">
        <is>
          <t>DVN</t>
        </is>
      </c>
      <c r="B158" s="93" t="inlineStr">
        <is>
          <t>—</t>
        </is>
      </c>
      <c r="C158" s="94" t="inlineStr">
        <is>
          <t>頁岩E&amp;P／油服</t>
        </is>
      </c>
      <c r="D158" s="40" t="inlineStr">
        <is>
          <t>頁岩E&amp;P勘探生產</t>
        </is>
      </c>
      <c r="E158" s="67" t="n">
        <v>45</v>
      </c>
      <c r="F158" s="41" t="n">
        <v>48.44</v>
      </c>
      <c r="G158" s="41" t="n">
        <v>51.33</v>
      </c>
      <c r="H158" s="41" t="n">
        <v>48.98</v>
      </c>
      <c r="I158" s="42">
        <f>F158/G158-1</f>
        <v>-0.05630235729592836</v>
      </c>
      <c r="J158" s="42">
        <f>F158/H158-1</f>
        <v>-0.01102490812576562</v>
      </c>
      <c r="K158" s="43" t="n">
        <v>14976497</v>
      </c>
      <c r="L158" s="43" t="n">
        <v>10321150</v>
      </c>
      <c r="M158" s="44">
        <f>K158/L158</f>
        <v>1.4510492532324402</v>
      </c>
    </row>
    <row r="159">
      <c r="A159" s="19" t="inlineStr">
        <is>
          <t>EBAY</t>
        </is>
      </c>
      <c r="B159" s="14" t="inlineStr">
        <is>
          <t>—</t>
        </is>
      </c>
      <c r="C159" s="14" t="inlineStr">
        <is>
          <t>—</t>
        </is>
      </c>
      <c r="D159" s="6" t="inlineStr">
        <is>
          <t>電商平台</t>
        </is>
      </c>
      <c r="E159" s="61" t="n">
        <v>35</v>
      </c>
      <c r="F159" s="20" t="n">
        <v>109.17</v>
      </c>
      <c r="G159" s="20" t="n">
        <v>108.03</v>
      </c>
      <c r="H159" s="20" t="n">
        <v>103.51</v>
      </c>
      <c r="I159" s="11">
        <f>F159/G159-1</f>
        <v>0.01055262427103587</v>
      </c>
      <c r="J159" s="11">
        <f>F159/H159-1</f>
        <v>0.0546807071780504</v>
      </c>
      <c r="K159" s="13" t="n">
        <v>4633906</v>
      </c>
      <c r="L159" s="13" t="n">
        <v>3883950</v>
      </c>
      <c r="M159" s="21">
        <f>K159/L159</f>
        <v>1.1930910542102757</v>
      </c>
    </row>
    <row r="160">
      <c r="A160" s="19" t="inlineStr">
        <is>
          <t>ECL</t>
        </is>
      </c>
      <c r="B160" s="14" t="inlineStr">
        <is>
          <t>—</t>
        </is>
      </c>
      <c r="C160" s="14" t="inlineStr">
        <is>
          <t>—</t>
        </is>
      </c>
      <c r="D160" s="6" t="inlineStr">
        <is>
          <t>特種化工</t>
        </is>
      </c>
      <c r="E160" s="61" t="n">
        <v>46</v>
      </c>
      <c r="F160" s="20" t="n">
        <v>274.08</v>
      </c>
      <c r="G160" s="20" t="n">
        <v>274.6</v>
      </c>
      <c r="H160" s="20" t="n">
        <v>272.21</v>
      </c>
      <c r="I160" s="11">
        <f>F160/G160-1</f>
        <v>-0.0018936635105609723</v>
      </c>
      <c r="J160" s="11">
        <f>F160/H160-1</f>
        <v>0.00686969619044131</v>
      </c>
      <c r="K160" s="13" t="n">
        <v>1271152</v>
      </c>
      <c r="L160" s="13" t="n">
        <v>1383850</v>
      </c>
      <c r="M160" s="21">
        <f>K160/L160</f>
        <v>0.9185619828738664</v>
      </c>
    </row>
    <row r="161">
      <c r="A161" s="19" t="inlineStr">
        <is>
          <t>EE</t>
        </is>
      </c>
      <c r="B161" s="14" t="inlineStr">
        <is>
          <t>—</t>
        </is>
      </c>
      <c r="C161" s="14" t="inlineStr">
        <is>
          <t>—</t>
        </is>
      </c>
      <c r="D161" s="6" t="inlineStr">
        <is>
          <t>LNG液化天然氣</t>
        </is>
      </c>
      <c r="E161" s="61" t="n">
        <v>72</v>
      </c>
      <c r="F161" s="20" t="n">
        <v>37.71</v>
      </c>
      <c r="G161" s="20" t="n">
        <v>35.95</v>
      </c>
      <c r="H161" s="20" t="n">
        <v>39.32</v>
      </c>
      <c r="I161" s="11">
        <f>F161/G161-1</f>
        <v>0.04895688456189151</v>
      </c>
      <c r="J161" s="11">
        <f>F161/H161-1</f>
        <v>-0.04094608341810779</v>
      </c>
      <c r="K161" s="13" t="n">
        <v>701660</v>
      </c>
      <c r="L161" s="13" t="n">
        <v>372250</v>
      </c>
      <c r="M161" s="21">
        <f>K161/L161</f>
        <v>1.884916051040967</v>
      </c>
    </row>
    <row r="162">
      <c r="A162" s="19" t="inlineStr">
        <is>
          <t>EGP</t>
        </is>
      </c>
      <c r="B162" s="14" t="inlineStr">
        <is>
          <t>—</t>
        </is>
      </c>
      <c r="C162" s="14" t="inlineStr">
        <is>
          <t>—</t>
        </is>
      </c>
      <c r="D162" s="6" t="inlineStr">
        <is>
          <t>工業與物流REIT</t>
        </is>
      </c>
      <c r="E162" s="61" t="n">
        <v>19</v>
      </c>
      <c r="F162" s="20" t="n">
        <v>197.87</v>
      </c>
      <c r="G162" s="20" t="n">
        <v>198.58</v>
      </c>
      <c r="H162" s="20" t="n">
        <v>197.91</v>
      </c>
      <c r="I162" s="11">
        <f>F162/G162-1</f>
        <v>-0.003575385235169759</v>
      </c>
      <c r="J162" s="11">
        <f>F162/H162-1</f>
        <v>-0.00020211207114340102</v>
      </c>
      <c r="K162" s="13" t="n">
        <v>477371</v>
      </c>
      <c r="L162" s="13" t="n">
        <v>348200</v>
      </c>
      <c r="M162" s="21">
        <f>K162/L162</f>
        <v>1.370967834577829</v>
      </c>
    </row>
    <row r="163">
      <c r="A163" s="58" t="inlineStr">
        <is>
          <t>EHC</t>
        </is>
      </c>
      <c r="B163" s="88" t="inlineStr">
        <is>
          <t>②</t>
        </is>
      </c>
      <c r="C163" s="89" t="inlineStr">
        <is>
          <t>—</t>
        </is>
      </c>
      <c r="D163" s="60" t="inlineStr">
        <is>
          <t>醫院與醫療服務</t>
        </is>
      </c>
      <c r="E163" s="49" t="n">
        <v>3</v>
      </c>
      <c r="F163" s="90" t="n">
        <v>123.91</v>
      </c>
      <c r="G163" s="90" t="n">
        <v>122</v>
      </c>
      <c r="H163" s="90" t="n">
        <v>121.52</v>
      </c>
      <c r="I163" s="53">
        <f>F163/G163-1</f>
        <v>0.015655737704918016</v>
      </c>
      <c r="J163" s="53">
        <f>F163/H163-1</f>
        <v>0.019667544437129703</v>
      </c>
      <c r="K163" s="91" t="n">
        <v>879222</v>
      </c>
      <c r="L163" s="91" t="n">
        <v>753800</v>
      </c>
      <c r="M163" s="92">
        <f>K163/L163</f>
        <v>1.1663863093658795</v>
      </c>
    </row>
    <row r="164">
      <c r="A164" s="19" t="inlineStr">
        <is>
          <t>EL</t>
        </is>
      </c>
      <c r="B164" s="14" t="inlineStr">
        <is>
          <t>—</t>
        </is>
      </c>
      <c r="C164" s="14" t="inlineStr">
        <is>
          <t>—</t>
        </is>
      </c>
      <c r="D164" s="6" t="inlineStr">
        <is>
          <t>家庭與個人護理</t>
        </is>
      </c>
      <c r="E164" s="61" t="n">
        <v>15</v>
      </c>
      <c r="F164" s="20" t="n">
        <v>95.59999999999999</v>
      </c>
      <c r="G164" s="20" t="n">
        <v>96.25</v>
      </c>
      <c r="H164" s="20" t="n">
        <v>98.77</v>
      </c>
      <c r="I164" s="11">
        <f>F164/G164-1</f>
        <v>-0.006753246753246844</v>
      </c>
      <c r="J164" s="11">
        <f>F164/H164-1</f>
        <v>-0.03209476561709024</v>
      </c>
      <c r="K164" s="13" t="n">
        <v>2080837</v>
      </c>
      <c r="L164" s="13" t="n">
        <v>3295550</v>
      </c>
      <c r="M164" s="21">
        <f>K164/L164</f>
        <v>0.6314081109374763</v>
      </c>
    </row>
    <row r="165">
      <c r="A165" s="19" t="inlineStr">
        <is>
          <t>ELV</t>
        </is>
      </c>
      <c r="B165" s="14" t="inlineStr">
        <is>
          <t>—</t>
        </is>
      </c>
      <c r="C165" s="14" t="inlineStr">
        <is>
          <t>—</t>
        </is>
      </c>
      <c r="D165" s="6" t="inlineStr">
        <is>
          <t>醫療保險與管理式醫療</t>
        </is>
      </c>
      <c r="E165" s="61" t="n">
        <v>76</v>
      </c>
      <c r="F165" s="20" t="n">
        <v>412.56</v>
      </c>
      <c r="G165" s="20" t="n">
        <v>417.54</v>
      </c>
      <c r="H165" s="20" t="n">
        <v>396.9</v>
      </c>
      <c r="I165" s="11">
        <f>F165/G165-1</f>
        <v>-0.011927001005891724</v>
      </c>
      <c r="J165" s="11">
        <f>F165/H165-1</f>
        <v>0.039455782312925125</v>
      </c>
      <c r="K165" s="13" t="n">
        <v>1118346</v>
      </c>
      <c r="L165" s="13" t="n">
        <v>1096300</v>
      </c>
      <c r="M165" s="21">
        <f>K165/L165</f>
        <v>1.0201094590896653</v>
      </c>
    </row>
    <row r="166">
      <c r="A166" s="19" t="inlineStr">
        <is>
          <t>EME</t>
        </is>
      </c>
      <c r="B166" s="14" t="inlineStr">
        <is>
          <t>—</t>
        </is>
      </c>
      <c r="C166" s="14" t="inlineStr">
        <is>
          <t>—</t>
        </is>
      </c>
      <c r="D166" s="6" t="inlineStr">
        <is>
          <t>工程建設/EPC</t>
        </is>
      </c>
      <c r="E166" s="61" t="n">
        <v>51</v>
      </c>
      <c r="F166" s="20" t="n">
        <v>739.46</v>
      </c>
      <c r="G166" s="20" t="n">
        <v>735.52</v>
      </c>
      <c r="H166" s="20" t="n">
        <v>754.29</v>
      </c>
      <c r="I166" s="11">
        <f>F166/G166-1</f>
        <v>0.005356754405046793</v>
      </c>
      <c r="J166" s="11">
        <f>F166/H166-1</f>
        <v>-0.01966087313897824</v>
      </c>
      <c r="K166" s="13" t="n">
        <v>309494</v>
      </c>
      <c r="L166" s="13" t="n">
        <v>332400</v>
      </c>
      <c r="M166" s="21">
        <f>K166/L166</f>
        <v>0.9310890493381468</v>
      </c>
    </row>
    <row r="167">
      <c r="A167" s="19" t="inlineStr">
        <is>
          <t>EMR</t>
        </is>
      </c>
      <c r="B167" s="14" t="inlineStr">
        <is>
          <t>—</t>
        </is>
      </c>
      <c r="C167" s="14" t="inlineStr">
        <is>
          <t>—</t>
        </is>
      </c>
      <c r="D167" s="6" t="inlineStr">
        <is>
          <t>電氣設備與電網</t>
        </is>
      </c>
      <c r="E167" s="61" t="n">
        <v>14</v>
      </c>
      <c r="F167" s="20" t="n">
        <v>145.83</v>
      </c>
      <c r="G167" s="20" t="n">
        <v>147</v>
      </c>
      <c r="H167" s="20" t="n">
        <v>150.34</v>
      </c>
      <c r="I167" s="11">
        <f>F167/G167-1</f>
        <v>-0.007959183673469261</v>
      </c>
      <c r="J167" s="11">
        <f>F167/H167-1</f>
        <v>-0.029998669682054002</v>
      </c>
      <c r="K167" s="13" t="n">
        <v>2515940</v>
      </c>
      <c r="L167" s="13" t="n">
        <v>2052300</v>
      </c>
      <c r="M167" s="21">
        <f>K167/L167</f>
        <v>1.2259123909759782</v>
      </c>
    </row>
    <row r="168">
      <c r="A168" s="19" t="inlineStr">
        <is>
          <t>ENPH</t>
        </is>
      </c>
      <c r="B168" s="14" t="inlineStr">
        <is>
          <t>—</t>
        </is>
      </c>
      <c r="C168" s="14" t="inlineStr">
        <is>
          <t>—</t>
        </is>
      </c>
      <c r="D168" s="6" t="inlineStr">
        <is>
          <t>再生能源與太陽能</t>
        </is>
      </c>
      <c r="E168" s="61" t="n">
        <v>97</v>
      </c>
      <c r="F168" s="20" t="n">
        <v>35.56</v>
      </c>
      <c r="G168" s="20" t="n">
        <v>36.72</v>
      </c>
      <c r="H168" s="20" t="n">
        <v>36.72</v>
      </c>
      <c r="I168" s="11">
        <f>F168/G168-1</f>
        <v>-0.031590413943355045</v>
      </c>
      <c r="J168" s="11">
        <f>F168/H168-1</f>
        <v>-0.031590413943355045</v>
      </c>
      <c r="K168" s="13" t="n">
        <v>3841759</v>
      </c>
      <c r="L168" s="13" t="n">
        <v>4022650</v>
      </c>
      <c r="M168" s="21">
        <f>K168/L168</f>
        <v>0.9550318819683542</v>
      </c>
    </row>
    <row r="169">
      <c r="A169" s="39" t="inlineStr">
        <is>
          <t>EOG</t>
        </is>
      </c>
      <c r="B169" s="93" t="inlineStr">
        <is>
          <t>—</t>
        </is>
      </c>
      <c r="C169" s="94" t="inlineStr">
        <is>
          <t>頁岩E&amp;P／油服</t>
        </is>
      </c>
      <c r="D169" s="40" t="inlineStr">
        <is>
          <t>頁岩E&amp;P勘探生產</t>
        </is>
      </c>
      <c r="E169" s="67" t="n">
        <v>45</v>
      </c>
      <c r="F169" s="41" t="n">
        <v>144.93</v>
      </c>
      <c r="G169" s="41" t="n">
        <v>153.74</v>
      </c>
      <c r="H169" s="41" t="n">
        <v>147.01</v>
      </c>
      <c r="I169" s="42">
        <f>F169/G169-1</f>
        <v>-0.057304540132691595</v>
      </c>
      <c r="J169" s="42">
        <f>F169/H169-1</f>
        <v>-0.014148697367525886</v>
      </c>
      <c r="K169" s="43" t="n">
        <v>4385565</v>
      </c>
      <c r="L169" s="43" t="n">
        <v>2869250</v>
      </c>
      <c r="M169" s="44">
        <f>K169/L169</f>
        <v>1.5284708547529842</v>
      </c>
    </row>
    <row r="170">
      <c r="A170" s="19" t="inlineStr">
        <is>
          <t>EPAM</t>
        </is>
      </c>
      <c r="B170" s="14" t="inlineStr">
        <is>
          <t>—</t>
        </is>
      </c>
      <c r="C170" s="14" t="inlineStr">
        <is>
          <t>—</t>
        </is>
      </c>
      <c r="D170" s="6" t="inlineStr">
        <is>
          <t>IT服務與系統整合</t>
        </is>
      </c>
      <c r="E170" s="61" t="n">
        <v>32</v>
      </c>
      <c r="F170" s="20" t="n">
        <v>117.17</v>
      </c>
      <c r="G170" s="20" t="n">
        <v>123.51</v>
      </c>
      <c r="H170" s="20" t="n">
        <v>114.68</v>
      </c>
      <c r="I170" s="11">
        <f>F170/G170-1</f>
        <v>-0.051331875961460605</v>
      </c>
      <c r="J170" s="11">
        <f>F170/H170-1</f>
        <v>0.021712591559120975</v>
      </c>
      <c r="K170" s="13" t="n">
        <v>1213394</v>
      </c>
      <c r="L170" s="13" t="n">
        <v>1115350</v>
      </c>
      <c r="M170" s="21">
        <f>K170/L170</f>
        <v>1.0879042453041645</v>
      </c>
    </row>
    <row r="171">
      <c r="A171" s="19" t="inlineStr">
        <is>
          <t>EPD</t>
        </is>
      </c>
      <c r="B171" s="14" t="inlineStr">
        <is>
          <t>—</t>
        </is>
      </c>
      <c r="C171" s="14" t="inlineStr">
        <is>
          <t>—</t>
        </is>
      </c>
      <c r="D171" s="6" t="inlineStr">
        <is>
          <t>中游與管道</t>
        </is>
      </c>
      <c r="E171" s="61" t="n">
        <v>86</v>
      </c>
      <c r="F171" s="20" t="n">
        <v>38.09</v>
      </c>
      <c r="G171" s="20" t="n">
        <v>38.81</v>
      </c>
      <c r="H171" s="20" t="n">
        <v>39.32</v>
      </c>
      <c r="I171" s="11">
        <f>F171/G171-1</f>
        <v>-0.018551919608348344</v>
      </c>
      <c r="J171" s="11">
        <f>F171/H171-1</f>
        <v>-0.031281790437436285</v>
      </c>
      <c r="K171" s="13" t="n">
        <v>2413590</v>
      </c>
      <c r="L171" s="13" t="n">
        <v>2284600</v>
      </c>
      <c r="M171" s="21">
        <f>K171/L171</f>
        <v>1.0564606495666637</v>
      </c>
    </row>
    <row r="172">
      <c r="A172" s="19" t="inlineStr">
        <is>
          <t>EQH</t>
        </is>
      </c>
      <c r="B172" s="14" t="inlineStr">
        <is>
          <t>—</t>
        </is>
      </c>
      <c r="C172" s="14" t="inlineStr">
        <is>
          <t>—</t>
        </is>
      </c>
      <c r="D172" s="6" t="inlineStr">
        <is>
          <t>壽險與年金</t>
        </is>
      </c>
      <c r="E172" s="61" t="n">
        <v>12</v>
      </c>
      <c r="F172" s="20" t="n">
        <v>53.88</v>
      </c>
      <c r="G172" s="20" t="n">
        <v>53.97</v>
      </c>
      <c r="H172" s="20" t="n">
        <v>52.09</v>
      </c>
      <c r="I172" s="11">
        <f>F172/G172-1</f>
        <v>-0.0016675931072817063</v>
      </c>
      <c r="J172" s="11">
        <f>F172/H172-1</f>
        <v>0.03436360145901318</v>
      </c>
      <c r="K172" s="13" t="n">
        <v>3223914</v>
      </c>
      <c r="L172" s="13" t="n">
        <v>2286050</v>
      </c>
      <c r="M172" s="21">
        <f>K172/L172</f>
        <v>1.4102552437610727</v>
      </c>
    </row>
    <row r="173">
      <c r="A173" s="19" t="inlineStr">
        <is>
          <t>EQIX</t>
        </is>
      </c>
      <c r="B173" s="14" t="inlineStr">
        <is>
          <t>—</t>
        </is>
      </c>
      <c r="C173" s="14" t="inlineStr">
        <is>
          <t>—</t>
        </is>
      </c>
      <c r="D173" s="6" t="inlineStr">
        <is>
          <t>資料中心REIT</t>
        </is>
      </c>
      <c r="E173" s="61" t="n">
        <v>22</v>
      </c>
      <c r="F173" s="20" t="n">
        <v>1016.16</v>
      </c>
      <c r="G173" s="20" t="n">
        <v>1006.98</v>
      </c>
      <c r="H173" s="20" t="n">
        <v>1043.0601</v>
      </c>
      <c r="I173" s="11">
        <f>F173/G173-1</f>
        <v>0.009116367753083443</v>
      </c>
      <c r="J173" s="11">
        <f>F173/H173-1</f>
        <v>-0.02578959735877151</v>
      </c>
      <c r="K173" s="13" t="n">
        <v>436557</v>
      </c>
      <c r="L173" s="13" t="n">
        <v>508600</v>
      </c>
      <c r="M173" s="21">
        <f>K173/L173</f>
        <v>0.8583503735745183</v>
      </c>
    </row>
    <row r="174">
      <c r="A174" s="19" t="inlineStr">
        <is>
          <t>ET</t>
        </is>
      </c>
      <c r="B174" s="14" t="inlineStr">
        <is>
          <t>—</t>
        </is>
      </c>
      <c r="C174" s="14" t="inlineStr">
        <is>
          <t>—</t>
        </is>
      </c>
      <c r="D174" s="6" t="inlineStr">
        <is>
          <t>中游與管道</t>
        </is>
      </c>
      <c r="E174" s="61" t="n">
        <v>86</v>
      </c>
      <c r="F174" s="20" t="n">
        <v>21.11</v>
      </c>
      <c r="G174" s="20" t="n">
        <v>21.33</v>
      </c>
      <c r="H174" s="20" t="n">
        <v>21.68</v>
      </c>
      <c r="I174" s="11">
        <f>F174/G174-1</f>
        <v>-0.010314111579934337</v>
      </c>
      <c r="J174" s="11">
        <f>F174/H174-1</f>
        <v>-0.02629151291512921</v>
      </c>
      <c r="K174" s="13" t="n">
        <v>6784490</v>
      </c>
      <c r="L174" s="13" t="n">
        <v>7551350</v>
      </c>
      <c r="M174" s="21">
        <f>K174/L174</f>
        <v>0.8984472975030955</v>
      </c>
    </row>
    <row r="175">
      <c r="A175" s="58" t="inlineStr">
        <is>
          <t>ETN</t>
        </is>
      </c>
      <c r="B175" s="88" t="inlineStr">
        <is>
          <t>③</t>
        </is>
      </c>
      <c r="C175" s="89" t="inlineStr">
        <is>
          <t>—</t>
        </is>
      </c>
      <c r="D175" s="60" t="inlineStr">
        <is>
          <t>電氣設備與電網</t>
        </is>
      </c>
      <c r="E175" s="49" t="n">
        <v>14</v>
      </c>
      <c r="F175" s="90" t="n">
        <v>397.8</v>
      </c>
      <c r="G175" s="90" t="n">
        <v>392.4</v>
      </c>
      <c r="H175" s="90" t="n">
        <v>415.22</v>
      </c>
      <c r="I175" s="53">
        <f>F175/G175-1</f>
        <v>0.013761467889908285</v>
      </c>
      <c r="J175" s="53">
        <f>F175/H175-1</f>
        <v>-0.04195366311834692</v>
      </c>
      <c r="K175" s="91" t="n">
        <v>1810629</v>
      </c>
      <c r="L175" s="91" t="n">
        <v>1762250</v>
      </c>
      <c r="M175" s="92">
        <f>K175/L175</f>
        <v>1.0274529720527734</v>
      </c>
    </row>
    <row r="176">
      <c r="A176" s="19" t="inlineStr">
        <is>
          <t>EVR</t>
        </is>
      </c>
      <c r="B176" s="14" t="inlineStr">
        <is>
          <t>—</t>
        </is>
      </c>
      <c r="C176" s="14" t="inlineStr">
        <is>
          <t>—</t>
        </is>
      </c>
      <c r="D176" s="6" t="inlineStr">
        <is>
          <t>投行與資本巿場</t>
        </is>
      </c>
      <c r="E176" s="61" t="n">
        <v>107</v>
      </c>
      <c r="F176" s="20" t="n">
        <v>261.83</v>
      </c>
      <c r="G176" s="20" t="n">
        <v>270.82</v>
      </c>
      <c r="H176" s="20" t="n">
        <v>287.92</v>
      </c>
      <c r="I176" s="11">
        <f>F176/G176-1</f>
        <v>-0.033195480392880894</v>
      </c>
      <c r="J176" s="11">
        <f>F176/H176-1</f>
        <v>-0.09061544873576</v>
      </c>
      <c r="K176" s="13" t="n">
        <v>667226</v>
      </c>
      <c r="L176" s="13" t="n">
        <v>436150</v>
      </c>
      <c r="M176" s="21">
        <f>K176/L176</f>
        <v>1.529808552103634</v>
      </c>
    </row>
    <row r="177">
      <c r="A177" s="19" t="inlineStr">
        <is>
          <t>EXR</t>
        </is>
      </c>
      <c r="B177" s="14" t="inlineStr">
        <is>
          <t>—</t>
        </is>
      </c>
      <c r="C177" s="14" t="inlineStr">
        <is>
          <t>—</t>
        </is>
      </c>
      <c r="D177" s="6" t="inlineStr">
        <is>
          <t>特殊型REIT（自存倉/賭場/廣告牌）</t>
        </is>
      </c>
      <c r="E177" s="61" t="n">
        <v>55</v>
      </c>
      <c r="F177" s="20" t="n">
        <v>136.43</v>
      </c>
      <c r="G177" s="20" t="n">
        <v>137.3</v>
      </c>
      <c r="H177" s="20" t="n">
        <v>135.63</v>
      </c>
      <c r="I177" s="11">
        <f>F177/G177-1</f>
        <v>-0.006336489439184301</v>
      </c>
      <c r="J177" s="11">
        <f>F177/H177-1</f>
        <v>0.005898400058984121</v>
      </c>
      <c r="K177" s="13" t="n">
        <v>1111169</v>
      </c>
      <c r="L177" s="13" t="n">
        <v>985250</v>
      </c>
      <c r="M177" s="21">
        <f>K177/L177</f>
        <v>1.1278041106318193</v>
      </c>
    </row>
    <row r="178">
      <c r="A178" s="19" t="inlineStr">
        <is>
          <t>F</t>
        </is>
      </c>
      <c r="B178" s="14" t="inlineStr">
        <is>
          <t>—</t>
        </is>
      </c>
      <c r="C178" s="14" t="inlineStr">
        <is>
          <t>—</t>
        </is>
      </c>
      <c r="D178" s="6" t="inlineStr">
        <is>
          <t>傳統汽車與零部件</t>
        </is>
      </c>
      <c r="E178" s="61" t="n">
        <v>65</v>
      </c>
      <c r="F178" s="20" t="n">
        <v>13.35</v>
      </c>
      <c r="G178" s="20" t="n">
        <v>13.5</v>
      </c>
      <c r="H178" s="20" t="n">
        <v>13.45</v>
      </c>
      <c r="I178" s="11">
        <f>F178/G178-1</f>
        <v>-0.011111111111111183</v>
      </c>
      <c r="J178" s="11">
        <f>F178/H178-1</f>
        <v>-0.0074349442379182396</v>
      </c>
      <c r="K178" s="13" t="n">
        <v>53269268</v>
      </c>
      <c r="L178" s="13" t="n">
        <v>41120250</v>
      </c>
      <c r="M178" s="21">
        <f>K178/L178</f>
        <v>1.295450976100583</v>
      </c>
    </row>
    <row r="179">
      <c r="A179" s="39" t="inlineStr">
        <is>
          <t>FANG</t>
        </is>
      </c>
      <c r="B179" s="93" t="inlineStr">
        <is>
          <t>—</t>
        </is>
      </c>
      <c r="C179" s="94" t="inlineStr">
        <is>
          <t>頁岩E&amp;P／油服</t>
        </is>
      </c>
      <c r="D179" s="40" t="inlineStr">
        <is>
          <t>頁岩E&amp;P勘探生產</t>
        </is>
      </c>
      <c r="E179" s="67" t="n">
        <v>45</v>
      </c>
      <c r="F179" s="41" t="n">
        <v>194.54</v>
      </c>
      <c r="G179" s="41" t="n">
        <v>211.53</v>
      </c>
      <c r="H179" s="41" t="n">
        <v>202.63</v>
      </c>
      <c r="I179" s="42">
        <f>F179/G179-1</f>
        <v>-0.08031957641942045</v>
      </c>
      <c r="J179" s="42">
        <f>F179/H179-1</f>
        <v>-0.03992498642846565</v>
      </c>
      <c r="K179" s="43" t="n">
        <v>15400011</v>
      </c>
      <c r="L179" s="43" t="n">
        <v>1852750</v>
      </c>
      <c r="M179" s="44">
        <f>K179/L179</f>
        <v>8.311974632303333</v>
      </c>
    </row>
    <row r="180">
      <c r="A180" s="19" t="inlineStr">
        <is>
          <t>FATE</t>
        </is>
      </c>
      <c r="B180" s="14" t="inlineStr">
        <is>
          <t>—</t>
        </is>
      </c>
      <c r="C180" s="14" t="inlineStr">
        <is>
          <t>—</t>
        </is>
      </c>
      <c r="D180" s="6" t="inlineStr">
        <is>
          <t>腫瘤與細胞治療</t>
        </is>
      </c>
      <c r="E180" s="61" t="n">
        <v>50</v>
      </c>
      <c r="F180" s="20" t="n">
        <v>2.44</v>
      </c>
      <c r="G180" s="20" t="n">
        <v>2.35</v>
      </c>
      <c r="H180" s="20" t="n">
        <v>2.44</v>
      </c>
      <c r="I180" s="11">
        <f>F180/G180-1</f>
        <v>0.038297872340425476</v>
      </c>
      <c r="J180" s="11">
        <f>F180/H180-1</f>
        <v>0.0</v>
      </c>
      <c r="K180" s="13" t="n">
        <v>1274058</v>
      </c>
      <c r="L180" s="13" t="n">
        <v>991350</v>
      </c>
      <c r="M180" s="21">
        <f>K180/L180</f>
        <v>1.2851747616886064</v>
      </c>
    </row>
    <row r="181">
      <c r="A181" s="19" t="inlineStr">
        <is>
          <t>FCX</t>
        </is>
      </c>
      <c r="B181" s="14" t="inlineStr">
        <is>
          <t>—</t>
        </is>
      </c>
      <c r="C181" s="14" t="inlineStr">
        <is>
          <t>—</t>
        </is>
      </c>
      <c r="D181" s="6" t="inlineStr">
        <is>
          <t>銅與基本金屬</t>
        </is>
      </c>
      <c r="E181" s="61" t="n">
        <v>67</v>
      </c>
      <c r="F181" s="20" t="n">
        <v>69.23999999999999</v>
      </c>
      <c r="G181" s="20" t="n">
        <v>69.38</v>
      </c>
      <c r="H181" s="20" t="n">
        <v>76.23</v>
      </c>
      <c r="I181" s="11">
        <f>F181/G181-1</f>
        <v>-0.0020178725857595836</v>
      </c>
      <c r="J181" s="11">
        <f>F181/H181-1</f>
        <v>-0.09169618260527368</v>
      </c>
      <c r="K181" s="13" t="n">
        <v>10931822</v>
      </c>
      <c r="L181" s="13" t="n">
        <v>14564300</v>
      </c>
      <c r="M181" s="21">
        <f>K181/L181</f>
        <v>0.7505902789698098</v>
      </c>
    </row>
    <row r="182">
      <c r="A182" s="39" t="inlineStr">
        <is>
          <t>FDX</t>
        </is>
      </c>
      <c r="B182" s="93" t="inlineStr">
        <is>
          <t>—</t>
        </is>
      </c>
      <c r="C182" s="94" t="inlineStr">
        <is>
          <t>貨運與物流</t>
        </is>
      </c>
      <c r="D182" s="40" t="inlineStr">
        <is>
          <t>貨運與物流</t>
        </is>
      </c>
      <c r="E182" s="67" t="n">
        <v>81</v>
      </c>
      <c r="F182" s="41" t="n">
        <v>301.72</v>
      </c>
      <c r="G182" s="41" t="n">
        <v>308.26</v>
      </c>
      <c r="H182" s="41" t="n">
        <v>309.19</v>
      </c>
      <c r="I182" s="42">
        <f>F182/G182-1</f>
        <v>-0.021215856744306594</v>
      </c>
      <c r="J182" s="42">
        <f>F182/H182-1</f>
        <v>-0.0241599016785794</v>
      </c>
      <c r="K182" s="43" t="n">
        <v>1578698</v>
      </c>
      <c r="L182" s="43" t="n">
        <v>1287650</v>
      </c>
      <c r="M182" s="44">
        <f>K182/L182</f>
        <v>1.226030365394323</v>
      </c>
    </row>
    <row r="183">
      <c r="A183" s="19" t="inlineStr">
        <is>
          <t>FLEX</t>
        </is>
      </c>
      <c r="B183" s="14" t="inlineStr">
        <is>
          <t>—</t>
        </is>
      </c>
      <c r="C183" s="14" t="inlineStr">
        <is>
          <t>—</t>
        </is>
      </c>
      <c r="D183" s="6" t="inlineStr">
        <is>
          <t>電子硬件與EMS/連接器</t>
        </is>
      </c>
      <c r="E183" s="61" t="n">
        <v>5</v>
      </c>
      <c r="F183" s="20" t="n">
        <v>107.9</v>
      </c>
      <c r="G183" s="20" t="n">
        <v>108</v>
      </c>
      <c r="H183" s="20" t="n">
        <v>112.68</v>
      </c>
      <c r="I183" s="11">
        <f>F183/G183-1</f>
        <v>-0.0009259259259258856</v>
      </c>
      <c r="J183" s="11">
        <f>F183/H183-1</f>
        <v>-0.04242101526446573</v>
      </c>
      <c r="K183" s="13" t="n">
        <v>2833285</v>
      </c>
      <c r="L183" s="13" t="n">
        <v>2825300</v>
      </c>
      <c r="M183" s="21">
        <f>K183/L183</f>
        <v>1.0028262485399781</v>
      </c>
    </row>
    <row r="184">
      <c r="A184" s="19" t="inlineStr">
        <is>
          <t>FLR</t>
        </is>
      </c>
      <c r="B184" s="14" t="inlineStr">
        <is>
          <t>—</t>
        </is>
      </c>
      <c r="C184" s="14" t="inlineStr">
        <is>
          <t>—</t>
        </is>
      </c>
      <c r="D184" s="6" t="inlineStr">
        <is>
          <t>工程建設/EPC</t>
        </is>
      </c>
      <c r="E184" s="61" t="n">
        <v>51</v>
      </c>
      <c r="F184" s="20" t="n">
        <v>52.99</v>
      </c>
      <c r="G184" s="20" t="n">
        <v>54.04</v>
      </c>
      <c r="H184" s="20" t="n">
        <v>54.83</v>
      </c>
      <c r="I184" s="11">
        <f>F184/G184-1</f>
        <v>-0.01943005181347146</v>
      </c>
      <c r="J184" s="11">
        <f>F184/H184-1</f>
        <v>-0.03355827101951481</v>
      </c>
      <c r="K184" s="13" t="n">
        <v>2192961</v>
      </c>
      <c r="L184" s="13" t="n">
        <v>2022800</v>
      </c>
      <c r="M184" s="21">
        <f>K184/L184</f>
        <v>1.0841215147320546</v>
      </c>
    </row>
    <row r="185">
      <c r="A185" s="19" t="inlineStr">
        <is>
          <t>FLUT</t>
        </is>
      </c>
      <c r="B185" s="14" t="inlineStr">
        <is>
          <t>—</t>
        </is>
      </c>
      <c r="C185" s="14" t="inlineStr">
        <is>
          <t>—</t>
        </is>
      </c>
      <c r="D185" s="6" t="inlineStr">
        <is>
          <t>博彩與線上博彩</t>
        </is>
      </c>
      <c r="E185" s="61" t="n">
        <v>71</v>
      </c>
      <c r="F185" s="20" t="n">
        <v>97.56</v>
      </c>
      <c r="G185" s="20" t="n">
        <v>99.91</v>
      </c>
      <c r="H185" s="20" t="n">
        <v>99.33</v>
      </c>
      <c r="I185" s="11">
        <f>F185/G185-1</f>
        <v>-0.02352116905214685</v>
      </c>
      <c r="J185" s="11">
        <f>F185/H185-1</f>
        <v>-0.017819389912413164</v>
      </c>
      <c r="K185" s="13" t="n">
        <v>3350813</v>
      </c>
      <c r="L185" s="13" t="n">
        <v>1887550</v>
      </c>
      <c r="M185" s="21">
        <f>K185/L185</f>
        <v>1.7752181399168234</v>
      </c>
    </row>
    <row r="186">
      <c r="A186" s="19" t="inlineStr">
        <is>
          <t>FR</t>
        </is>
      </c>
      <c r="B186" s="14" t="inlineStr">
        <is>
          <t>—</t>
        </is>
      </c>
      <c r="C186" s="14" t="inlineStr">
        <is>
          <t>—</t>
        </is>
      </c>
      <c r="D186" s="6" t="inlineStr">
        <is>
          <t>工業與物流REIT</t>
        </is>
      </c>
      <c r="E186" s="61" t="n">
        <v>19</v>
      </c>
      <c r="F186" s="20" t="n">
        <v>61.41</v>
      </c>
      <c r="G186" s="20" t="n">
        <v>61.37</v>
      </c>
      <c r="H186" s="20" t="n">
        <v>60.97</v>
      </c>
      <c r="I186" s="11">
        <f>F186/G186-1</f>
        <v>0.0006517842594100376</v>
      </c>
      <c r="J186" s="11">
        <f>F186/H186-1</f>
        <v>0.007216663933081735</v>
      </c>
      <c r="K186" s="13" t="n">
        <v>1199538</v>
      </c>
      <c r="L186" s="13" t="n">
        <v>736050</v>
      </c>
      <c r="M186" s="21">
        <f>K186/L186</f>
        <v>1.6296963521499899</v>
      </c>
    </row>
    <row r="187">
      <c r="A187" s="19" t="inlineStr">
        <is>
          <t>FRT</t>
        </is>
      </c>
      <c r="B187" s="14" t="inlineStr">
        <is>
          <t>—</t>
        </is>
      </c>
      <c r="C187" s="14" t="inlineStr">
        <is>
          <t>—</t>
        </is>
      </c>
      <c r="D187" s="6" t="inlineStr">
        <is>
          <t>零售與購物中心REIT</t>
        </is>
      </c>
      <c r="E187" s="61" t="n">
        <v>98</v>
      </c>
      <c r="F187" s="20" t="n">
        <v>112.42</v>
      </c>
      <c r="G187" s="20" t="n">
        <v>113.93</v>
      </c>
      <c r="H187" s="20" t="n">
        <v>115.16</v>
      </c>
      <c r="I187" s="11">
        <f>F187/G187-1</f>
        <v>-0.013253752304046351</v>
      </c>
      <c r="J187" s="11">
        <f>F187/H187-1</f>
        <v>-0.023792983674887025</v>
      </c>
      <c r="K187" s="13" t="n">
        <v>690792</v>
      </c>
      <c r="L187" s="13" t="n">
        <v>576750</v>
      </c>
      <c r="M187" s="21">
        <f>K187/L187</f>
        <v>1.1977321196358908</v>
      </c>
    </row>
    <row r="188">
      <c r="A188" s="19" t="inlineStr">
        <is>
          <t>FSLR</t>
        </is>
      </c>
      <c r="B188" s="14" t="inlineStr">
        <is>
          <t>—</t>
        </is>
      </c>
      <c r="C188" s="14" t="inlineStr">
        <is>
          <t>—</t>
        </is>
      </c>
      <c r="D188" s="6" t="inlineStr">
        <is>
          <t>再生能源與太陽能</t>
        </is>
      </c>
      <c r="E188" s="61" t="n">
        <v>97</v>
      </c>
      <c r="F188" s="20" t="n">
        <v>191.07</v>
      </c>
      <c r="G188" s="20" t="n">
        <v>202.34</v>
      </c>
      <c r="H188" s="20" t="n">
        <v>203.1</v>
      </c>
      <c r="I188" s="11">
        <f>F188/G188-1</f>
        <v>-0.055698329544331404</v>
      </c>
      <c r="J188" s="11">
        <f>F188/H188-1</f>
        <v>-0.059231905465288004</v>
      </c>
      <c r="K188" s="13" t="n">
        <v>3086387</v>
      </c>
      <c r="L188" s="13" t="n">
        <v>1638700</v>
      </c>
      <c r="M188" s="21">
        <f>K188/L188</f>
        <v>1.883436260450357</v>
      </c>
    </row>
    <row r="189">
      <c r="A189" s="19" t="inlineStr">
        <is>
          <t>FTNT</t>
        </is>
      </c>
      <c r="B189" s="14" t="inlineStr">
        <is>
          <t>—</t>
        </is>
      </c>
      <c r="C189" s="14" t="inlineStr">
        <is>
          <t>—</t>
        </is>
      </c>
      <c r="D189" s="6" t="inlineStr">
        <is>
          <t>網絡安全</t>
        </is>
      </c>
      <c r="E189" s="61" t="n">
        <v>2</v>
      </c>
      <c r="F189" s="20" t="n">
        <v>171.77</v>
      </c>
      <c r="G189" s="20" t="n">
        <v>172.37</v>
      </c>
      <c r="H189" s="20" t="n">
        <v>157.22</v>
      </c>
      <c r="I189" s="11">
        <f>F189/G189-1</f>
        <v>-0.0034808841445727046</v>
      </c>
      <c r="J189" s="11">
        <f>F189/H189-1</f>
        <v>0.0925454776745962</v>
      </c>
      <c r="K189" s="13" t="n">
        <v>3899815</v>
      </c>
      <c r="L189" s="13" t="n">
        <v>3933250</v>
      </c>
      <c r="M189" s="21">
        <f>K189/L189</f>
        <v>0.9914993961736478</v>
      </c>
    </row>
    <row r="190">
      <c r="A190" s="19" t="inlineStr">
        <is>
          <t>FWONK</t>
        </is>
      </c>
      <c r="B190" s="14" t="inlineStr">
        <is>
          <t>—</t>
        </is>
      </c>
      <c r="C190" s="14" t="inlineStr">
        <is>
          <t>—</t>
        </is>
      </c>
      <c r="D190" s="6" t="inlineStr">
        <is>
          <t>傳媒與娛樂內容</t>
        </is>
      </c>
      <c r="E190" s="61" t="n">
        <v>29</v>
      </c>
      <c r="F190" s="20" t="n">
        <v>95.36</v>
      </c>
      <c r="G190" s="20" t="n">
        <v>95</v>
      </c>
      <c r="H190" s="20" t="n">
        <v>96.8</v>
      </c>
      <c r="I190" s="11">
        <f>F190/G190-1</f>
        <v>0.0037894736842105647</v>
      </c>
      <c r="J190" s="11">
        <f>F190/H190-1</f>
        <v>-0.014876033057851235</v>
      </c>
      <c r="K190" s="13" t="n">
        <v>2096599</v>
      </c>
      <c r="L190" s="13" t="n">
        <v>1753850</v>
      </c>
      <c r="M190" s="21">
        <f>K190/L190</f>
        <v>1.1954266328363314</v>
      </c>
    </row>
    <row r="191">
      <c r="A191" s="19" t="inlineStr">
        <is>
          <t>GD</t>
        </is>
      </c>
      <c r="B191" s="14" t="inlineStr">
        <is>
          <t>—</t>
        </is>
      </c>
      <c r="C191" s="14" t="inlineStr">
        <is>
          <t>—</t>
        </is>
      </c>
      <c r="D191" s="6" t="inlineStr">
        <is>
          <t>航太與國防</t>
        </is>
      </c>
      <c r="E191" s="61" t="n">
        <v>26</v>
      </c>
      <c r="F191" s="20" t="n">
        <v>360</v>
      </c>
      <c r="G191" s="20" t="n">
        <v>358.6</v>
      </c>
      <c r="H191" s="20" t="n">
        <v>352.67</v>
      </c>
      <c r="I191" s="11">
        <f>F191/G191-1</f>
        <v>0.003904071388733943</v>
      </c>
      <c r="J191" s="11">
        <f>F191/H191-1</f>
        <v>0.020784302605835414</v>
      </c>
      <c r="K191" s="13" t="n">
        <v>1003365</v>
      </c>
      <c r="L191" s="13" t="n">
        <v>921500</v>
      </c>
      <c r="M191" s="21">
        <f>K191/L191</f>
        <v>1.0888388497015735</v>
      </c>
    </row>
    <row r="192">
      <c r="A192" s="58" t="inlineStr">
        <is>
          <t>GEV</t>
        </is>
      </c>
      <c r="B192" s="88" t="inlineStr">
        <is>
          <t>③</t>
        </is>
      </c>
      <c r="C192" s="89" t="inlineStr">
        <is>
          <t>—</t>
        </is>
      </c>
      <c r="D192" s="60" t="inlineStr">
        <is>
          <t>電氣設備與電網</t>
        </is>
      </c>
      <c r="E192" s="49" t="n">
        <v>14</v>
      </c>
      <c r="F192" s="90" t="n">
        <v>925.09</v>
      </c>
      <c r="G192" s="90" t="n">
        <v>882.8099999999999</v>
      </c>
      <c r="H192" s="90" t="n">
        <v>951.04</v>
      </c>
      <c r="I192" s="53">
        <f>F192/G192-1</f>
        <v>0.04789252500538055</v>
      </c>
      <c r="J192" s="53">
        <f>F192/H192-1</f>
        <v>-0.027285918573351164</v>
      </c>
      <c r="K192" s="91" t="n">
        <v>3556586</v>
      </c>
      <c r="L192" s="91" t="n">
        <v>1958000</v>
      </c>
      <c r="M192" s="92">
        <f>K192/L192</f>
        <v>1.816438202247191</v>
      </c>
    </row>
    <row r="193">
      <c r="A193" s="19" t="inlineStr">
        <is>
          <t>GFS</t>
        </is>
      </c>
      <c r="B193" s="14" t="inlineStr">
        <is>
          <t>—</t>
        </is>
      </c>
      <c r="C193" s="14" t="inlineStr">
        <is>
          <t>—</t>
        </is>
      </c>
      <c r="D193" s="6" t="inlineStr">
        <is>
          <t>晶圓代工/IDM</t>
        </is>
      </c>
      <c r="E193" s="61" t="n">
        <v>38</v>
      </c>
      <c r="F193" s="20" t="n">
        <v>43.03</v>
      </c>
      <c r="G193" s="20" t="n">
        <v>42.75</v>
      </c>
      <c r="H193" s="20" t="n">
        <v>45.95</v>
      </c>
      <c r="I193" s="11">
        <f>F193/G193-1</f>
        <v>0.006549707602339305</v>
      </c>
      <c r="J193" s="11">
        <f>F193/H193-1</f>
        <v>-0.06354733405875956</v>
      </c>
      <c r="K193" s="13" t="n">
        <v>2751053</v>
      </c>
      <c r="L193" s="13" t="n">
        <v>3555450</v>
      </c>
      <c r="M193" s="21">
        <f>K193/L193</f>
        <v>0.7737566271498685</v>
      </c>
    </row>
    <row r="194">
      <c r="A194" s="19" t="inlineStr">
        <is>
          <t>GILD</t>
        </is>
      </c>
      <c r="B194" s="14" t="inlineStr">
        <is>
          <t>—</t>
        </is>
      </c>
      <c r="C194" s="14" t="inlineStr">
        <is>
          <t>—</t>
        </is>
      </c>
      <c r="D194" s="6" t="inlineStr">
        <is>
          <t>大型生物科技</t>
        </is>
      </c>
      <c r="E194" s="61" t="n">
        <v>56</v>
      </c>
      <c r="F194" s="20" t="n">
        <v>147.68</v>
      </c>
      <c r="G194" s="20" t="n">
        <v>146.3</v>
      </c>
      <c r="H194" s="20" t="n">
        <v>145.65</v>
      </c>
      <c r="I194" s="11">
        <f>F194/G194-1</f>
        <v>0.009432672590567348</v>
      </c>
      <c r="J194" s="11">
        <f>F194/H194-1</f>
        <v>0.013937521455544166</v>
      </c>
      <c r="K194" s="13" t="n">
        <v>5158218</v>
      </c>
      <c r="L194" s="13" t="n">
        <v>5136550</v>
      </c>
      <c r="M194" s="21">
        <f>K194/L194</f>
        <v>1.0042183956157342</v>
      </c>
    </row>
    <row r="195">
      <c r="A195" s="19" t="inlineStr">
        <is>
          <t>GIS</t>
        </is>
      </c>
      <c r="B195" s="14" t="inlineStr">
        <is>
          <t>—</t>
        </is>
      </c>
      <c r="C195" s="14" t="inlineStr">
        <is>
          <t>—</t>
        </is>
      </c>
      <c r="D195" s="6" t="inlineStr">
        <is>
          <t>食品加工</t>
        </is>
      </c>
      <c r="E195" s="61" t="n">
        <v>30</v>
      </c>
      <c r="F195" s="20" t="n">
        <v>36.81</v>
      </c>
      <c r="G195" s="20" t="n">
        <v>36.58</v>
      </c>
      <c r="H195" s="20" t="n">
        <v>37.09</v>
      </c>
      <c r="I195" s="11">
        <f>F195/G195-1</f>
        <v>0.006287588846364267</v>
      </c>
      <c r="J195" s="11">
        <f>F195/H195-1</f>
        <v>-0.007549204637368634</v>
      </c>
      <c r="K195" s="13" t="n">
        <v>6314825</v>
      </c>
      <c r="L195" s="13" t="n">
        <v>8411400</v>
      </c>
      <c r="M195" s="21">
        <f>K195/L195</f>
        <v>0.7507460113655278</v>
      </c>
    </row>
    <row r="196">
      <c r="A196" s="19" t="inlineStr">
        <is>
          <t>GLNG</t>
        </is>
      </c>
      <c r="B196" s="14" t="inlineStr">
        <is>
          <t>—</t>
        </is>
      </c>
      <c r="C196" s="14" t="inlineStr">
        <is>
          <t>—</t>
        </is>
      </c>
      <c r="D196" s="6" t="inlineStr">
        <is>
          <t>LNG液化天然氣</t>
        </is>
      </c>
      <c r="E196" s="61" t="n">
        <v>72</v>
      </c>
      <c r="F196" s="20" t="n">
        <v>50.36</v>
      </c>
      <c r="G196" s="20" t="n">
        <v>50.39</v>
      </c>
      <c r="H196" s="20" t="n">
        <v>51.94</v>
      </c>
      <c r="I196" s="11">
        <f>F196/G196-1</f>
        <v>-0.0005953562214725538</v>
      </c>
      <c r="J196" s="11">
        <f>F196/H196-1</f>
        <v>-0.03041971505583363</v>
      </c>
      <c r="K196" s="13" t="n">
        <v>1543724</v>
      </c>
      <c r="L196" s="13" t="n">
        <v>1149500</v>
      </c>
      <c r="M196" s="21">
        <f>K196/L196</f>
        <v>1.3429525880817748</v>
      </c>
    </row>
    <row r="197">
      <c r="A197" s="19" t="inlineStr">
        <is>
          <t>GLPI</t>
        </is>
      </c>
      <c r="B197" s="14" t="inlineStr">
        <is>
          <t>—</t>
        </is>
      </c>
      <c r="C197" s="14" t="inlineStr">
        <is>
          <t>—</t>
        </is>
      </c>
      <c r="D197" s="6" t="inlineStr">
        <is>
          <t>特殊型REIT（自存倉/賭場/廣告牌）</t>
        </is>
      </c>
      <c r="E197" s="61" t="n">
        <v>55</v>
      </c>
      <c r="F197" s="20" t="n">
        <v>40.35</v>
      </c>
      <c r="G197" s="20" t="n">
        <v>40.62</v>
      </c>
      <c r="H197" s="20" t="n">
        <v>41.5</v>
      </c>
      <c r="I197" s="11">
        <f>F197/G197-1</f>
        <v>-0.006646971935007295</v>
      </c>
      <c r="J197" s="11">
        <f>F197/H197-1</f>
        <v>-0.027710843373493943</v>
      </c>
      <c r="K197" s="13" t="n">
        <v>3696422</v>
      </c>
      <c r="L197" s="13" t="n">
        <v>3452700</v>
      </c>
      <c r="M197" s="21">
        <f>K197/L197</f>
        <v>1.0705888145509312</v>
      </c>
    </row>
    <row r="198">
      <c r="A198" s="19" t="inlineStr">
        <is>
          <t>GM</t>
        </is>
      </c>
      <c r="B198" s="14" t="inlineStr">
        <is>
          <t>—</t>
        </is>
      </c>
      <c r="C198" s="14" t="inlineStr">
        <is>
          <t>—</t>
        </is>
      </c>
      <c r="D198" s="6" t="inlineStr">
        <is>
          <t>傳統汽車與零部件</t>
        </is>
      </c>
      <c r="E198" s="61" t="n">
        <v>65</v>
      </c>
      <c r="F198" s="20" t="n">
        <v>84.29000000000001</v>
      </c>
      <c r="G198" s="20" t="n">
        <v>85.37</v>
      </c>
      <c r="H198" s="20" t="n">
        <v>83.76000000000001</v>
      </c>
      <c r="I198" s="11">
        <f>F198/G198-1</f>
        <v>-0.012650814103314922</v>
      </c>
      <c r="J198" s="11">
        <f>F198/H198-1</f>
        <v>0.006327602674307542</v>
      </c>
      <c r="K198" s="13" t="n">
        <v>6427893</v>
      </c>
      <c r="L198" s="13" t="n">
        <v>5498950</v>
      </c>
      <c r="M198" s="21">
        <f>K198/L198</f>
        <v>1.1689309777321124</v>
      </c>
    </row>
    <row r="199">
      <c r="A199" s="19" t="inlineStr">
        <is>
          <t>GOLD</t>
        </is>
      </c>
      <c r="B199" s="14" t="inlineStr">
        <is>
          <t>—</t>
        </is>
      </c>
      <c r="C199" s="14" t="inlineStr">
        <is>
          <t>—</t>
        </is>
      </c>
      <c r="D199" s="6" t="inlineStr">
        <is>
          <t>黃金與貴金屬礦</t>
        </is>
      </c>
      <c r="E199" s="61" t="n">
        <v>66</v>
      </c>
      <c r="F199" s="20" t="n">
        <v>46.82</v>
      </c>
      <c r="G199" s="20" t="n">
        <v>47.8</v>
      </c>
      <c r="H199" s="20" t="n">
        <v>49.33</v>
      </c>
      <c r="I199" s="11">
        <f>F199/G199-1</f>
        <v>-0.020502092050209142</v>
      </c>
      <c r="J199" s="11">
        <f>F199/H199-1</f>
        <v>-0.05088181633894173</v>
      </c>
      <c r="K199" s="13" t="n">
        <v>581455</v>
      </c>
      <c r="L199" s="13" t="n">
        <v>578150</v>
      </c>
      <c r="M199" s="21">
        <f>K199/L199</f>
        <v>1.0057165095563436</v>
      </c>
    </row>
    <row r="200">
      <c r="A200" s="19" t="inlineStr">
        <is>
          <t>GOOGL</t>
        </is>
      </c>
      <c r="B200" s="14" t="inlineStr">
        <is>
          <t>—</t>
        </is>
      </c>
      <c r="C200" s="14" t="inlineStr">
        <is>
          <t>—</t>
        </is>
      </c>
      <c r="D200" s="6" t="inlineStr">
        <is>
          <t>大型網絡平台與數位廣告、雲端基建/IaaS/Neocloud</t>
        </is>
      </c>
      <c r="E200" s="61" t="n">
        <v>9</v>
      </c>
      <c r="F200" s="20" t="n">
        <v>342.87</v>
      </c>
      <c r="G200" s="20" t="n">
        <v>344.98</v>
      </c>
      <c r="H200" s="20" t="n">
        <v>330.65</v>
      </c>
      <c r="I200" s="11">
        <f>F200/G200-1</f>
        <v>-0.006116296596904158</v>
      </c>
      <c r="J200" s="11">
        <f>F200/H200-1</f>
        <v>0.036957507938908396</v>
      </c>
      <c r="K200" s="13" t="n">
        <v>18831600</v>
      </c>
      <c r="L200" s="13" t="n">
        <v>23052550</v>
      </c>
      <c r="M200" s="21">
        <f>K200/L200</f>
        <v>0.8168987812628105</v>
      </c>
    </row>
    <row r="201">
      <c r="A201" s="19" t="inlineStr">
        <is>
          <t>GPN</t>
        </is>
      </c>
      <c r="B201" s="14" t="inlineStr">
        <is>
          <t>—</t>
        </is>
      </c>
      <c r="C201" s="14" t="inlineStr">
        <is>
          <t>—</t>
        </is>
      </c>
      <c r="D201" s="6" t="inlineStr">
        <is>
          <t>支付與收單</t>
        </is>
      </c>
      <c r="E201" s="61" t="n">
        <v>24</v>
      </c>
      <c r="F201" s="20" t="n">
        <v>86.48999999999999</v>
      </c>
      <c r="G201" s="20" t="n">
        <v>88.98</v>
      </c>
      <c r="H201" s="20" t="n">
        <v>87.02</v>
      </c>
      <c r="I201" s="11">
        <f>F201/G201-1</f>
        <v>-0.027983816587997423</v>
      </c>
      <c r="J201" s="11">
        <f>F201/H201-1</f>
        <v>-0.006090553895656159</v>
      </c>
      <c r="K201" s="13" t="n">
        <v>1955410</v>
      </c>
      <c r="L201" s="13" t="n">
        <v>2404350</v>
      </c>
      <c r="M201" s="21">
        <f>K201/L201</f>
        <v>0.8132800964917754</v>
      </c>
    </row>
    <row r="202">
      <c r="A202" s="39" t="inlineStr">
        <is>
          <t>GS</t>
        </is>
      </c>
      <c r="B202" s="93" t="inlineStr">
        <is>
          <t>—</t>
        </is>
      </c>
      <c r="C202" s="94" t="inlineStr">
        <is>
          <t>投行與資本巿場</t>
        </is>
      </c>
      <c r="D202" s="40" t="inlineStr">
        <is>
          <t>投行與資本巿場</t>
        </is>
      </c>
      <c r="E202" s="67" t="n">
        <v>107</v>
      </c>
      <c r="F202" s="41" t="n">
        <v>937.98</v>
      </c>
      <c r="G202" s="41" t="n">
        <v>976.67</v>
      </c>
      <c r="H202" s="41" t="n">
        <v>1028.78</v>
      </c>
      <c r="I202" s="42">
        <f>F202/G202-1</f>
        <v>-0.03961419926894438</v>
      </c>
      <c r="J202" s="42">
        <f>F202/H202-1</f>
        <v>-0.08825988063531554</v>
      </c>
      <c r="K202" s="43" t="n">
        <v>3546168</v>
      </c>
      <c r="L202" s="43" t="n">
        <v>1800900</v>
      </c>
      <c r="M202" s="44">
        <f>K202/L202</f>
        <v>1.9691087789438615</v>
      </c>
    </row>
    <row r="203">
      <c r="A203" s="39" t="inlineStr">
        <is>
          <t>HAL</t>
        </is>
      </c>
      <c r="B203" s="93" t="inlineStr">
        <is>
          <t>—</t>
        </is>
      </c>
      <c r="C203" s="94" t="inlineStr">
        <is>
          <t>頁岩E&amp;P／油服</t>
        </is>
      </c>
      <c r="D203" s="40" t="inlineStr">
        <is>
          <t>油田服務</t>
        </is>
      </c>
      <c r="E203" s="67" t="n">
        <v>101</v>
      </c>
      <c r="F203" s="41" t="n">
        <v>34.51</v>
      </c>
      <c r="G203" s="41" t="n">
        <v>35.67</v>
      </c>
      <c r="H203" s="41" t="n">
        <v>37.13</v>
      </c>
      <c r="I203" s="42">
        <f>F203/G203-1</f>
        <v>-0.0325203252032521</v>
      </c>
      <c r="J203" s="42">
        <f>F203/H203-1</f>
        <v>-0.07056288715324543</v>
      </c>
      <c r="K203" s="43" t="n">
        <v>13783174</v>
      </c>
      <c r="L203" s="43" t="n">
        <v>9902350</v>
      </c>
      <c r="M203" s="44">
        <f>K203/L203</f>
        <v>1.3919093952445631</v>
      </c>
    </row>
    <row r="204">
      <c r="A204" s="19" t="inlineStr">
        <is>
          <t>HBM</t>
        </is>
      </c>
      <c r="B204" s="14" t="inlineStr">
        <is>
          <t>—</t>
        </is>
      </c>
      <c r="C204" s="14" t="inlineStr">
        <is>
          <t>—</t>
        </is>
      </c>
      <c r="D204" s="6" t="inlineStr">
        <is>
          <t>銅與基本金屬</t>
        </is>
      </c>
      <c r="E204" s="61" t="n">
        <v>67</v>
      </c>
      <c r="F204" s="20" t="n">
        <v>25.26</v>
      </c>
      <c r="G204" s="20" t="n">
        <v>25.24</v>
      </c>
      <c r="H204" s="20" t="n">
        <v>28.82</v>
      </c>
      <c r="I204" s="11">
        <f>F204/G204-1</f>
        <v>0.0007923930269415624</v>
      </c>
      <c r="J204" s="11">
        <f>F204/H204-1</f>
        <v>-0.12352532963219987</v>
      </c>
      <c r="K204" s="13" t="n">
        <v>3527792</v>
      </c>
      <c r="L204" s="13" t="n">
        <v>3635100</v>
      </c>
      <c r="M204" s="21">
        <f>K204/L204</f>
        <v>0.9704800418145305</v>
      </c>
    </row>
    <row r="205">
      <c r="A205" s="58" t="inlineStr">
        <is>
          <t>HCA</t>
        </is>
      </c>
      <c r="B205" s="88" t="inlineStr">
        <is>
          <t>②</t>
        </is>
      </c>
      <c r="C205" s="89" t="inlineStr">
        <is>
          <t>—</t>
        </is>
      </c>
      <c r="D205" s="60" t="inlineStr">
        <is>
          <t>醫院與醫療服務</t>
        </is>
      </c>
      <c r="E205" s="49" t="n">
        <v>3</v>
      </c>
      <c r="F205" s="90" t="n">
        <v>430.43</v>
      </c>
      <c r="G205" s="90" t="n">
        <v>423.82</v>
      </c>
      <c r="H205" s="90" t="n">
        <v>421.83</v>
      </c>
      <c r="I205" s="53">
        <f>F205/G205-1</f>
        <v>0.015596243688358324</v>
      </c>
      <c r="J205" s="53">
        <f>F205/H205-1</f>
        <v>0.020387359836901098</v>
      </c>
      <c r="K205" s="91" t="n">
        <v>1369642</v>
      </c>
      <c r="L205" s="91" t="n">
        <v>1319750</v>
      </c>
      <c r="M205" s="92">
        <f>K205/L205</f>
        <v>1.0378041295699942</v>
      </c>
    </row>
    <row r="206">
      <c r="A206" s="19" t="inlineStr">
        <is>
          <t>HCC</t>
        </is>
      </c>
      <c r="B206" s="14" t="inlineStr">
        <is>
          <t>—</t>
        </is>
      </c>
      <c r="C206" s="14" t="inlineStr">
        <is>
          <t>—</t>
        </is>
      </c>
      <c r="D206" s="6" t="inlineStr">
        <is>
          <t>煤炭</t>
        </is>
      </c>
      <c r="E206" s="61" t="n">
        <v>105</v>
      </c>
      <c r="F206" s="20" t="n">
        <v>92.72</v>
      </c>
      <c r="G206" s="20" t="n">
        <v>91.59999999999999</v>
      </c>
      <c r="H206" s="20" t="n">
        <v>104.35</v>
      </c>
      <c r="I206" s="11">
        <f>F206/G206-1</f>
        <v>0.012227074235807933</v>
      </c>
      <c r="J206" s="11">
        <f>F206/H206-1</f>
        <v>-0.11145184475323422</v>
      </c>
      <c r="K206" s="13" t="n">
        <v>717363</v>
      </c>
      <c r="L206" s="13" t="n">
        <v>513500</v>
      </c>
      <c r="M206" s="21">
        <f>K206/L206</f>
        <v>1.3970068159688414</v>
      </c>
    </row>
    <row r="207">
      <c r="A207" s="19" t="inlineStr">
        <is>
          <t>HD</t>
        </is>
      </c>
      <c r="B207" s="14" t="inlineStr">
        <is>
          <t>—</t>
        </is>
      </c>
      <c r="C207" s="14" t="inlineStr">
        <is>
          <t>—</t>
        </is>
      </c>
      <c r="D207" s="6" t="inlineStr">
        <is>
          <t>專門零售</t>
        </is>
      </c>
      <c r="E207" s="61" t="n">
        <v>74</v>
      </c>
      <c r="F207" s="20" t="n">
        <v>302.47</v>
      </c>
      <c r="G207" s="20" t="n">
        <v>305.48</v>
      </c>
      <c r="H207" s="20" t="n">
        <v>310.45</v>
      </c>
      <c r="I207" s="11">
        <f>F207/G207-1</f>
        <v>-0.009853345554537096</v>
      </c>
      <c r="J207" s="11">
        <f>F207/H207-1</f>
        <v>-0.02570462232243509</v>
      </c>
      <c r="K207" s="13" t="n">
        <v>3720433</v>
      </c>
      <c r="L207" s="13" t="n">
        <v>3614850</v>
      </c>
      <c r="M207" s="21">
        <f>K207/L207</f>
        <v>1.0292081275848237</v>
      </c>
    </row>
    <row r="208">
      <c r="A208" s="19" t="inlineStr">
        <is>
          <t>HIMS</t>
        </is>
      </c>
      <c r="B208" s="14" t="inlineStr">
        <is>
          <t>—</t>
        </is>
      </c>
      <c r="C208" s="14" t="inlineStr">
        <is>
          <t>—</t>
        </is>
      </c>
      <c r="D208" s="6" t="inlineStr">
        <is>
          <t>數位醫療與遠距醫療</t>
        </is>
      </c>
      <c r="E208" s="61" t="n">
        <v>21</v>
      </c>
      <c r="F208" s="20" t="n">
        <v>28</v>
      </c>
      <c r="G208" s="20" t="n">
        <v>27.85</v>
      </c>
      <c r="H208" s="20" t="n">
        <v>27.9</v>
      </c>
      <c r="I208" s="11">
        <f>F208/G208-1</f>
        <v>0.0053859964093356805</v>
      </c>
      <c r="J208" s="11">
        <f>F208/H208-1</f>
        <v>0.0035842293906811484</v>
      </c>
      <c r="K208" s="13" t="n">
        <v>7337255</v>
      </c>
      <c r="L208" s="13" t="n">
        <v>9091600</v>
      </c>
      <c r="M208" s="21">
        <f>K208/L208</f>
        <v>0.807036715209644</v>
      </c>
    </row>
    <row r="209">
      <c r="A209" s="19" t="inlineStr">
        <is>
          <t>HIW</t>
        </is>
      </c>
      <c r="B209" s="14" t="inlineStr">
        <is>
          <t>—</t>
        </is>
      </c>
      <c r="C209" s="14" t="inlineStr">
        <is>
          <t>—</t>
        </is>
      </c>
      <c r="D209" s="6" t="inlineStr">
        <is>
          <t>辦公樓REIT</t>
        </is>
      </c>
      <c r="E209" s="61" t="n">
        <v>16</v>
      </c>
      <c r="F209" s="20" t="n">
        <v>30.7</v>
      </c>
      <c r="G209" s="20" t="n">
        <v>30.76</v>
      </c>
      <c r="H209" s="20" t="n">
        <v>30.28</v>
      </c>
      <c r="I209" s="11">
        <f>F209/G209-1</f>
        <v>-0.0019505851755526882</v>
      </c>
      <c r="J209" s="11">
        <f>F209/H209-1</f>
        <v>0.01387054161162471</v>
      </c>
      <c r="K209" s="13" t="n">
        <v>1240324</v>
      </c>
      <c r="L209" s="13" t="n">
        <v>1080000</v>
      </c>
      <c r="M209" s="21">
        <f>K209/L209</f>
        <v>1.148448148148148</v>
      </c>
    </row>
    <row r="210">
      <c r="A210" s="19" t="inlineStr">
        <is>
          <t>HL</t>
        </is>
      </c>
      <c r="B210" s="14" t="inlineStr">
        <is>
          <t>—</t>
        </is>
      </c>
      <c r="C210" s="14" t="inlineStr">
        <is>
          <t>—</t>
        </is>
      </c>
      <c r="D210" s="6" t="inlineStr">
        <is>
          <t>白銀礦</t>
        </is>
      </c>
      <c r="E210" s="61" t="n">
        <v>106</v>
      </c>
      <c r="F210" s="20" t="n">
        <v>17.99</v>
      </c>
      <c r="G210" s="20" t="n">
        <v>18.68</v>
      </c>
      <c r="H210" s="20" t="n">
        <v>20.85</v>
      </c>
      <c r="I210" s="11">
        <f>F210/G210-1</f>
        <v>-0.03693790149892939</v>
      </c>
      <c r="J210" s="11">
        <f>F210/H210-1</f>
        <v>-0.1371702637889689</v>
      </c>
      <c r="K210" s="13" t="n">
        <v>37415097</v>
      </c>
      <c r="L210" s="13" t="n">
        <v>29982850</v>
      </c>
      <c r="M210" s="21">
        <f>K210/L210</f>
        <v>1.24788327327122</v>
      </c>
    </row>
    <row r="211">
      <c r="A211" s="19" t="inlineStr">
        <is>
          <t>HLT</t>
        </is>
      </c>
      <c r="B211" s="14" t="inlineStr">
        <is>
          <t>—</t>
        </is>
      </c>
      <c r="C211" s="14" t="inlineStr">
        <is>
          <t>—</t>
        </is>
      </c>
      <c r="D211" s="6" t="inlineStr">
        <is>
          <t>酒店與郵輪</t>
        </is>
      </c>
      <c r="E211" s="61" t="n">
        <v>41</v>
      </c>
      <c r="F211" s="20" t="n">
        <v>305.63</v>
      </c>
      <c r="G211" s="20" t="n">
        <v>307.79</v>
      </c>
      <c r="H211" s="20" t="n">
        <v>306.99</v>
      </c>
      <c r="I211" s="11">
        <f>F211/G211-1</f>
        <v>-0.007017771857435351</v>
      </c>
      <c r="J211" s="11">
        <f>F211/H211-1</f>
        <v>-0.0044301117300238335</v>
      </c>
      <c r="K211" s="13" t="n">
        <v>1844460</v>
      </c>
      <c r="L211" s="13" t="n">
        <v>1650050</v>
      </c>
      <c r="M211" s="21">
        <f>K211/L211</f>
        <v>1.1178206721008455</v>
      </c>
    </row>
    <row r="212">
      <c r="A212" s="19" t="inlineStr">
        <is>
          <t>HON</t>
        </is>
      </c>
      <c r="B212" s="14" t="inlineStr">
        <is>
          <t>—</t>
        </is>
      </c>
      <c r="C212" s="14" t="inlineStr">
        <is>
          <t>—</t>
        </is>
      </c>
      <c r="D212" s="6" t="inlineStr">
        <is>
          <t>機械與重工</t>
        </is>
      </c>
      <c r="E212" s="61" t="n">
        <v>39</v>
      </c>
      <c r="F212" s="20" t="n">
        <v>207.66</v>
      </c>
      <c r="G212" s="20" t="n">
        <v>203.44</v>
      </c>
      <c r="H212" s="20" t="n">
        <v>204.93</v>
      </c>
      <c r="I212" s="11">
        <f>F212/G212-1</f>
        <v>0.020743216673220655</v>
      </c>
      <c r="J212" s="11">
        <f>F212/H212-1</f>
        <v>0.013321622017274048</v>
      </c>
      <c r="K212" s="13" t="n">
        <v>4975239</v>
      </c>
      <c r="L212" s="13" t="n">
        <v>2497950</v>
      </c>
      <c r="M212" s="21">
        <f>K212/L212</f>
        <v>1.991728817630457</v>
      </c>
    </row>
    <row r="213">
      <c r="A213" s="19" t="inlineStr">
        <is>
          <t>HOOD</t>
        </is>
      </c>
      <c r="B213" s="14" t="inlineStr">
        <is>
          <t>—</t>
        </is>
      </c>
      <c r="C213" s="14" t="inlineStr">
        <is>
          <t>—</t>
        </is>
      </c>
      <c r="D213" s="6" t="inlineStr">
        <is>
          <t>數位資產金融與礦業轉HPC</t>
        </is>
      </c>
      <c r="E213" s="61" t="n">
        <v>104</v>
      </c>
      <c r="F213" s="20" t="n">
        <v>104.42</v>
      </c>
      <c r="G213" s="20" t="n">
        <v>110.45</v>
      </c>
      <c r="H213" s="20" t="n">
        <v>115.28</v>
      </c>
      <c r="I213" s="11">
        <f>F213/G213-1</f>
        <v>-0.05459483929379816</v>
      </c>
      <c r="J213" s="11">
        <f>F213/H213-1</f>
        <v>-0.09420541290770301</v>
      </c>
      <c r="K213" s="13" t="n">
        <v>33403144</v>
      </c>
      <c r="L213" s="13" t="n">
        <v>20939300</v>
      </c>
      <c r="M213" s="21">
        <f>K213/L213</f>
        <v>1.5952368990367396</v>
      </c>
    </row>
    <row r="214">
      <c r="A214" s="19" t="inlineStr">
        <is>
          <t>HRB</t>
        </is>
      </c>
      <c r="B214" s="14" t="inlineStr">
        <is>
          <t>—</t>
        </is>
      </c>
      <c r="C214" s="14" t="inlineStr">
        <is>
          <t>—</t>
        </is>
      </c>
      <c r="D214" s="6" t="inlineStr">
        <is>
          <t>教育與消費服務</t>
        </is>
      </c>
      <c r="E214" s="61" t="n">
        <v>27</v>
      </c>
      <c r="F214" s="20" t="n">
        <v>45.11</v>
      </c>
      <c r="G214" s="20" t="n">
        <v>45.84</v>
      </c>
      <c r="H214" s="20" t="n">
        <v>45.14</v>
      </c>
      <c r="I214" s="11">
        <f>F214/G214-1</f>
        <v>-0.01592495636998259</v>
      </c>
      <c r="J214" s="11">
        <f>F214/H214-1</f>
        <v>-0.0006645990252548417</v>
      </c>
      <c r="K214" s="13" t="n">
        <v>1865674</v>
      </c>
      <c r="L214" s="13" t="n">
        <v>1526750</v>
      </c>
      <c r="M214" s="21">
        <f>K214/L214</f>
        <v>1.2219905027018176</v>
      </c>
    </row>
    <row r="215">
      <c r="A215" s="19" t="inlineStr">
        <is>
          <t>HSY</t>
        </is>
      </c>
      <c r="B215" s="14" t="inlineStr">
        <is>
          <t>—</t>
        </is>
      </c>
      <c r="C215" s="14" t="inlineStr">
        <is>
          <t>—</t>
        </is>
      </c>
      <c r="D215" s="6" t="inlineStr">
        <is>
          <t>食品加工</t>
        </is>
      </c>
      <c r="E215" s="61" t="n">
        <v>30</v>
      </c>
      <c r="F215" s="20" t="n">
        <v>170.79</v>
      </c>
      <c r="G215" s="20" t="n">
        <v>170.42</v>
      </c>
      <c r="H215" s="20" t="n">
        <v>172.19</v>
      </c>
      <c r="I215" s="11">
        <f>F215/G215-1</f>
        <v>0.002171106677619994</v>
      </c>
      <c r="J215" s="11">
        <f>F215/H215-1</f>
        <v>-0.008130553458388978</v>
      </c>
      <c r="K215" s="13" t="n">
        <v>1037866</v>
      </c>
      <c r="L215" s="13" t="n">
        <v>1121650</v>
      </c>
      <c r="M215" s="21">
        <f>K215/L215</f>
        <v>0.9253029019747693</v>
      </c>
    </row>
    <row r="216">
      <c r="A216" s="19" t="inlineStr">
        <is>
          <t>HTO</t>
        </is>
      </c>
      <c r="B216" s="14" t="inlineStr">
        <is>
          <t>—</t>
        </is>
      </c>
      <c r="C216" s="14" t="inlineStr">
        <is>
          <t>—</t>
        </is>
      </c>
      <c r="D216" s="6" t="inlineStr">
        <is>
          <t>水務公用</t>
        </is>
      </c>
      <c r="E216" s="61" t="n">
        <v>60</v>
      </c>
      <c r="F216" s="20" t="n">
        <v>63.14</v>
      </c>
      <c r="G216" s="20" t="n">
        <v>62.47</v>
      </c>
      <c r="H216" s="20" t="n">
        <v>64.29000000000001</v>
      </c>
      <c r="I216" s="11">
        <f>F216/G216-1</f>
        <v>0.010725148071074164</v>
      </c>
      <c r="J216" s="11">
        <f>F216/H216-1</f>
        <v>-0.017887696375797235</v>
      </c>
      <c r="K216" s="13" t="n">
        <v>314482</v>
      </c>
      <c r="L216" s="13" t="n">
        <v>360000</v>
      </c>
      <c r="M216" s="21">
        <f>K216/L216</f>
        <v>0.8735611111111111</v>
      </c>
    </row>
    <row r="217">
      <c r="A217" s="19" t="inlineStr">
        <is>
          <t>HUBB</t>
        </is>
      </c>
      <c r="B217" s="14" t="inlineStr">
        <is>
          <t>—</t>
        </is>
      </c>
      <c r="C217" s="14" t="inlineStr">
        <is>
          <t>—</t>
        </is>
      </c>
      <c r="D217" s="6" t="inlineStr">
        <is>
          <t>電氣設備與電網</t>
        </is>
      </c>
      <c r="E217" s="61" t="n">
        <v>14</v>
      </c>
      <c r="F217" s="20" t="n">
        <v>439.07</v>
      </c>
      <c r="G217" s="20" t="n">
        <v>438.53</v>
      </c>
      <c r="H217" s="20" t="n">
        <v>454.97</v>
      </c>
      <c r="I217" s="11">
        <f>F217/G217-1</f>
        <v>0.0012313866782205363</v>
      </c>
      <c r="J217" s="11">
        <f>F217/H217-1</f>
        <v>-0.03494735916653857</v>
      </c>
      <c r="K217" s="13" t="n">
        <v>297286</v>
      </c>
      <c r="L217" s="13" t="n">
        <v>452642.5</v>
      </c>
      <c r="M217" s="21">
        <f>K217/L217</f>
        <v>0.6567788044648922</v>
      </c>
    </row>
    <row r="218">
      <c r="A218" s="19" t="inlineStr">
        <is>
          <t>HUM</t>
        </is>
      </c>
      <c r="B218" s="14" t="inlineStr">
        <is>
          <t>—</t>
        </is>
      </c>
      <c r="C218" s="14" t="inlineStr">
        <is>
          <t>—</t>
        </is>
      </c>
      <c r="D218" s="6" t="inlineStr">
        <is>
          <t>醫療保險與管理式醫療</t>
        </is>
      </c>
      <c r="E218" s="61" t="n">
        <v>76</v>
      </c>
      <c r="F218" s="20" t="n">
        <v>384.72</v>
      </c>
      <c r="G218" s="20" t="n">
        <v>396.62</v>
      </c>
      <c r="H218" s="20" t="n">
        <v>400.02</v>
      </c>
      <c r="I218" s="11">
        <f>F218/G218-1</f>
        <v>-0.030003529827038466</v>
      </c>
      <c r="J218" s="11">
        <f>F218/H218-1</f>
        <v>-0.03824808759562015</v>
      </c>
      <c r="K218" s="13" t="n">
        <v>1036257</v>
      </c>
      <c r="L218" s="13" t="n">
        <v>915150</v>
      </c>
      <c r="M218" s="21">
        <f>K218/L218</f>
        <v>1.1323356826749713</v>
      </c>
    </row>
    <row r="219">
      <c r="A219" s="19" t="inlineStr">
        <is>
          <t>IBM</t>
        </is>
      </c>
      <c r="B219" s="14" t="inlineStr">
        <is>
          <t>—</t>
        </is>
      </c>
      <c r="C219" s="14" t="inlineStr">
        <is>
          <t>—</t>
        </is>
      </c>
      <c r="D219" s="6" t="inlineStr">
        <is>
          <t>IT服務與系統整合</t>
        </is>
      </c>
      <c r="E219" s="61" t="n">
        <v>32</v>
      </c>
      <c r="F219" s="20" t="n">
        <v>237.49</v>
      </c>
      <c r="G219" s="20" t="n">
        <v>248.37</v>
      </c>
      <c r="H219" s="20" t="n">
        <v>239.94</v>
      </c>
      <c r="I219" s="11">
        <f>F219/G219-1</f>
        <v>-0.04380561259411364</v>
      </c>
      <c r="J219" s="11">
        <f>F219/H219-1</f>
        <v>-0.01021088605484699</v>
      </c>
      <c r="K219" s="13" t="n">
        <v>6170820</v>
      </c>
      <c r="L219" s="13" t="n">
        <v>4651850</v>
      </c>
      <c r="M219" s="21">
        <f>K219/L219</f>
        <v>1.3265303051474144</v>
      </c>
    </row>
    <row r="220">
      <c r="A220" s="19" t="inlineStr">
        <is>
          <t>ICE</t>
        </is>
      </c>
      <c r="B220" s="14" t="inlineStr">
        <is>
          <t>—</t>
        </is>
      </c>
      <c r="C220" s="14" t="inlineStr">
        <is>
          <t>—</t>
        </is>
      </c>
      <c r="D220" s="6" t="inlineStr">
        <is>
          <t>交易所與金融數據</t>
        </is>
      </c>
      <c r="E220" s="61" t="n">
        <v>78</v>
      </c>
      <c r="F220" s="20" t="n">
        <v>154.1</v>
      </c>
      <c r="G220" s="20" t="n">
        <v>156.9</v>
      </c>
      <c r="H220" s="20" t="n">
        <v>156.5</v>
      </c>
      <c r="I220" s="11">
        <f>F220/G220-1</f>
        <v>-0.017845761631612556</v>
      </c>
      <c r="J220" s="11">
        <f>F220/H220-1</f>
        <v>-0.015335463258785986</v>
      </c>
      <c r="K220" s="13" t="n">
        <v>2896671</v>
      </c>
      <c r="L220" s="13" t="n">
        <v>3188500</v>
      </c>
      <c r="M220" s="21">
        <f>K220/L220</f>
        <v>0.9084745177983378</v>
      </c>
    </row>
    <row r="221">
      <c r="A221" s="19" t="inlineStr">
        <is>
          <t>ILMN</t>
        </is>
      </c>
      <c r="B221" s="14" t="inlineStr">
        <is>
          <t>—</t>
        </is>
      </c>
      <c r="C221" s="14" t="inlineStr">
        <is>
          <t>—</t>
        </is>
      </c>
      <c r="D221" s="6" t="inlineStr">
        <is>
          <t>診斷與生命科學工具</t>
        </is>
      </c>
      <c r="E221" s="61" t="n">
        <v>1</v>
      </c>
      <c r="F221" s="20" t="n">
        <v>228.93</v>
      </c>
      <c r="G221" s="20" t="n">
        <v>222.29</v>
      </c>
      <c r="H221" s="20" t="n">
        <v>205</v>
      </c>
      <c r="I221" s="11">
        <f>F221/G221-1</f>
        <v>0.029870889378739607</v>
      </c>
      <c r="J221" s="11">
        <f>F221/H221-1</f>
        <v>0.11673170731707327</v>
      </c>
      <c r="K221" s="13" t="n">
        <v>3373544</v>
      </c>
      <c r="L221" s="13" t="n">
        <v>1868400</v>
      </c>
      <c r="M221" s="21">
        <f>K221/L221</f>
        <v>1.8055791051166774</v>
      </c>
    </row>
    <row r="222">
      <c r="A222" s="19" t="inlineStr">
        <is>
          <t>INFY</t>
        </is>
      </c>
      <c r="B222" s="14" t="inlineStr">
        <is>
          <t>—</t>
        </is>
      </c>
      <c r="C222" s="14" t="inlineStr">
        <is>
          <t>—</t>
        </is>
      </c>
      <c r="D222" s="6" t="inlineStr">
        <is>
          <t>IT服務與系統整合</t>
        </is>
      </c>
      <c r="E222" s="61" t="n">
        <v>32</v>
      </c>
      <c r="F222" s="20" t="n">
        <v>11.08</v>
      </c>
      <c r="G222" s="20" t="n">
        <v>11.32</v>
      </c>
      <c r="H222" s="20" t="n">
        <v>10.93</v>
      </c>
      <c r="I222" s="11">
        <f>F222/G222-1</f>
        <v>-0.021201413427561877</v>
      </c>
      <c r="J222" s="11">
        <f>F222/H222-1</f>
        <v>0.013723696248856498</v>
      </c>
      <c r="K222" s="13" t="n">
        <v>11497617</v>
      </c>
      <c r="L222" s="13" t="n">
        <v>16214450</v>
      </c>
      <c r="M222" s="21">
        <f>K222/L222</f>
        <v>0.7090969474758626</v>
      </c>
    </row>
    <row r="223">
      <c r="A223" s="19" t="inlineStr">
        <is>
          <t>INGR</t>
        </is>
      </c>
      <c r="B223" s="14" t="inlineStr">
        <is>
          <t>—</t>
        </is>
      </c>
      <c r="C223" s="14" t="inlineStr">
        <is>
          <t>—</t>
        </is>
      </c>
      <c r="D223" s="6" t="inlineStr">
        <is>
          <t>農產品與農業投入</t>
        </is>
      </c>
      <c r="E223" s="61" t="n">
        <v>85</v>
      </c>
      <c r="F223" s="20" t="n">
        <v>98.48</v>
      </c>
      <c r="G223" s="20" t="n">
        <v>99.06999999999999</v>
      </c>
      <c r="H223" s="20" t="n">
        <v>100.72</v>
      </c>
      <c r="I223" s="11">
        <f>F223/G223-1</f>
        <v>-0.005955385081255593</v>
      </c>
      <c r="J223" s="11">
        <f>F223/H223-1</f>
        <v>-0.022239872915011838</v>
      </c>
      <c r="K223" s="13" t="n">
        <v>437376</v>
      </c>
      <c r="L223" s="13" t="n">
        <v>570000</v>
      </c>
      <c r="M223" s="21">
        <f>K223/L223</f>
        <v>0.7673263157894736</v>
      </c>
    </row>
    <row r="224">
      <c r="A224" s="19" t="inlineStr">
        <is>
          <t>INTC</t>
        </is>
      </c>
      <c r="B224" s="14" t="inlineStr">
        <is>
          <t>—</t>
        </is>
      </c>
      <c r="C224" s="14" t="inlineStr">
        <is>
          <t>—</t>
        </is>
      </c>
      <c r="D224" s="6" t="inlineStr">
        <is>
          <t>晶圓代工/IDM</t>
        </is>
      </c>
      <c r="E224" s="61" t="n">
        <v>38</v>
      </c>
      <c r="F224" s="20" t="n">
        <v>101.05</v>
      </c>
      <c r="G224" s="20" t="n">
        <v>97.14</v>
      </c>
      <c r="H224" s="20" t="n">
        <v>106.24</v>
      </c>
      <c r="I224" s="11">
        <f>F224/G224-1</f>
        <v>0.040251183858348805</v>
      </c>
      <c r="J224" s="11">
        <f>F224/H224-1</f>
        <v>-0.048851656626506035</v>
      </c>
      <c r="K224" s="13" t="n">
        <v>117913642</v>
      </c>
      <c r="L224" s="13" t="n">
        <v>89330250</v>
      </c>
      <c r="M224" s="21">
        <f>K224/L224</f>
        <v>1.3199743871756768</v>
      </c>
    </row>
    <row r="225">
      <c r="A225" s="19" t="inlineStr">
        <is>
          <t>INVH</t>
        </is>
      </c>
      <c r="B225" s="14" t="inlineStr">
        <is>
          <t>—</t>
        </is>
      </c>
      <c r="C225" s="14" t="inlineStr">
        <is>
          <t>—</t>
        </is>
      </c>
      <c r="D225" s="6" t="inlineStr">
        <is>
          <t>住宅公寓REIT</t>
        </is>
      </c>
      <c r="E225" s="61" t="n">
        <v>95</v>
      </c>
      <c r="F225" s="20" t="n">
        <v>27.21</v>
      </c>
      <c r="G225" s="20" t="n">
        <v>27.64</v>
      </c>
      <c r="H225" s="20" t="n">
        <v>28.18</v>
      </c>
      <c r="I225" s="11">
        <f>F225/G225-1</f>
        <v>-0.01555716353111436</v>
      </c>
      <c r="J225" s="11">
        <f>F225/H225-1</f>
        <v>-0.03442157558552161</v>
      </c>
      <c r="K225" s="13" t="n">
        <v>4786493</v>
      </c>
      <c r="L225" s="13" t="n">
        <v>3506100</v>
      </c>
      <c r="M225" s="21">
        <f>K225/L225</f>
        <v>1.3651900972590627</v>
      </c>
    </row>
    <row r="226">
      <c r="A226" s="19" t="inlineStr">
        <is>
          <t>IONQ</t>
        </is>
      </c>
      <c r="B226" s="14" t="inlineStr">
        <is>
          <t>—</t>
        </is>
      </c>
      <c r="C226" s="14" t="inlineStr">
        <is>
          <t>—</t>
        </is>
      </c>
      <c r="D226" s="6" t="inlineStr">
        <is>
          <t>量子運算</t>
        </is>
      </c>
      <c r="E226" s="61" t="n">
        <v>69</v>
      </c>
      <c r="F226" s="20" t="n">
        <v>36.84</v>
      </c>
      <c r="G226" s="20" t="n">
        <v>37.05</v>
      </c>
      <c r="H226" s="20" t="n">
        <v>38.14</v>
      </c>
      <c r="I226" s="11">
        <f>F226/G226-1</f>
        <v>-0.005668016194331771</v>
      </c>
      <c r="J226" s="11">
        <f>F226/H226-1</f>
        <v>-0.0340849501835343</v>
      </c>
      <c r="K226" s="13" t="n">
        <v>15748314</v>
      </c>
      <c r="L226" s="13" t="n">
        <v>16138450</v>
      </c>
      <c r="M226" s="21">
        <f>K226/L226</f>
        <v>0.9758256833834724</v>
      </c>
    </row>
    <row r="227">
      <c r="A227" s="19" t="inlineStr">
        <is>
          <t>IONS</t>
        </is>
      </c>
      <c r="B227" s="14" t="inlineStr">
        <is>
          <t>—</t>
        </is>
      </c>
      <c r="C227" s="14" t="inlineStr">
        <is>
          <t>—</t>
        </is>
      </c>
      <c r="D227" s="6" t="inlineStr">
        <is>
          <t>臨床期中小型生技</t>
        </is>
      </c>
      <c r="E227" s="61" t="n">
        <v>110</v>
      </c>
      <c r="F227" s="20" t="n">
        <v>44.84</v>
      </c>
      <c r="G227" s="20" t="n">
        <v>47.25</v>
      </c>
      <c r="H227" s="20" t="n">
        <v>56.02</v>
      </c>
      <c r="I227" s="11">
        <f>F227/G227-1</f>
        <v>-0.05100529100529094</v>
      </c>
      <c r="J227" s="11">
        <f>F227/H227-1</f>
        <v>-0.1995715815780078</v>
      </c>
      <c r="K227" s="13" t="n">
        <v>7626881</v>
      </c>
      <c r="L227" s="13" t="n">
        <v>2551550</v>
      </c>
      <c r="M227" s="21">
        <f>K227/L227</f>
        <v>2.9891168113499638</v>
      </c>
    </row>
    <row r="228">
      <c r="A228" s="19" t="inlineStr">
        <is>
          <t>IOVA</t>
        </is>
      </c>
      <c r="B228" s="14" t="inlineStr">
        <is>
          <t>—</t>
        </is>
      </c>
      <c r="C228" s="14" t="inlineStr">
        <is>
          <t>—</t>
        </is>
      </c>
      <c r="D228" s="6" t="inlineStr">
        <is>
          <t>腫瘤與細胞治療</t>
        </is>
      </c>
      <c r="E228" s="61" t="n">
        <v>50</v>
      </c>
      <c r="F228" s="20" t="n">
        <v>9.869999999999999</v>
      </c>
      <c r="G228" s="20" t="n">
        <v>9.359999999999999</v>
      </c>
      <c r="H228" s="20" t="n">
        <v>8.43</v>
      </c>
      <c r="I228" s="11">
        <f>F228/G228-1</f>
        <v>0.054487179487179516</v>
      </c>
      <c r="J228" s="11">
        <f>F228/H228-1</f>
        <v>0.17081850533807819</v>
      </c>
      <c r="K228" s="13" t="n">
        <v>19606732</v>
      </c>
      <c r="L228" s="13" t="n">
        <v>11914850</v>
      </c>
      <c r="M228" s="21">
        <f>K228/L228</f>
        <v>1.6455710311082388</v>
      </c>
    </row>
    <row r="229">
      <c r="A229" s="19" t="inlineStr">
        <is>
          <t>IP</t>
        </is>
      </c>
      <c r="B229" s="14" t="inlineStr">
        <is>
          <t>—</t>
        </is>
      </c>
      <c r="C229" s="14" t="inlineStr">
        <is>
          <t>—</t>
        </is>
      </c>
      <c r="D229" s="6" t="inlineStr">
        <is>
          <t>包裝與建材</t>
        </is>
      </c>
      <c r="E229" s="61" t="n">
        <v>59</v>
      </c>
      <c r="F229" s="20" t="n">
        <v>34.06</v>
      </c>
      <c r="G229" s="20" t="n">
        <v>33.99</v>
      </c>
      <c r="H229" s="20" t="n">
        <v>34.64</v>
      </c>
      <c r="I229" s="11">
        <f>F229/G229-1</f>
        <v>0.00205942924389535</v>
      </c>
      <c r="J229" s="11">
        <f>F229/H229-1</f>
        <v>-0.016743648960738988</v>
      </c>
      <c r="K229" s="13" t="n">
        <v>5272339</v>
      </c>
      <c r="L229" s="13" t="n">
        <v>4022950</v>
      </c>
      <c r="M229" s="21">
        <f>K229/L229</f>
        <v>1.3105653811257907</v>
      </c>
    </row>
    <row r="230">
      <c r="A230" s="19" t="inlineStr">
        <is>
          <t>IREN</t>
        </is>
      </c>
      <c r="B230" s="14" t="inlineStr">
        <is>
          <t>—</t>
        </is>
      </c>
      <c r="C230" s="14" t="inlineStr">
        <is>
          <t>—</t>
        </is>
      </c>
      <c r="D230" s="6" t="inlineStr">
        <is>
          <t>數位資產金融與礦業轉HPC</t>
        </is>
      </c>
      <c r="E230" s="61" t="n">
        <v>104</v>
      </c>
      <c r="F230" s="20" t="n">
        <v>42.62</v>
      </c>
      <c r="G230" s="20" t="n">
        <v>41.58</v>
      </c>
      <c r="H230" s="20" t="n">
        <v>45.37</v>
      </c>
      <c r="I230" s="11">
        <f>F230/G230-1</f>
        <v>0.02501202501202493</v>
      </c>
      <c r="J230" s="11">
        <f>F230/H230-1</f>
        <v>-0.06061273969583425</v>
      </c>
      <c r="K230" s="13" t="n">
        <v>33188152</v>
      </c>
      <c r="L230" s="13" t="n">
        <v>39593250</v>
      </c>
      <c r="M230" s="21">
        <f>K230/L230</f>
        <v>0.838227526156605</v>
      </c>
    </row>
    <row r="231">
      <c r="A231" s="19" t="inlineStr">
        <is>
          <t>ISRG</t>
        </is>
      </c>
      <c r="B231" s="14" t="inlineStr">
        <is>
          <t>—</t>
        </is>
      </c>
      <c r="C231" s="14" t="inlineStr">
        <is>
          <t>—</t>
        </is>
      </c>
      <c r="D231" s="6" t="inlineStr">
        <is>
          <t>醫療器械</t>
        </is>
      </c>
      <c r="E231" s="61" t="n">
        <v>13</v>
      </c>
      <c r="F231" s="20" t="n">
        <v>382.29</v>
      </c>
      <c r="G231" s="20" t="n">
        <v>377.16</v>
      </c>
      <c r="H231" s="20" t="n">
        <v>353.24</v>
      </c>
      <c r="I231" s="11">
        <f>F231/G231-1</f>
        <v>0.013601654470251301</v>
      </c>
      <c r="J231" s="11">
        <f>F231/H231-1</f>
        <v>0.0822387045634696</v>
      </c>
      <c r="K231" s="13" t="n">
        <v>2133825</v>
      </c>
      <c r="L231" s="13" t="n">
        <v>2031650</v>
      </c>
      <c r="M231" s="21">
        <f>K231/L231</f>
        <v>1.0502916348780549</v>
      </c>
    </row>
    <row r="232">
      <c r="A232" s="19" t="inlineStr">
        <is>
          <t>J</t>
        </is>
      </c>
      <c r="B232" s="14" t="inlineStr">
        <is>
          <t>—</t>
        </is>
      </c>
      <c r="C232" s="14" t="inlineStr">
        <is>
          <t>—</t>
        </is>
      </c>
      <c r="D232" s="6" t="inlineStr">
        <is>
          <t>工程建設/EPC</t>
        </is>
      </c>
      <c r="E232" s="61" t="n">
        <v>51</v>
      </c>
      <c r="F232" s="20" t="n">
        <v>143.49</v>
      </c>
      <c r="G232" s="20" t="n">
        <v>144.91</v>
      </c>
      <c r="H232" s="20" t="n">
        <v>141.75</v>
      </c>
      <c r="I232" s="11">
        <f>F232/G232-1</f>
        <v>-0.00979918570146976</v>
      </c>
      <c r="J232" s="11">
        <f>F232/H232-1</f>
        <v>0.012275132275132439</v>
      </c>
      <c r="K232" s="13" t="n">
        <v>544264</v>
      </c>
      <c r="L232" s="13" t="n">
        <v>731950</v>
      </c>
      <c r="M232" s="21">
        <f>K232/L232</f>
        <v>0.7435808456861808</v>
      </c>
    </row>
    <row r="233">
      <c r="A233" s="19" t="inlineStr">
        <is>
          <t>JBHT</t>
        </is>
      </c>
      <c r="B233" s="14" t="inlineStr">
        <is>
          <t>—</t>
        </is>
      </c>
      <c r="C233" s="14" t="inlineStr">
        <is>
          <t>—</t>
        </is>
      </c>
      <c r="D233" s="6" t="inlineStr">
        <is>
          <t>貨運與物流</t>
        </is>
      </c>
      <c r="E233" s="61" t="n">
        <v>81</v>
      </c>
      <c r="F233" s="20" t="n">
        <v>236.73</v>
      </c>
      <c r="G233" s="20" t="n">
        <v>273.05</v>
      </c>
      <c r="H233" s="20" t="n">
        <v>267.8</v>
      </c>
      <c r="I233" s="11">
        <f>F233/G233-1</f>
        <v>-0.13301593114814148</v>
      </c>
      <c r="J233" s="11">
        <f>F233/H233-1</f>
        <v>-0.11601941747572819</v>
      </c>
      <c r="K233" s="13" t="n">
        <v>4809288</v>
      </c>
      <c r="L233" s="13" t="n">
        <v>740600</v>
      </c>
      <c r="M233" s="21">
        <f>K233/L233</f>
        <v>6.493772616797192</v>
      </c>
    </row>
    <row r="234">
      <c r="A234" s="19" t="inlineStr">
        <is>
          <t>JBL</t>
        </is>
      </c>
      <c r="B234" s="14" t="inlineStr">
        <is>
          <t>—</t>
        </is>
      </c>
      <c r="C234" s="14" t="inlineStr">
        <is>
          <t>—</t>
        </is>
      </c>
      <c r="D234" s="6" t="inlineStr">
        <is>
          <t>電子硬件與EMS/連接器</t>
        </is>
      </c>
      <c r="E234" s="61" t="n">
        <v>5</v>
      </c>
      <c r="F234" s="20" t="n">
        <v>297.24</v>
      </c>
      <c r="G234" s="20" t="n">
        <v>296.05</v>
      </c>
      <c r="H234" s="20" t="n">
        <v>311.37</v>
      </c>
      <c r="I234" s="11">
        <f>F234/G234-1</f>
        <v>0.0040195912852558635</v>
      </c>
      <c r="J234" s="11">
        <f>F234/H234-1</f>
        <v>-0.045380094421427875</v>
      </c>
      <c r="K234" s="13" t="n">
        <v>1042462</v>
      </c>
      <c r="L234" s="13" t="n">
        <v>917950</v>
      </c>
      <c r="M234" s="21">
        <f>K234/L234</f>
        <v>1.1356413748025491</v>
      </c>
    </row>
    <row r="235">
      <c r="A235" s="19" t="inlineStr">
        <is>
          <t>JCI</t>
        </is>
      </c>
      <c r="B235" s="14" t="inlineStr">
        <is>
          <t>—</t>
        </is>
      </c>
      <c r="C235" s="14" t="inlineStr">
        <is>
          <t>—</t>
        </is>
      </c>
      <c r="D235" s="6" t="inlineStr">
        <is>
          <t>樓宇產品與HVAC</t>
        </is>
      </c>
      <c r="E235" s="61" t="n">
        <v>64</v>
      </c>
      <c r="F235" s="20" t="n">
        <v>140.47</v>
      </c>
      <c r="G235" s="20" t="n">
        <v>138.29</v>
      </c>
      <c r="H235" s="20" t="n">
        <v>144.92</v>
      </c>
      <c r="I235" s="11">
        <f>F235/G235-1</f>
        <v>0.01576397425699616</v>
      </c>
      <c r="J235" s="11">
        <f>F235/H235-1</f>
        <v>-0.030706596743030556</v>
      </c>
      <c r="K235" s="13" t="n">
        <v>3159174</v>
      </c>
      <c r="L235" s="13" t="n">
        <v>3034050</v>
      </c>
      <c r="M235" s="21">
        <f>K235/L235</f>
        <v>1.0412399268304742</v>
      </c>
    </row>
    <row r="236">
      <c r="A236" s="19" t="inlineStr">
        <is>
          <t>JEF</t>
        </is>
      </c>
      <c r="B236" s="14" t="inlineStr">
        <is>
          <t>—</t>
        </is>
      </c>
      <c r="C236" s="14" t="inlineStr">
        <is>
          <t>—</t>
        </is>
      </c>
      <c r="D236" s="6" t="inlineStr">
        <is>
          <t>投行與資本巿場</t>
        </is>
      </c>
      <c r="E236" s="61" t="n">
        <v>107</v>
      </c>
      <c r="F236" s="20" t="n">
        <v>47.35</v>
      </c>
      <c r="G236" s="20" t="n">
        <v>48.83</v>
      </c>
      <c r="H236" s="20" t="n">
        <v>55.25</v>
      </c>
      <c r="I236" s="11">
        <f>F236/G236-1</f>
        <v>-0.03030923612533276</v>
      </c>
      <c r="J236" s="11">
        <f>F236/H236-1</f>
        <v>-0.14298642533936645</v>
      </c>
      <c r="K236" s="13" t="n">
        <v>2936135</v>
      </c>
      <c r="L236" s="13" t="n">
        <v>1489800</v>
      </c>
      <c r="M236" s="21">
        <f>K236/L236</f>
        <v>1.9708249429453617</v>
      </c>
    </row>
    <row r="237">
      <c r="A237" s="19" t="inlineStr">
        <is>
          <t>JLL</t>
        </is>
      </c>
      <c r="B237" s="14" t="inlineStr">
        <is>
          <t>—</t>
        </is>
      </c>
      <c r="C237" s="14" t="inlineStr">
        <is>
          <t>—</t>
        </is>
      </c>
      <c r="D237" s="6" t="inlineStr">
        <is>
          <t>地產開發與服務</t>
        </is>
      </c>
      <c r="E237" s="61" t="n">
        <v>75</v>
      </c>
      <c r="F237" s="20" t="n">
        <v>340.18</v>
      </c>
      <c r="G237" s="20" t="n">
        <v>341.04</v>
      </c>
      <c r="H237" s="20" t="n">
        <v>346.2</v>
      </c>
      <c r="I237" s="11">
        <f>F237/G237-1</f>
        <v>-0.002521698334506217</v>
      </c>
      <c r="J237" s="11">
        <f>F237/H237-1</f>
        <v>-0.01738879260543036</v>
      </c>
      <c r="K237" s="13" t="n">
        <v>401975</v>
      </c>
      <c r="L237" s="13" t="n">
        <v>284000</v>
      </c>
      <c r="M237" s="21">
        <f>K237/L237</f>
        <v>1.4154049295774649</v>
      </c>
    </row>
    <row r="238">
      <c r="A238" s="19" t="inlineStr">
        <is>
          <t>JNJ</t>
        </is>
      </c>
      <c r="B238" s="14" t="inlineStr">
        <is>
          <t>—</t>
        </is>
      </c>
      <c r="C238" s="14" t="inlineStr">
        <is>
          <t>—</t>
        </is>
      </c>
      <c r="D238" s="6" t="inlineStr">
        <is>
          <t>大型藥廠</t>
        </is>
      </c>
      <c r="E238" s="61" t="n">
        <v>23</v>
      </c>
      <c r="F238" s="20" t="n">
        <v>267.28</v>
      </c>
      <c r="G238" s="20" t="n">
        <v>267.2</v>
      </c>
      <c r="H238" s="20" t="n">
        <v>267.08</v>
      </c>
      <c r="I238" s="11">
        <f>F238/G238-1</f>
        <v>0.0002994011976047428</v>
      </c>
      <c r="J238" s="11">
        <f>F238/H238-1</f>
        <v>0.0007488392990864234</v>
      </c>
      <c r="K238" s="13" t="n">
        <v>4887349</v>
      </c>
      <c r="L238" s="13" t="n">
        <v>6079100</v>
      </c>
      <c r="M238" s="21">
        <f>K238/L238</f>
        <v>0.8039593031863269</v>
      </c>
    </row>
    <row r="239">
      <c r="A239" s="19" t="inlineStr">
        <is>
          <t>JPM</t>
        </is>
      </c>
      <c r="B239" s="14" t="inlineStr">
        <is>
          <t>—</t>
        </is>
      </c>
      <c r="C239" s="14" t="inlineStr">
        <is>
          <t>—</t>
        </is>
      </c>
      <c r="D239" s="6" t="inlineStr">
        <is>
          <t>大型全能銀行</t>
        </is>
      </c>
      <c r="E239" s="61" t="n">
        <v>68</v>
      </c>
      <c r="F239" s="20" t="n">
        <v>348.92</v>
      </c>
      <c r="G239" s="20" t="n">
        <v>352.49</v>
      </c>
      <c r="H239" s="20" t="n">
        <v>354.71</v>
      </c>
      <c r="I239" s="11">
        <f>F239/G239-1</f>
        <v>-0.010127946892110384</v>
      </c>
      <c r="J239" s="11">
        <f>F239/H239-1</f>
        <v>-0.016323193594767416</v>
      </c>
      <c r="K239" s="13" t="n">
        <v>8301720</v>
      </c>
      <c r="L239" s="13" t="n">
        <v>5469650</v>
      </c>
      <c r="M239" s="21">
        <f>K239/L239</f>
        <v>1.5177790169389267</v>
      </c>
    </row>
    <row r="240">
      <c r="A240" s="19" t="inlineStr">
        <is>
          <t>KALU</t>
        </is>
      </c>
      <c r="B240" s="14" t="inlineStr">
        <is>
          <t>—</t>
        </is>
      </c>
      <c r="C240" s="14" t="inlineStr">
        <is>
          <t>—</t>
        </is>
      </c>
      <c r="D240" s="6" t="inlineStr">
        <is>
          <t>鋁業</t>
        </is>
      </c>
      <c r="E240" s="61" t="n">
        <v>102</v>
      </c>
      <c r="F240" s="20" t="n">
        <v>152.38</v>
      </c>
      <c r="G240" s="20" t="n">
        <v>149.97</v>
      </c>
      <c r="H240" s="20" t="n">
        <v>167.41</v>
      </c>
      <c r="I240" s="11">
        <f>F240/G240-1</f>
        <v>0.016069880642795242</v>
      </c>
      <c r="J240" s="11">
        <f>F240/H240-1</f>
        <v>-0.08977958305955436</v>
      </c>
      <c r="K240" s="13" t="n">
        <v>152324</v>
      </c>
      <c r="L240" s="13" t="n">
        <v>203000</v>
      </c>
      <c r="M240" s="21">
        <f>K240/L240</f>
        <v>0.7503645320197044</v>
      </c>
    </row>
    <row r="241">
      <c r="A241" s="19" t="inlineStr">
        <is>
          <t>KDP</t>
        </is>
      </c>
      <c r="B241" s="14" t="inlineStr">
        <is>
          <t>—</t>
        </is>
      </c>
      <c r="C241" s="14" t="inlineStr">
        <is>
          <t>—</t>
        </is>
      </c>
      <c r="D241" s="6" t="inlineStr">
        <is>
          <t>非酒精飲品</t>
        </is>
      </c>
      <c r="E241" s="61" t="n">
        <v>47</v>
      </c>
      <c r="F241" s="20" t="n">
        <v>31.8</v>
      </c>
      <c r="G241" s="20" t="n">
        <v>31.49</v>
      </c>
      <c r="H241" s="20" t="n">
        <v>32.08</v>
      </c>
      <c r="I241" s="11">
        <f>F241/G241-1</f>
        <v>0.009844395046046506</v>
      </c>
      <c r="J241" s="11">
        <f>F241/H241-1</f>
        <v>-0.00872817955112215</v>
      </c>
      <c r="K241" s="13" t="n">
        <v>11156435</v>
      </c>
      <c r="L241" s="13" t="n">
        <v>8653700</v>
      </c>
      <c r="M241" s="21">
        <f>K241/L241</f>
        <v>1.2892098177658111</v>
      </c>
    </row>
    <row r="242">
      <c r="A242" s="19" t="inlineStr">
        <is>
          <t>KGC</t>
        </is>
      </c>
      <c r="B242" s="14" t="inlineStr">
        <is>
          <t>—</t>
        </is>
      </c>
      <c r="C242" s="14" t="inlineStr">
        <is>
          <t>—</t>
        </is>
      </c>
      <c r="D242" s="6" t="inlineStr">
        <is>
          <t>黃金與貴金屬礦</t>
        </is>
      </c>
      <c r="E242" s="61" t="n">
        <v>66</v>
      </c>
      <c r="F242" s="20" t="n">
        <v>27.82</v>
      </c>
      <c r="G242" s="20" t="n">
        <v>28.04</v>
      </c>
      <c r="H242" s="20" t="n">
        <v>30.23</v>
      </c>
      <c r="I242" s="11">
        <f>F242/G242-1</f>
        <v>-0.007845934379457908</v>
      </c>
      <c r="J242" s="11">
        <f>F242/H242-1</f>
        <v>-0.07972213033410525</v>
      </c>
      <c r="K242" s="13" t="n">
        <v>7887226</v>
      </c>
      <c r="L242" s="13" t="n">
        <v>7989700</v>
      </c>
      <c r="M242" s="21">
        <f>K242/L242</f>
        <v>0.9871742368299186</v>
      </c>
    </row>
    <row r="243">
      <c r="A243" s="19" t="inlineStr">
        <is>
          <t>KHC</t>
        </is>
      </c>
      <c r="B243" s="14" t="inlineStr">
        <is>
          <t>—</t>
        </is>
      </c>
      <c r="C243" s="14" t="inlineStr">
        <is>
          <t>—</t>
        </is>
      </c>
      <c r="D243" s="6" t="inlineStr">
        <is>
          <t>食品加工</t>
        </is>
      </c>
      <c r="E243" s="61" t="n">
        <v>30</v>
      </c>
      <c r="F243" s="20" t="n">
        <v>24.73</v>
      </c>
      <c r="G243" s="20" t="n">
        <v>24.73</v>
      </c>
      <c r="H243" s="20" t="n">
        <v>24.61</v>
      </c>
      <c r="I243" s="11">
        <f>F243/G243-1</f>
        <v>0.0</v>
      </c>
      <c r="J243" s="11">
        <f>F243/H243-1</f>
        <v>0.004876066639577514</v>
      </c>
      <c r="K243" s="13" t="n">
        <v>13874782</v>
      </c>
      <c r="L243" s="13" t="n">
        <v>18496300</v>
      </c>
      <c r="M243" s="21">
        <f>K243/L243</f>
        <v>0.7501382438649892</v>
      </c>
    </row>
    <row r="244">
      <c r="A244" s="19" t="inlineStr">
        <is>
          <t>KIM</t>
        </is>
      </c>
      <c r="B244" s="14" t="inlineStr">
        <is>
          <t>—</t>
        </is>
      </c>
      <c r="C244" s="14" t="inlineStr">
        <is>
          <t>—</t>
        </is>
      </c>
      <c r="D244" s="6" t="inlineStr">
        <is>
          <t>零售與購物中心REIT</t>
        </is>
      </c>
      <c r="E244" s="61" t="n">
        <v>98</v>
      </c>
      <c r="F244" s="20" t="n">
        <v>22.59</v>
      </c>
      <c r="G244" s="20" t="n">
        <v>22.99</v>
      </c>
      <c r="H244" s="20" t="n">
        <v>23.57</v>
      </c>
      <c r="I244" s="11">
        <f>F244/G244-1</f>
        <v>-0.01739886907351018</v>
      </c>
      <c r="J244" s="11">
        <f>F244/H244-1</f>
        <v>-0.04157827747136189</v>
      </c>
      <c r="K244" s="13" t="n">
        <v>6283488</v>
      </c>
      <c r="L244" s="13" t="n">
        <v>4822750</v>
      </c>
      <c r="M244" s="21">
        <f>K244/L244</f>
        <v>1.3028848685915713</v>
      </c>
    </row>
    <row r="245">
      <c r="A245" s="19" t="inlineStr">
        <is>
          <t>KKR</t>
        </is>
      </c>
      <c r="B245" s="14" t="inlineStr">
        <is>
          <t>—</t>
        </is>
      </c>
      <c r="C245" s="14" t="inlineStr">
        <is>
          <t>—</t>
        </is>
      </c>
      <c r="D245" s="6" t="inlineStr">
        <is>
          <t>另類資產與私募信貸</t>
        </is>
      </c>
      <c r="E245" s="61" t="n">
        <v>100</v>
      </c>
      <c r="F245" s="20" t="n">
        <v>96.84</v>
      </c>
      <c r="G245" s="20" t="n">
        <v>100</v>
      </c>
      <c r="H245" s="20" t="n">
        <v>104.09</v>
      </c>
      <c r="I245" s="11">
        <f>F245/G245-1</f>
        <v>-0.03159999999999996</v>
      </c>
      <c r="J245" s="11">
        <f>F245/H245-1</f>
        <v>-0.06965126332981075</v>
      </c>
      <c r="K245" s="13" t="n">
        <v>4046978</v>
      </c>
      <c r="L245" s="13" t="n">
        <v>3716500</v>
      </c>
      <c r="M245" s="21">
        <f>K245/L245</f>
        <v>1.0889218350598682</v>
      </c>
    </row>
    <row r="246">
      <c r="A246" s="19" t="inlineStr">
        <is>
          <t>KLAC</t>
        </is>
      </c>
      <c r="B246" s="14" t="inlineStr">
        <is>
          <t>—</t>
        </is>
      </c>
      <c r="C246" s="14" t="inlineStr">
        <is>
          <t>—</t>
        </is>
      </c>
      <c r="D246" s="6" t="inlineStr">
        <is>
          <t>半導體設備</t>
        </is>
      </c>
      <c r="E246" s="61" t="n">
        <v>88</v>
      </c>
      <c r="F246" s="20" t="n">
        <v>167.36</v>
      </c>
      <c r="G246" s="20" t="n">
        <v>168.02</v>
      </c>
      <c r="H246" s="20" t="n">
        <v>182.91</v>
      </c>
      <c r="I246" s="11">
        <f>F246/G246-1</f>
        <v>-0.003928103797167015</v>
      </c>
      <c r="J246" s="11">
        <f>F246/H246-1</f>
        <v>-0.08501448799956257</v>
      </c>
      <c r="K246" s="13" t="n">
        <v>6697165</v>
      </c>
      <c r="L246" s="13" t="n">
        <v>9003600</v>
      </c>
      <c r="M246" s="21">
        <f>K246/L246</f>
        <v>0.7438319116797726</v>
      </c>
    </row>
    <row r="247">
      <c r="A247" s="19" t="inlineStr">
        <is>
          <t>KMB</t>
        </is>
      </c>
      <c r="B247" s="14" t="inlineStr">
        <is>
          <t>—</t>
        </is>
      </c>
      <c r="C247" s="14" t="inlineStr">
        <is>
          <t>—</t>
        </is>
      </c>
      <c r="D247" s="6" t="inlineStr">
        <is>
          <t>家庭與個人護理</t>
        </is>
      </c>
      <c r="E247" s="61" t="n">
        <v>15</v>
      </c>
      <c r="F247" s="20" t="n">
        <v>98.09999999999999</v>
      </c>
      <c r="G247" s="20" t="n">
        <v>98.68000000000001</v>
      </c>
      <c r="H247" s="20" t="n">
        <v>98.7</v>
      </c>
      <c r="I247" s="11">
        <f>F247/G247-1</f>
        <v>-0.005877584110255518</v>
      </c>
      <c r="J247" s="11">
        <f>F247/H247-1</f>
        <v>-0.006079027355623157</v>
      </c>
      <c r="K247" s="13" t="n">
        <v>3569420</v>
      </c>
      <c r="L247" s="13" t="n">
        <v>3646150</v>
      </c>
      <c r="M247" s="21">
        <f>K247/L247</f>
        <v>0.9789558849745622</v>
      </c>
    </row>
    <row r="248">
      <c r="A248" s="19" t="inlineStr">
        <is>
          <t>KMI</t>
        </is>
      </c>
      <c r="B248" s="14" t="inlineStr">
        <is>
          <t>—</t>
        </is>
      </c>
      <c r="C248" s="14" t="inlineStr">
        <is>
          <t>—</t>
        </is>
      </c>
      <c r="D248" s="6" t="inlineStr">
        <is>
          <t>中游與管道</t>
        </is>
      </c>
      <c r="E248" s="61" t="n">
        <v>86</v>
      </c>
      <c r="F248" s="20" t="n">
        <v>30.73</v>
      </c>
      <c r="G248" s="20" t="n">
        <v>30.77</v>
      </c>
      <c r="H248" s="20" t="n">
        <v>31.41</v>
      </c>
      <c r="I248" s="11">
        <f>F248/G248-1</f>
        <v>-0.0012999675008124045</v>
      </c>
      <c r="J248" s="11">
        <f>F248/H248-1</f>
        <v>-0.02164915631964337</v>
      </c>
      <c r="K248" s="13" t="n">
        <v>13092433</v>
      </c>
      <c r="L248" s="13" t="n">
        <v>11755550</v>
      </c>
      <c r="M248" s="21">
        <f>K248/L248</f>
        <v>1.1137235603608509</v>
      </c>
    </row>
    <row r="249">
      <c r="A249" s="19" t="inlineStr">
        <is>
          <t>KO</t>
        </is>
      </c>
      <c r="B249" s="14" t="inlineStr">
        <is>
          <t>—</t>
        </is>
      </c>
      <c r="C249" s="14" t="inlineStr">
        <is>
          <t>—</t>
        </is>
      </c>
      <c r="D249" s="6" t="inlineStr">
        <is>
          <t>非酒精飲品</t>
        </is>
      </c>
      <c r="E249" s="61" t="n">
        <v>47</v>
      </c>
      <c r="F249" s="20" t="n">
        <v>87.87</v>
      </c>
      <c r="G249" s="20" t="n">
        <v>88.70999999999999</v>
      </c>
      <c r="H249" s="20" t="n">
        <v>87.55</v>
      </c>
      <c r="I249" s="11">
        <f>F249/G249-1</f>
        <v>-0.009469056476158144</v>
      </c>
      <c r="J249" s="11">
        <f>F249/H249-1</f>
        <v>0.003655054254711576</v>
      </c>
      <c r="K249" s="13" t="n">
        <v>17073345</v>
      </c>
      <c r="L249" s="13" t="n">
        <v>14426900</v>
      </c>
      <c r="M249" s="21">
        <f>K249/L249</f>
        <v>1.1834382299731752</v>
      </c>
    </row>
    <row r="250">
      <c r="A250" s="19" t="inlineStr">
        <is>
          <t>KR</t>
        </is>
      </c>
      <c r="B250" s="14" t="inlineStr">
        <is>
          <t>—</t>
        </is>
      </c>
      <c r="C250" s="14" t="inlineStr">
        <is>
          <t>—</t>
        </is>
      </c>
      <c r="D250" s="6" t="inlineStr">
        <is>
          <t>大賣場與超巿</t>
        </is>
      </c>
      <c r="E250" s="61" t="n">
        <v>36</v>
      </c>
      <c r="F250" s="20" t="n">
        <v>61.14</v>
      </c>
      <c r="G250" s="20" t="n">
        <v>62.25</v>
      </c>
      <c r="H250" s="20" t="n">
        <v>56.44</v>
      </c>
      <c r="I250" s="11">
        <f>F250/G250-1</f>
        <v>-0.017831325301204792</v>
      </c>
      <c r="J250" s="11">
        <f>F250/H250-1</f>
        <v>0.08327427356484773</v>
      </c>
      <c r="K250" s="13" t="n">
        <v>8506724</v>
      </c>
      <c r="L250" s="13" t="n">
        <v>6199450</v>
      </c>
      <c r="M250" s="21">
        <f>K250/L250</f>
        <v>1.372173983175927</v>
      </c>
    </row>
    <row r="251">
      <c r="A251" s="19" t="inlineStr">
        <is>
          <t>KTOS</t>
        </is>
      </c>
      <c r="B251" s="14" t="inlineStr">
        <is>
          <t>—</t>
        </is>
      </c>
      <c r="C251" s="14" t="inlineStr">
        <is>
          <t>—</t>
        </is>
      </c>
      <c r="D251" s="6" t="inlineStr">
        <is>
          <t>國防科技與無人機</t>
        </is>
      </c>
      <c r="E251" s="61" t="n">
        <v>7</v>
      </c>
      <c r="F251" s="20" t="n">
        <v>47.59</v>
      </c>
      <c r="G251" s="20" t="n">
        <v>47.62</v>
      </c>
      <c r="H251" s="20" t="n">
        <v>46.74</v>
      </c>
      <c r="I251" s="11">
        <f>F251/G251-1</f>
        <v>-0.0006299874002518857</v>
      </c>
      <c r="J251" s="11">
        <f>F251/H251-1</f>
        <v>0.01818570817287113</v>
      </c>
      <c r="K251" s="13" t="n">
        <v>3961676</v>
      </c>
      <c r="L251" s="13" t="n">
        <v>3152200</v>
      </c>
      <c r="M251" s="21">
        <f>K251/L251</f>
        <v>1.2567971575407653</v>
      </c>
    </row>
    <row r="252">
      <c r="A252" s="19" t="inlineStr">
        <is>
          <t>LAMR</t>
        </is>
      </c>
      <c r="B252" s="14" t="inlineStr">
        <is>
          <t>—</t>
        </is>
      </c>
      <c r="C252" s="14" t="inlineStr">
        <is>
          <t>—</t>
        </is>
      </c>
      <c r="D252" s="6" t="inlineStr">
        <is>
          <t>特殊型REIT（自存倉/賭場/廣告牌）</t>
        </is>
      </c>
      <c r="E252" s="61" t="n">
        <v>55</v>
      </c>
      <c r="F252" s="20" t="n">
        <v>147.53</v>
      </c>
      <c r="G252" s="20" t="n">
        <v>147.82</v>
      </c>
      <c r="H252" s="20" t="n">
        <v>148.83</v>
      </c>
      <c r="I252" s="11">
        <f>F252/G252-1</f>
        <v>-0.0019618454877553537</v>
      </c>
      <c r="J252" s="11">
        <f>F252/H252-1</f>
        <v>-0.00873479809178268</v>
      </c>
      <c r="K252" s="13" t="n">
        <v>470939</v>
      </c>
      <c r="L252" s="13" t="n">
        <v>455250</v>
      </c>
      <c r="M252" s="21">
        <f>K252/L252</f>
        <v>1.034462383305876</v>
      </c>
    </row>
    <row r="253">
      <c r="A253" s="19" t="inlineStr">
        <is>
          <t>LAZ</t>
        </is>
      </c>
      <c r="B253" s="14" t="inlineStr">
        <is>
          <t>—</t>
        </is>
      </c>
      <c r="C253" s="14" t="inlineStr">
        <is>
          <t>—</t>
        </is>
      </c>
      <c r="D253" s="6" t="inlineStr">
        <is>
          <t>投行與資本巿場</t>
        </is>
      </c>
      <c r="E253" s="61" t="n">
        <v>107</v>
      </c>
      <c r="F253" s="20" t="n">
        <v>36.61</v>
      </c>
      <c r="G253" s="20" t="n">
        <v>38.63</v>
      </c>
      <c r="H253" s="20" t="n">
        <v>42.67</v>
      </c>
      <c r="I253" s="11">
        <f>F253/G253-1</f>
        <v>-0.05229096557079993</v>
      </c>
      <c r="J253" s="11">
        <f>F253/H253-1</f>
        <v>-0.14202015467541607</v>
      </c>
      <c r="K253" s="13" t="n">
        <v>2352733</v>
      </c>
      <c r="L253" s="13" t="n">
        <v>1179450</v>
      </c>
      <c r="M253" s="21">
        <f>K253/L253</f>
        <v>1.9947712917037603</v>
      </c>
    </row>
    <row r="254">
      <c r="A254" s="19" t="inlineStr">
        <is>
          <t>LCID</t>
        </is>
      </c>
      <c r="B254" s="14" t="inlineStr">
        <is>
          <t>—</t>
        </is>
      </c>
      <c r="C254" s="14" t="inlineStr">
        <is>
          <t>—</t>
        </is>
      </c>
      <c r="D254" s="6" t="inlineStr">
        <is>
          <t>電動車與新能源車</t>
        </is>
      </c>
      <c r="E254" s="61" t="n">
        <v>87</v>
      </c>
      <c r="F254" s="20" t="n">
        <v>4.04</v>
      </c>
      <c r="G254" s="20" t="n">
        <v>4.12</v>
      </c>
      <c r="H254" s="20" t="n">
        <v>4.27</v>
      </c>
      <c r="I254" s="11">
        <f>F254/G254-1</f>
        <v>-0.01941747572815533</v>
      </c>
      <c r="J254" s="11">
        <f>F254/H254-1</f>
        <v>-0.05386416861826693</v>
      </c>
      <c r="K254" s="13" t="n">
        <v>11831534</v>
      </c>
      <c r="L254" s="13" t="n">
        <v>10594750</v>
      </c>
      <c r="M254" s="21">
        <f>K254/L254</f>
        <v>1.116735552986149</v>
      </c>
    </row>
    <row r="255">
      <c r="A255" s="19" t="inlineStr">
        <is>
          <t>LEA</t>
        </is>
      </c>
      <c r="B255" s="14" t="inlineStr">
        <is>
          <t>—</t>
        </is>
      </c>
      <c r="C255" s="14" t="inlineStr">
        <is>
          <t>—</t>
        </is>
      </c>
      <c r="D255" s="6" t="inlineStr">
        <is>
          <t>傳統汽車與零部件</t>
        </is>
      </c>
      <c r="E255" s="61" t="n">
        <v>65</v>
      </c>
      <c r="F255" s="20" t="n">
        <v>123.19</v>
      </c>
      <c r="G255" s="20" t="n">
        <v>126.18</v>
      </c>
      <c r="H255" s="20" t="n">
        <v>126.93</v>
      </c>
      <c r="I255" s="11">
        <f>F255/G255-1</f>
        <v>-0.023696306863211336</v>
      </c>
      <c r="J255" s="11">
        <f>F255/H255-1</f>
        <v>-0.02946505948160405</v>
      </c>
      <c r="K255" s="13" t="n">
        <v>1103824</v>
      </c>
      <c r="L255" s="13" t="n">
        <v>497750</v>
      </c>
      <c r="M255" s="21">
        <f>K255/L255</f>
        <v>2.2176273229532897</v>
      </c>
    </row>
    <row r="256">
      <c r="A256" s="19" t="inlineStr">
        <is>
          <t>LEGN</t>
        </is>
      </c>
      <c r="B256" s="14" t="inlineStr">
        <is>
          <t>—</t>
        </is>
      </c>
      <c r="C256" s="14" t="inlineStr">
        <is>
          <t>—</t>
        </is>
      </c>
      <c r="D256" s="6" t="inlineStr">
        <is>
          <t>腫瘤與細胞治療</t>
        </is>
      </c>
      <c r="E256" s="61" t="n">
        <v>50</v>
      </c>
      <c r="F256" s="20" t="n">
        <v>17</v>
      </c>
      <c r="G256" s="20" t="n">
        <v>17.67</v>
      </c>
      <c r="H256" s="20" t="n">
        <v>19.91</v>
      </c>
      <c r="I256" s="11">
        <f>F256/G256-1</f>
        <v>-0.03791737408036233</v>
      </c>
      <c r="J256" s="11">
        <f>F256/H256-1</f>
        <v>-0.1461577096936213</v>
      </c>
      <c r="K256" s="13" t="n">
        <v>3524374</v>
      </c>
      <c r="L256" s="13" t="n">
        <v>1534000</v>
      </c>
      <c r="M256" s="21">
        <f>K256/L256</f>
        <v>2.297505867014342</v>
      </c>
    </row>
    <row r="257">
      <c r="A257" s="39" t="inlineStr">
        <is>
          <t>LEN</t>
        </is>
      </c>
      <c r="B257" s="93" t="inlineStr">
        <is>
          <t>—</t>
        </is>
      </c>
      <c r="C257" s="94" t="inlineStr">
        <is>
          <t>住宅建築商</t>
        </is>
      </c>
      <c r="D257" s="40" t="inlineStr">
        <is>
          <t>住宅建築商</t>
        </is>
      </c>
      <c r="E257" s="67" t="n">
        <v>44</v>
      </c>
      <c r="F257" s="41" t="n">
        <v>78.36</v>
      </c>
      <c r="G257" s="41" t="n">
        <v>80.06999999999999</v>
      </c>
      <c r="H257" s="41" t="n">
        <v>80.76000000000001</v>
      </c>
      <c r="I257" s="42">
        <f>F257/G257-1</f>
        <v>-0.021356313225927237</v>
      </c>
      <c r="J257" s="42">
        <f>F257/H257-1</f>
        <v>-0.029717682020802494</v>
      </c>
      <c r="K257" s="43" t="n">
        <v>6117645</v>
      </c>
      <c r="L257" s="43" t="n">
        <v>2451200</v>
      </c>
      <c r="M257" s="44">
        <f>K257/L257</f>
        <v>2.4957755385117495</v>
      </c>
    </row>
    <row r="258">
      <c r="A258" s="19" t="inlineStr">
        <is>
          <t>LEU</t>
        </is>
      </c>
      <c r="B258" s="14" t="inlineStr">
        <is>
          <t>—</t>
        </is>
      </c>
      <c r="C258" s="14" t="inlineStr">
        <is>
          <t>—</t>
        </is>
      </c>
      <c r="D258" s="6" t="inlineStr">
        <is>
          <t>鈾與核燃料</t>
        </is>
      </c>
      <c r="E258" s="61" t="n">
        <v>111</v>
      </c>
      <c r="F258" s="20" t="n">
        <v>139.01</v>
      </c>
      <c r="G258" s="20" t="n">
        <v>142.12</v>
      </c>
      <c r="H258" s="20" t="n">
        <v>181.49</v>
      </c>
      <c r="I258" s="11">
        <f>F258/G258-1</f>
        <v>-0.021882915845764184</v>
      </c>
      <c r="J258" s="11">
        <f>F258/H258-1</f>
        <v>-0.2340624827814205</v>
      </c>
      <c r="K258" s="13" t="n">
        <v>964970</v>
      </c>
      <c r="L258" s="13" t="n">
        <v>614700</v>
      </c>
      <c r="M258" s="21">
        <f>K258/L258</f>
        <v>1.5698226777289734</v>
      </c>
    </row>
    <row r="259">
      <c r="A259" s="19" t="inlineStr">
        <is>
          <t>LHX</t>
        </is>
      </c>
      <c r="B259" s="14" t="inlineStr">
        <is>
          <t>—</t>
        </is>
      </c>
      <c r="C259" s="14" t="inlineStr">
        <is>
          <t>—</t>
        </is>
      </c>
      <c r="D259" s="6" t="inlineStr">
        <is>
          <t>航太與國防</t>
        </is>
      </c>
      <c r="E259" s="61" t="n">
        <v>26</v>
      </c>
      <c r="F259" s="20" t="n">
        <v>250.74</v>
      </c>
      <c r="G259" s="20" t="n">
        <v>249.66</v>
      </c>
      <c r="H259" s="20" t="n">
        <v>250.41</v>
      </c>
      <c r="I259" s="11">
        <f>F259/G259-1</f>
        <v>0.00432588320115368</v>
      </c>
      <c r="J259" s="11">
        <f>F259/H259-1</f>
        <v>0.001317838744459232</v>
      </c>
      <c r="K259" s="13" t="n">
        <v>1285261</v>
      </c>
      <c r="L259" s="13" t="n">
        <v>1595500</v>
      </c>
      <c r="M259" s="21">
        <f>K259/L259</f>
        <v>0.8055537449075525</v>
      </c>
    </row>
    <row r="260">
      <c r="A260" s="19" t="inlineStr">
        <is>
          <t>LII</t>
        </is>
      </c>
      <c r="B260" s="14" t="inlineStr">
        <is>
          <t>—</t>
        </is>
      </c>
      <c r="C260" s="14" t="inlineStr">
        <is>
          <t>—</t>
        </is>
      </c>
      <c r="D260" s="6" t="inlineStr">
        <is>
          <t>樓宇產品與HVAC</t>
        </is>
      </c>
      <c r="E260" s="61" t="n">
        <v>64</v>
      </c>
      <c r="F260" s="20" t="n">
        <v>361.04</v>
      </c>
      <c r="G260" s="20" t="n">
        <v>362.19</v>
      </c>
      <c r="H260" s="20" t="n">
        <v>375.78</v>
      </c>
      <c r="I260" s="11">
        <f>F260/G260-1</f>
        <v>-0.003175129075899341</v>
      </c>
      <c r="J260" s="11">
        <f>F260/H260-1</f>
        <v>-0.03922507850337953</v>
      </c>
      <c r="K260" s="13" t="n">
        <v>421322</v>
      </c>
      <c r="L260" s="13" t="n">
        <v>463350</v>
      </c>
      <c r="M260" s="21">
        <f>K260/L260</f>
        <v>0.9092953490881623</v>
      </c>
    </row>
    <row r="261">
      <c r="A261" s="19" t="inlineStr">
        <is>
          <t>LIN</t>
        </is>
      </c>
      <c r="B261" s="14" t="inlineStr">
        <is>
          <t>—</t>
        </is>
      </c>
      <c r="C261" s="14" t="inlineStr">
        <is>
          <t>—</t>
        </is>
      </c>
      <c r="D261" s="6" t="inlineStr">
        <is>
          <t>特種化工</t>
        </is>
      </c>
      <c r="E261" s="61" t="n">
        <v>46</v>
      </c>
      <c r="F261" s="20" t="n">
        <v>462.09</v>
      </c>
      <c r="G261" s="20" t="n">
        <v>462.96</v>
      </c>
      <c r="H261" s="20" t="n">
        <v>466.65</v>
      </c>
      <c r="I261" s="11">
        <f>F261/G261-1</f>
        <v>-0.0018792120269569557</v>
      </c>
      <c r="J261" s="11">
        <f>F261/H261-1</f>
        <v>-0.009771777563484463</v>
      </c>
      <c r="K261" s="13" t="n">
        <v>1337299</v>
      </c>
      <c r="L261" s="13" t="n">
        <v>1871500</v>
      </c>
      <c r="M261" s="21">
        <f>K261/L261</f>
        <v>0.71455997862677</v>
      </c>
    </row>
    <row r="262">
      <c r="A262" s="58" t="inlineStr">
        <is>
          <t>LITE</t>
        </is>
      </c>
      <c r="B262" s="88" t="inlineStr">
        <is>
          <t>⑤</t>
        </is>
      </c>
      <c r="C262" s="89" t="inlineStr">
        <is>
          <t>—</t>
        </is>
      </c>
      <c r="D262" s="60" t="inlineStr">
        <is>
          <t>光通訊/CPO</t>
        </is>
      </c>
      <c r="E262" s="49" t="n">
        <v>34</v>
      </c>
      <c r="F262" s="90" t="n">
        <v>919.4</v>
      </c>
      <c r="G262" s="90" t="n">
        <v>838.96</v>
      </c>
      <c r="H262" s="90" t="n">
        <v>988.98</v>
      </c>
      <c r="I262" s="53">
        <f>F262/G262-1</f>
        <v>0.09588061409363968</v>
      </c>
      <c r="J262" s="53">
        <f>F262/H262-1</f>
        <v>-0.07035531557766594</v>
      </c>
      <c r="K262" s="91" t="n">
        <v>6452242</v>
      </c>
      <c r="L262" s="91" t="n">
        <v>3876650</v>
      </c>
      <c r="M262" s="92">
        <f>K262/L262</f>
        <v>1.6643860033792062</v>
      </c>
    </row>
    <row r="263">
      <c r="A263" s="19" t="inlineStr">
        <is>
          <t>LLY</t>
        </is>
      </c>
      <c r="B263" s="14" t="inlineStr">
        <is>
          <t>—</t>
        </is>
      </c>
      <c r="C263" s="14" t="inlineStr">
        <is>
          <t>—</t>
        </is>
      </c>
      <c r="D263" s="6" t="inlineStr">
        <is>
          <t>大型藥廠、GLP-1減重與代謝</t>
        </is>
      </c>
      <c r="E263" s="61" t="n">
        <v>23</v>
      </c>
      <c r="F263" s="20" t="n">
        <v>1137.8199</v>
      </c>
      <c r="G263" s="20" t="n">
        <v>1136.11</v>
      </c>
      <c r="H263" s="20" t="n">
        <v>1124.21</v>
      </c>
      <c r="I263" s="11">
        <f>F263/G263-1</f>
        <v>0.001505047926697367</v>
      </c>
      <c r="J263" s="11">
        <f>F263/H263-1</f>
        <v>0.012106190124620886</v>
      </c>
      <c r="K263" s="13" t="n">
        <v>1474777</v>
      </c>
      <c r="L263" s="13" t="n">
        <v>2447950</v>
      </c>
      <c r="M263" s="21">
        <f>K263/L263</f>
        <v>0.6024538899895832</v>
      </c>
    </row>
    <row r="264">
      <c r="A264" s="19" t="inlineStr">
        <is>
          <t>LMT</t>
        </is>
      </c>
      <c r="B264" s="14" t="inlineStr">
        <is>
          <t>—</t>
        </is>
      </c>
      <c r="C264" s="14" t="inlineStr">
        <is>
          <t>—</t>
        </is>
      </c>
      <c r="D264" s="6" t="inlineStr">
        <is>
          <t>航太與國防</t>
        </is>
      </c>
      <c r="E264" s="61" t="n">
        <v>26</v>
      </c>
      <c r="F264" s="20" t="n">
        <v>537.25</v>
      </c>
      <c r="G264" s="20" t="n">
        <v>533.46</v>
      </c>
      <c r="H264" s="20" t="n">
        <v>524.46</v>
      </c>
      <c r="I264" s="11">
        <f>F264/G264-1</f>
        <v>0.0071045626663666095</v>
      </c>
      <c r="J264" s="11">
        <f>F264/H264-1</f>
        <v>0.024386988521526876</v>
      </c>
      <c r="K264" s="13" t="n">
        <v>911551</v>
      </c>
      <c r="L264" s="13" t="n">
        <v>1015300</v>
      </c>
      <c r="M264" s="21">
        <f>K264/L264</f>
        <v>0.8978144390820447</v>
      </c>
    </row>
    <row r="265">
      <c r="A265" s="19" t="inlineStr">
        <is>
          <t>LNC</t>
        </is>
      </c>
      <c r="B265" s="14" t="inlineStr">
        <is>
          <t>—</t>
        </is>
      </c>
      <c r="C265" s="14" t="inlineStr">
        <is>
          <t>—</t>
        </is>
      </c>
      <c r="D265" s="6" t="inlineStr">
        <is>
          <t>壽險與年金</t>
        </is>
      </c>
      <c r="E265" s="61" t="n">
        <v>12</v>
      </c>
      <c r="F265" s="20" t="n">
        <v>42.45</v>
      </c>
      <c r="G265" s="20" t="n">
        <v>43.44</v>
      </c>
      <c r="H265" s="20" t="n">
        <v>43.54</v>
      </c>
      <c r="I265" s="11">
        <f>F265/G265-1</f>
        <v>-0.022790055248618657</v>
      </c>
      <c r="J265" s="11">
        <f>F265/H265-1</f>
        <v>-0.025034451079467113</v>
      </c>
      <c r="K265" s="13" t="n">
        <v>2446272</v>
      </c>
      <c r="L265" s="13" t="n">
        <v>1768950</v>
      </c>
      <c r="M265" s="21">
        <f>K265/L265</f>
        <v>1.3828949376748918</v>
      </c>
    </row>
    <row r="266">
      <c r="A266" s="19" t="inlineStr">
        <is>
          <t>LNG</t>
        </is>
      </c>
      <c r="B266" s="14" t="inlineStr">
        <is>
          <t>—</t>
        </is>
      </c>
      <c r="C266" s="14" t="inlineStr">
        <is>
          <t>—</t>
        </is>
      </c>
      <c r="D266" s="6" t="inlineStr">
        <is>
          <t>LNG液化天然氣</t>
        </is>
      </c>
      <c r="E266" s="61" t="n">
        <v>72</v>
      </c>
      <c r="F266" s="20" t="n">
        <v>267.75</v>
      </c>
      <c r="G266" s="20" t="n">
        <v>270.98</v>
      </c>
      <c r="H266" s="20" t="n">
        <v>275.93</v>
      </c>
      <c r="I266" s="11">
        <f>F266/G266-1</f>
        <v>-0.011919698870765383</v>
      </c>
      <c r="J266" s="11">
        <f>F266/H266-1</f>
        <v>-0.02964519986953218</v>
      </c>
      <c r="K266" s="13" t="n">
        <v>1701700</v>
      </c>
      <c r="L266" s="13" t="n">
        <v>1722100</v>
      </c>
      <c r="M266" s="21">
        <f>K266/L266</f>
        <v>0.9881539980256664</v>
      </c>
    </row>
    <row r="267">
      <c r="A267" s="19" t="inlineStr">
        <is>
          <t>LOW</t>
        </is>
      </c>
      <c r="B267" s="14" t="inlineStr">
        <is>
          <t>—</t>
        </is>
      </c>
      <c r="C267" s="14" t="inlineStr">
        <is>
          <t>—</t>
        </is>
      </c>
      <c r="D267" s="6" t="inlineStr">
        <is>
          <t>專門零售</t>
        </is>
      </c>
      <c r="E267" s="61" t="n">
        <v>74</v>
      </c>
      <c r="F267" s="20" t="n">
        <v>194.1</v>
      </c>
      <c r="G267" s="20" t="n">
        <v>194.61</v>
      </c>
      <c r="H267" s="20" t="n">
        <v>198.6</v>
      </c>
      <c r="I267" s="11">
        <f>F267/G267-1</f>
        <v>-0.0026206258671189753</v>
      </c>
      <c r="J267" s="11">
        <f>F267/H267-1</f>
        <v>-0.0226586102719033</v>
      </c>
      <c r="K267" s="13" t="n">
        <v>2983635</v>
      </c>
      <c r="L267" s="13" t="n">
        <v>3006150</v>
      </c>
      <c r="M267" s="21">
        <f>K267/L267</f>
        <v>0.9925103537747617</v>
      </c>
    </row>
    <row r="268">
      <c r="A268" s="19" t="inlineStr">
        <is>
          <t>LRCX</t>
        </is>
      </c>
      <c r="B268" s="14" t="inlineStr">
        <is>
          <t>—</t>
        </is>
      </c>
      <c r="C268" s="14" t="inlineStr">
        <is>
          <t>—</t>
        </is>
      </c>
      <c r="D268" s="6" t="inlineStr">
        <is>
          <t>半導體設備</t>
        </is>
      </c>
      <c r="E268" s="61" t="n">
        <v>88</v>
      </c>
      <c r="F268" s="20" t="n">
        <v>269.23</v>
      </c>
      <c r="G268" s="20" t="n">
        <v>270.87</v>
      </c>
      <c r="H268" s="20" t="n">
        <v>315.84</v>
      </c>
      <c r="I268" s="11">
        <f>F268/G268-1</f>
        <v>-0.006054564920441541</v>
      </c>
      <c r="J268" s="11">
        <f>F268/H268-1</f>
        <v>-0.14757472137791272</v>
      </c>
      <c r="K268" s="13" t="n">
        <v>6933222</v>
      </c>
      <c r="L268" s="13" t="n">
        <v>8153650</v>
      </c>
      <c r="M268" s="21">
        <f>K268/L268</f>
        <v>0.8503212671625591</v>
      </c>
    </row>
    <row r="269">
      <c r="A269" s="19" t="inlineStr">
        <is>
          <t>LRN</t>
        </is>
      </c>
      <c r="B269" s="14" t="inlineStr">
        <is>
          <t>—</t>
        </is>
      </c>
      <c r="C269" s="14" t="inlineStr">
        <is>
          <t>—</t>
        </is>
      </c>
      <c r="D269" s="6" t="inlineStr">
        <is>
          <t>教育與消費服務</t>
        </is>
      </c>
      <c r="E269" s="61" t="n">
        <v>27</v>
      </c>
      <c r="F269" s="20" t="n">
        <v>82.04000000000001</v>
      </c>
      <c r="G269" s="20" t="n">
        <v>83.56</v>
      </c>
      <c r="H269" s="20" t="n">
        <v>81.70999999999999</v>
      </c>
      <c r="I269" s="11">
        <f>F269/G269-1</f>
        <v>-0.018190521780756308</v>
      </c>
      <c r="J269" s="11">
        <f>F269/H269-1</f>
        <v>0.004038673356994371</v>
      </c>
      <c r="K269" s="13" t="n">
        <v>875739</v>
      </c>
      <c r="L269" s="13" t="n">
        <v>538300</v>
      </c>
      <c r="M269" s="21">
        <f>K269/L269</f>
        <v>1.6268604867174439</v>
      </c>
    </row>
    <row r="270">
      <c r="A270" s="19" t="inlineStr">
        <is>
          <t>LULU</t>
        </is>
      </c>
      <c r="B270" s="14" t="inlineStr">
        <is>
          <t>—</t>
        </is>
      </c>
      <c r="C270" s="14" t="inlineStr">
        <is>
          <t>—</t>
        </is>
      </c>
      <c r="D270" s="6" t="inlineStr">
        <is>
          <t>服裝與奢侈品</t>
        </is>
      </c>
      <c r="E270" s="61" t="n">
        <v>79</v>
      </c>
      <c r="F270" s="20" t="n">
        <v>95.98</v>
      </c>
      <c r="G270" s="20" t="n">
        <v>98.37</v>
      </c>
      <c r="H270" s="20" t="n">
        <v>99.72</v>
      </c>
      <c r="I270" s="11">
        <f>F270/G270-1</f>
        <v>-0.02429602521093832</v>
      </c>
      <c r="J270" s="11">
        <f>F270/H270-1</f>
        <v>-0.03750501403931006</v>
      </c>
      <c r="K270" s="13" t="n">
        <v>3898772</v>
      </c>
      <c r="L270" s="13" t="n">
        <v>3932300</v>
      </c>
      <c r="M270" s="21">
        <f>K270/L270</f>
        <v>0.991473692241182</v>
      </c>
    </row>
    <row r="271">
      <c r="A271" s="19" t="inlineStr">
        <is>
          <t>LUNR</t>
        </is>
      </c>
      <c r="B271" s="14" t="inlineStr">
        <is>
          <t>—</t>
        </is>
      </c>
      <c r="C271" s="14" t="inlineStr">
        <is>
          <t>—</t>
        </is>
      </c>
      <c r="D271" s="6" t="inlineStr">
        <is>
          <t>太空與衛星</t>
        </is>
      </c>
      <c r="E271" s="61" t="n">
        <v>40</v>
      </c>
      <c r="F271" s="20" t="n">
        <v>13.87</v>
      </c>
      <c r="G271" s="20" t="n">
        <v>13.87</v>
      </c>
      <c r="H271" s="20" t="n">
        <v>14.94</v>
      </c>
      <c r="I271" s="11">
        <f>F271/G271-1</f>
        <v>0.0</v>
      </c>
      <c r="J271" s="11">
        <f>F271/H271-1</f>
        <v>-0.07161981258366801</v>
      </c>
      <c r="K271" s="13" t="n">
        <v>6184327</v>
      </c>
      <c r="L271" s="13" t="n">
        <v>6290550</v>
      </c>
      <c r="M271" s="21">
        <f>K271/L271</f>
        <v>0.9831138771649538</v>
      </c>
    </row>
    <row r="272">
      <c r="A272" s="19" t="inlineStr">
        <is>
          <t>LUV</t>
        </is>
      </c>
      <c r="B272" s="14" t="inlineStr">
        <is>
          <t>—</t>
        </is>
      </c>
      <c r="C272" s="14" t="inlineStr">
        <is>
          <t>—</t>
        </is>
      </c>
      <c r="D272" s="6" t="inlineStr">
        <is>
          <t>航空公司</t>
        </is>
      </c>
      <c r="E272" s="61" t="n">
        <v>49</v>
      </c>
      <c r="F272" s="20" t="n">
        <v>39.15</v>
      </c>
      <c r="G272" s="20" t="n">
        <v>39.28</v>
      </c>
      <c r="H272" s="20" t="n">
        <v>38.68</v>
      </c>
      <c r="I272" s="11">
        <f>F272/G272-1</f>
        <v>-0.0033095723014257006</v>
      </c>
      <c r="J272" s="11">
        <f>F272/H272-1</f>
        <v>0.012150982419855128</v>
      </c>
      <c r="K272" s="13" t="n">
        <v>7670142</v>
      </c>
      <c r="L272" s="13" t="n">
        <v>4609900</v>
      </c>
      <c r="M272" s="21">
        <f>K272/L272</f>
        <v>1.66384129807588</v>
      </c>
    </row>
    <row r="273">
      <c r="A273" s="19" t="inlineStr">
        <is>
          <t>LVS</t>
        </is>
      </c>
      <c r="B273" s="14" t="inlineStr">
        <is>
          <t>—</t>
        </is>
      </c>
      <c r="C273" s="14" t="inlineStr">
        <is>
          <t>—</t>
        </is>
      </c>
      <c r="D273" s="6" t="inlineStr">
        <is>
          <t>博彩與線上博彩</t>
        </is>
      </c>
      <c r="E273" s="61" t="n">
        <v>71</v>
      </c>
      <c r="F273" s="20" t="n">
        <v>41.06</v>
      </c>
      <c r="G273" s="20" t="n">
        <v>41.27</v>
      </c>
      <c r="H273" s="20" t="n">
        <v>43.33</v>
      </c>
      <c r="I273" s="11">
        <f>F273/G273-1</f>
        <v>-0.005088441967530888</v>
      </c>
      <c r="J273" s="11">
        <f>F273/H273-1</f>
        <v>-0.0523886452804061</v>
      </c>
      <c r="K273" s="13" t="n">
        <v>6021756</v>
      </c>
      <c r="L273" s="13" t="n">
        <v>4604300</v>
      </c>
      <c r="M273" s="21">
        <f>K273/L273</f>
        <v>1.3078548313533003</v>
      </c>
    </row>
    <row r="274">
      <c r="A274" s="19" t="inlineStr">
        <is>
          <t>LYB</t>
        </is>
      </c>
      <c r="B274" s="14" t="inlineStr">
        <is>
          <t>—</t>
        </is>
      </c>
      <c r="C274" s="14" t="inlineStr">
        <is>
          <t>—</t>
        </is>
      </c>
      <c r="D274" s="6" t="inlineStr">
        <is>
          <t>基礎化工與化肥</t>
        </is>
      </c>
      <c r="E274" s="61" t="n">
        <v>61</v>
      </c>
      <c r="F274" s="20" t="n">
        <v>64.90000000000001</v>
      </c>
      <c r="G274" s="20" t="n">
        <v>65.43000000000001</v>
      </c>
      <c r="H274" s="20" t="n">
        <v>64.51000000000001</v>
      </c>
      <c r="I274" s="11">
        <f>F274/G274-1</f>
        <v>-0.008100259819654565</v>
      </c>
      <c r="J274" s="11">
        <f>F274/H274-1</f>
        <v>0.006045574329561321</v>
      </c>
      <c r="K274" s="13" t="n">
        <v>4357643</v>
      </c>
      <c r="L274" s="13" t="n">
        <v>3159800</v>
      </c>
      <c r="M274" s="21">
        <f>K274/L274</f>
        <v>1.3790882334324956</v>
      </c>
    </row>
    <row r="275">
      <c r="A275" s="19" t="inlineStr">
        <is>
          <t>LYV</t>
        </is>
      </c>
      <c r="B275" s="14" t="inlineStr">
        <is>
          <t>—</t>
        </is>
      </c>
      <c r="C275" s="14" t="inlineStr">
        <is>
          <t>—</t>
        </is>
      </c>
      <c r="D275" s="6" t="inlineStr">
        <is>
          <t>傳媒與娛樂內容</t>
        </is>
      </c>
      <c r="E275" s="61" t="n">
        <v>29</v>
      </c>
      <c r="F275" s="20" t="n">
        <v>171.13</v>
      </c>
      <c r="G275" s="20" t="n">
        <v>170.24</v>
      </c>
      <c r="H275" s="20" t="n">
        <v>169.99</v>
      </c>
      <c r="I275" s="11">
        <f>F275/G275-1</f>
        <v>0.00522791353383445</v>
      </c>
      <c r="J275" s="11">
        <f>F275/H275-1</f>
        <v>0.006706276839814063</v>
      </c>
      <c r="K275" s="13" t="n">
        <v>1722336</v>
      </c>
      <c r="L275" s="13" t="n">
        <v>1665350</v>
      </c>
      <c r="M275" s="21">
        <f>K275/L275</f>
        <v>1.0342186327198486</v>
      </c>
    </row>
    <row r="276">
      <c r="A276" s="19" t="inlineStr">
        <is>
          <t>MA</t>
        </is>
      </c>
      <c r="B276" s="14" t="inlineStr">
        <is>
          <t>—</t>
        </is>
      </c>
      <c r="C276" s="14" t="inlineStr">
        <is>
          <t>—</t>
        </is>
      </c>
      <c r="D276" s="6" t="inlineStr">
        <is>
          <t>支付與收單</t>
        </is>
      </c>
      <c r="E276" s="61" t="n">
        <v>24</v>
      </c>
      <c r="F276" s="20" t="n">
        <v>567.75</v>
      </c>
      <c r="G276" s="20" t="n">
        <v>573.27</v>
      </c>
      <c r="H276" s="20" t="n">
        <v>567.5</v>
      </c>
      <c r="I276" s="11">
        <f>F276/G276-1</f>
        <v>-0.009628970642105772</v>
      </c>
      <c r="J276" s="11">
        <f>F276/H276-1</f>
        <v>0.0004405286343611703</v>
      </c>
      <c r="K276" s="13" t="n">
        <v>2385201</v>
      </c>
      <c r="L276" s="13" t="n">
        <v>2559500</v>
      </c>
      <c r="M276" s="21">
        <f>K276/L276</f>
        <v>0.9319011525688611</v>
      </c>
    </row>
    <row r="277">
      <c r="A277" s="19" t="inlineStr">
        <is>
          <t>MAA</t>
        </is>
      </c>
      <c r="B277" s="14" t="inlineStr">
        <is>
          <t>—</t>
        </is>
      </c>
      <c r="C277" s="14" t="inlineStr">
        <is>
          <t>—</t>
        </is>
      </c>
      <c r="D277" s="6" t="inlineStr">
        <is>
          <t>住宅公寓REIT</t>
        </is>
      </c>
      <c r="E277" s="61" t="n">
        <v>95</v>
      </c>
      <c r="F277" s="20" t="n">
        <v>121.9</v>
      </c>
      <c r="G277" s="20" t="n">
        <v>124.49</v>
      </c>
      <c r="H277" s="20" t="n">
        <v>127.48</v>
      </c>
      <c r="I277" s="11">
        <f>F277/G277-1</f>
        <v>-0.02080488392641966</v>
      </c>
      <c r="J277" s="11">
        <f>F277/H277-1</f>
        <v>-0.04377157201129589</v>
      </c>
      <c r="K277" s="13" t="n">
        <v>972356</v>
      </c>
      <c r="L277" s="13" t="n">
        <v>821050</v>
      </c>
      <c r="M277" s="21">
        <f>K277/L277</f>
        <v>1.1842835393703186</v>
      </c>
    </row>
    <row r="278">
      <c r="A278" s="19" t="inlineStr">
        <is>
          <t>MAN</t>
        </is>
      </c>
      <c r="B278" s="14" t="inlineStr">
        <is>
          <t>—</t>
        </is>
      </c>
      <c r="C278" s="14" t="inlineStr">
        <is>
          <t>—</t>
        </is>
      </c>
      <c r="D278" s="6" t="inlineStr">
        <is>
          <t>人力與商業服務</t>
        </is>
      </c>
      <c r="E278" s="61" t="n">
        <v>18</v>
      </c>
      <c r="F278" s="20" t="n">
        <v>57.93</v>
      </c>
      <c r="G278" s="20" t="n">
        <v>58.45</v>
      </c>
      <c r="H278" s="20" t="n">
        <v>56.72</v>
      </c>
      <c r="I278" s="11">
        <f>F278/G278-1</f>
        <v>-0.008896492728828087</v>
      </c>
      <c r="J278" s="11">
        <f>F278/H278-1</f>
        <v>0.021332863187588202</v>
      </c>
      <c r="K278" s="13" t="n">
        <v>702230</v>
      </c>
      <c r="L278" s="13" t="n">
        <v>751500</v>
      </c>
      <c r="M278" s="21">
        <f>K278/L278</f>
        <v>0.9344377910844976</v>
      </c>
    </row>
    <row r="279">
      <c r="A279" s="19" t="inlineStr">
        <is>
          <t>MAR</t>
        </is>
      </c>
      <c r="B279" s="14" t="inlineStr">
        <is>
          <t>—</t>
        </is>
      </c>
      <c r="C279" s="14" t="inlineStr">
        <is>
          <t>—</t>
        </is>
      </c>
      <c r="D279" s="6" t="inlineStr">
        <is>
          <t>酒店與郵輪</t>
        </is>
      </c>
      <c r="E279" s="61" t="n">
        <v>41</v>
      </c>
      <c r="F279" s="20" t="n">
        <v>334.97</v>
      </c>
      <c r="G279" s="20" t="n">
        <v>337.24</v>
      </c>
      <c r="H279" s="20" t="n">
        <v>331.52</v>
      </c>
      <c r="I279" s="11">
        <f>F279/G279-1</f>
        <v>-0.006731111374688625</v>
      </c>
      <c r="J279" s="11">
        <f>F279/H279-1</f>
        <v>0.01040661196911219</v>
      </c>
      <c r="K279" s="13" t="n">
        <v>1142230</v>
      </c>
      <c r="L279" s="13" t="n">
        <v>1491400</v>
      </c>
      <c r="M279" s="21">
        <f>K279/L279</f>
        <v>0.7658776988064906</v>
      </c>
    </row>
    <row r="280">
      <c r="A280" s="19" t="inlineStr">
        <is>
          <t>MARA</t>
        </is>
      </c>
      <c r="B280" s="14" t="inlineStr">
        <is>
          <t>—</t>
        </is>
      </c>
      <c r="C280" s="14" t="inlineStr">
        <is>
          <t>—</t>
        </is>
      </c>
      <c r="D280" s="6" t="inlineStr">
        <is>
          <t>數位資產金融與礦業轉HPC</t>
        </is>
      </c>
      <c r="E280" s="61" t="n">
        <v>104</v>
      </c>
      <c r="F280" s="20" t="n">
        <v>11.04</v>
      </c>
      <c r="G280" s="20" t="n">
        <v>11.24</v>
      </c>
      <c r="H280" s="20" t="n">
        <v>11.92</v>
      </c>
      <c r="I280" s="11">
        <f>F280/G280-1</f>
        <v>-0.017793594306049876</v>
      </c>
      <c r="J280" s="11">
        <f>F280/H280-1</f>
        <v>-0.07382550335570481</v>
      </c>
      <c r="K280" s="13" t="n">
        <v>46030709</v>
      </c>
      <c r="L280" s="13" t="n">
        <v>46983500</v>
      </c>
      <c r="M280" s="21">
        <f>K280/L280</f>
        <v>0.9797207317462513</v>
      </c>
    </row>
    <row r="281">
      <c r="A281" s="19" t="inlineStr">
        <is>
          <t>MCD</t>
        </is>
      </c>
      <c r="B281" s="14" t="inlineStr">
        <is>
          <t>—</t>
        </is>
      </c>
      <c r="C281" s="14" t="inlineStr">
        <is>
          <t>—</t>
        </is>
      </c>
      <c r="D281" s="6" t="inlineStr">
        <is>
          <t>餐飲連鎖</t>
        </is>
      </c>
      <c r="E281" s="61" t="n">
        <v>90</v>
      </c>
      <c r="F281" s="20" t="n">
        <v>248.56</v>
      </c>
      <c r="G281" s="20" t="n">
        <v>252.78</v>
      </c>
      <c r="H281" s="20" t="n">
        <v>253.48</v>
      </c>
      <c r="I281" s="11">
        <f>F281/G281-1</f>
        <v>-0.016694358730912295</v>
      </c>
      <c r="J281" s="11">
        <f>F281/H281-1</f>
        <v>-0.019409815370048822</v>
      </c>
      <c r="K281" s="13" t="n">
        <v>7120079</v>
      </c>
      <c r="L281" s="13" t="n">
        <v>4189950</v>
      </c>
      <c r="M281" s="21">
        <f>K281/L281</f>
        <v>1.699323142280934</v>
      </c>
    </row>
    <row r="282">
      <c r="A282" s="19" t="inlineStr">
        <is>
          <t>MCK</t>
        </is>
      </c>
      <c r="B282" s="14" t="inlineStr">
        <is>
          <t>—</t>
        </is>
      </c>
      <c r="C282" s="14" t="inlineStr">
        <is>
          <t>—</t>
        </is>
      </c>
      <c r="D282" s="6" t="inlineStr">
        <is>
          <t>藥品分銷與藥房</t>
        </is>
      </c>
      <c r="E282" s="61" t="n">
        <v>82</v>
      </c>
      <c r="F282" s="20" t="n">
        <v>887.29</v>
      </c>
      <c r="G282" s="20" t="n">
        <v>899.5599999999999</v>
      </c>
      <c r="H282" s="20" t="n">
        <v>891.6799999999999</v>
      </c>
      <c r="I282" s="11">
        <f>F282/G282-1</f>
        <v>-0.013640001778647326</v>
      </c>
      <c r="J282" s="11">
        <f>F282/H282-1</f>
        <v>-0.004923290866678642</v>
      </c>
      <c r="K282" s="13" t="n">
        <v>902202</v>
      </c>
      <c r="L282" s="13" t="n">
        <v>867900</v>
      </c>
      <c r="M282" s="21">
        <f>K282/L282</f>
        <v>1.0395229865191842</v>
      </c>
    </row>
    <row r="283">
      <c r="A283" s="19" t="inlineStr">
        <is>
          <t>MDB</t>
        </is>
      </c>
      <c r="B283" s="14" t="inlineStr">
        <is>
          <t>—</t>
        </is>
      </c>
      <c r="C283" s="14" t="inlineStr">
        <is>
          <t>—</t>
        </is>
      </c>
      <c r="D283" s="6" t="inlineStr">
        <is>
          <t>資料/分析平台</t>
        </is>
      </c>
      <c r="E283" s="61" t="n">
        <v>8</v>
      </c>
      <c r="F283" s="20" t="n">
        <v>376.34</v>
      </c>
      <c r="G283" s="20" t="n">
        <v>377.67</v>
      </c>
      <c r="H283" s="20" t="n">
        <v>358.38</v>
      </c>
      <c r="I283" s="11">
        <f>F283/G283-1</f>
        <v>-0.0035215929250405065</v>
      </c>
      <c r="J283" s="11">
        <f>F283/H283-1</f>
        <v>0.05011440370556386</v>
      </c>
      <c r="K283" s="13" t="n">
        <v>1418698</v>
      </c>
      <c r="L283" s="13" t="n">
        <v>1544450</v>
      </c>
      <c r="M283" s="21">
        <f>K283/L283</f>
        <v>0.9185781346110266</v>
      </c>
    </row>
    <row r="284">
      <c r="A284" s="19" t="inlineStr">
        <is>
          <t>MDGL</t>
        </is>
      </c>
      <c r="B284" s="14" t="inlineStr">
        <is>
          <t>—</t>
        </is>
      </c>
      <c r="C284" s="14" t="inlineStr">
        <is>
          <t>—</t>
        </is>
      </c>
      <c r="D284" s="6" t="inlineStr">
        <is>
          <t>臨床期中小型生技</t>
        </is>
      </c>
      <c r="E284" s="61" t="n">
        <v>110</v>
      </c>
      <c r="F284" s="20" t="n">
        <v>529.09</v>
      </c>
      <c r="G284" s="20" t="n">
        <v>523.26</v>
      </c>
      <c r="H284" s="20" t="n">
        <v>546.66</v>
      </c>
      <c r="I284" s="11">
        <f>F284/G284-1</f>
        <v>0.011141688644268788</v>
      </c>
      <c r="J284" s="11">
        <f>F284/H284-1</f>
        <v>-0.0321406358614128</v>
      </c>
      <c r="K284" s="13" t="n">
        <v>298470</v>
      </c>
      <c r="L284" s="13" t="n">
        <v>200800</v>
      </c>
      <c r="M284" s="21">
        <f>K284/L284</f>
        <v>1.4864043824701194</v>
      </c>
    </row>
    <row r="285">
      <c r="A285" s="19" t="inlineStr">
        <is>
          <t>MDT</t>
        </is>
      </c>
      <c r="B285" s="14" t="inlineStr">
        <is>
          <t>—</t>
        </is>
      </c>
      <c r="C285" s="14" t="inlineStr">
        <is>
          <t>—</t>
        </is>
      </c>
      <c r="D285" s="6" t="inlineStr">
        <is>
          <t>醫療器械</t>
        </is>
      </c>
      <c r="E285" s="61" t="n">
        <v>13</v>
      </c>
      <c r="F285" s="20" t="n">
        <v>92.59999999999999</v>
      </c>
      <c r="G285" s="20" t="n">
        <v>93.75</v>
      </c>
      <c r="H285" s="20" t="n">
        <v>91.89</v>
      </c>
      <c r="I285" s="11">
        <f>F285/G285-1</f>
        <v>-0.012266666666666759</v>
      </c>
      <c r="J285" s="11">
        <f>F285/H285-1</f>
        <v>0.007726629665904872</v>
      </c>
      <c r="K285" s="13" t="n">
        <v>10487682</v>
      </c>
      <c r="L285" s="13" t="n">
        <v>7279100</v>
      </c>
      <c r="M285" s="21">
        <f>K285/L285</f>
        <v>1.4407937794507564</v>
      </c>
    </row>
    <row r="286">
      <c r="A286" s="19" t="inlineStr">
        <is>
          <t>MET</t>
        </is>
      </c>
      <c r="B286" s="14" t="inlineStr">
        <is>
          <t>—</t>
        </is>
      </c>
      <c r="C286" s="14" t="inlineStr">
        <is>
          <t>—</t>
        </is>
      </c>
      <c r="D286" s="6" t="inlineStr">
        <is>
          <t>壽險與年金</t>
        </is>
      </c>
      <c r="E286" s="61" t="n">
        <v>12</v>
      </c>
      <c r="F286" s="20" t="n">
        <v>97.23</v>
      </c>
      <c r="G286" s="20" t="n">
        <v>98.22</v>
      </c>
      <c r="H286" s="20" t="n">
        <v>95.69</v>
      </c>
      <c r="I286" s="11">
        <f>F286/G286-1</f>
        <v>-0.010079413561392747</v>
      </c>
      <c r="J286" s="11">
        <f>F286/H286-1</f>
        <v>0.01609363569861011</v>
      </c>
      <c r="K286" s="13" t="n">
        <v>3500488</v>
      </c>
      <c r="L286" s="13" t="n">
        <v>2802700</v>
      </c>
      <c r="M286" s="21">
        <f>K286/L286</f>
        <v>1.2489699218610626</v>
      </c>
    </row>
    <row r="287">
      <c r="A287" s="19" t="inlineStr">
        <is>
          <t>META</t>
        </is>
      </c>
      <c r="B287" s="14" t="inlineStr">
        <is>
          <t>—</t>
        </is>
      </c>
      <c r="C287" s="14" t="inlineStr">
        <is>
          <t>—</t>
        </is>
      </c>
      <c r="D287" s="6" t="inlineStr">
        <is>
          <t>大型網絡平台與數位廣告</t>
        </is>
      </c>
      <c r="E287" s="61" t="n">
        <v>9</v>
      </c>
      <c r="F287" s="20" t="n">
        <v>673.3099999999999</v>
      </c>
      <c r="G287" s="20" t="n">
        <v>670.24</v>
      </c>
      <c r="H287" s="20" t="n">
        <v>653.6900000000001</v>
      </c>
      <c r="I287" s="11">
        <f>F287/G287-1</f>
        <v>0.004580448794461622</v>
      </c>
      <c r="J287" s="11">
        <f>F287/H287-1</f>
        <v>0.030014226927136622</v>
      </c>
      <c r="K287" s="13" t="n">
        <v>17135807</v>
      </c>
      <c r="L287" s="13" t="n">
        <v>16738850</v>
      </c>
      <c r="M287" s="21">
        <f>K287/L287</f>
        <v>1.0237147115841292</v>
      </c>
    </row>
    <row r="288">
      <c r="A288" s="19" t="inlineStr">
        <is>
          <t>METC</t>
        </is>
      </c>
      <c r="B288" s="14" t="inlineStr">
        <is>
          <t>—</t>
        </is>
      </c>
      <c r="C288" s="14" t="inlineStr">
        <is>
          <t>—</t>
        </is>
      </c>
      <c r="D288" s="6" t="inlineStr">
        <is>
          <t>煤炭</t>
        </is>
      </c>
      <c r="E288" s="61" t="n">
        <v>105</v>
      </c>
      <c r="F288" s="20" t="n">
        <v>9.9</v>
      </c>
      <c r="G288" s="20" t="n">
        <v>10.04</v>
      </c>
      <c r="H288" s="20" t="n">
        <v>12.28</v>
      </c>
      <c r="I288" s="11">
        <f>F288/G288-1</f>
        <v>-0.013944223107569598</v>
      </c>
      <c r="J288" s="11">
        <f>F288/H288-1</f>
        <v>-0.19381107491856675</v>
      </c>
      <c r="K288" s="13" t="n">
        <v>1845884</v>
      </c>
      <c r="L288" s="13" t="n">
        <v>2196050</v>
      </c>
      <c r="M288" s="21">
        <f>K288/L288</f>
        <v>0.840547346371895</v>
      </c>
    </row>
    <row r="289">
      <c r="A289" s="19" t="inlineStr">
        <is>
          <t>MGA</t>
        </is>
      </c>
      <c r="B289" s="14" t="inlineStr">
        <is>
          <t>—</t>
        </is>
      </c>
      <c r="C289" s="14" t="inlineStr">
        <is>
          <t>—</t>
        </is>
      </c>
      <c r="D289" s="6" t="inlineStr">
        <is>
          <t>傳統汽車與零部件</t>
        </is>
      </c>
      <c r="E289" s="61" t="n">
        <v>65</v>
      </c>
      <c r="F289" s="20" t="n">
        <v>63.74</v>
      </c>
      <c r="G289" s="20" t="n">
        <v>63.42</v>
      </c>
      <c r="H289" s="20" t="n">
        <v>65.47</v>
      </c>
      <c r="I289" s="11">
        <f>F289/G289-1</f>
        <v>0.005045726900031466</v>
      </c>
      <c r="J289" s="11">
        <f>F289/H289-1</f>
        <v>-0.02642431648083088</v>
      </c>
      <c r="K289" s="13" t="n">
        <v>1551485</v>
      </c>
      <c r="L289" s="13" t="n">
        <v>1015100</v>
      </c>
      <c r="M289" s="21">
        <f>K289/L289</f>
        <v>1.5284060683676486</v>
      </c>
    </row>
    <row r="290">
      <c r="A290" s="19" t="inlineStr">
        <is>
          <t>MGM</t>
        </is>
      </c>
      <c r="B290" s="14" t="inlineStr">
        <is>
          <t>—</t>
        </is>
      </c>
      <c r="C290" s="14" t="inlineStr">
        <is>
          <t>—</t>
        </is>
      </c>
      <c r="D290" s="6" t="inlineStr">
        <is>
          <t>博彩與線上博彩</t>
        </is>
      </c>
      <c r="E290" s="61" t="n">
        <v>71</v>
      </c>
      <c r="F290" s="20" t="n">
        <v>38.39</v>
      </c>
      <c r="G290" s="20" t="n">
        <v>39.22</v>
      </c>
      <c r="H290" s="20" t="n">
        <v>40.66</v>
      </c>
      <c r="I290" s="11">
        <f>F290/G290-1</f>
        <v>-0.02116267210606826</v>
      </c>
      <c r="J290" s="11">
        <f>F290/H290-1</f>
        <v>-0.05582882439744208</v>
      </c>
      <c r="K290" s="13" t="n">
        <v>2777888</v>
      </c>
      <c r="L290" s="13" t="n">
        <v>1926200</v>
      </c>
      <c r="M290" s="21">
        <f>K290/L290</f>
        <v>1.4421596926591216</v>
      </c>
    </row>
    <row r="291">
      <c r="A291" s="19" t="inlineStr">
        <is>
          <t>MHK</t>
        </is>
      </c>
      <c r="B291" s="14" t="inlineStr">
        <is>
          <t>—</t>
        </is>
      </c>
      <c r="C291" s="14" t="inlineStr">
        <is>
          <t>—</t>
        </is>
      </c>
      <c r="D291" s="6" t="inlineStr">
        <is>
          <t>家居耐用與休閒用品</t>
        </is>
      </c>
      <c r="E291" s="61" t="n">
        <v>103</v>
      </c>
      <c r="F291" s="20" t="n">
        <v>127.7</v>
      </c>
      <c r="G291" s="20" t="n">
        <v>128.97</v>
      </c>
      <c r="H291" s="20" t="n">
        <v>127.94</v>
      </c>
      <c r="I291" s="11">
        <f>F291/G291-1</f>
        <v>-0.009847251298751636</v>
      </c>
      <c r="J291" s="11">
        <f>F291/H291-1</f>
        <v>-0.0018758793184304734</v>
      </c>
      <c r="K291" s="13" t="n">
        <v>1252210</v>
      </c>
      <c r="L291" s="13" t="n">
        <v>905550</v>
      </c>
      <c r="M291" s="21">
        <f>K291/L291</f>
        <v>1.3828170724973772</v>
      </c>
    </row>
    <row r="292">
      <c r="A292" s="19" t="inlineStr">
        <is>
          <t>MLM</t>
        </is>
      </c>
      <c r="B292" s="14" t="inlineStr">
        <is>
          <t>—</t>
        </is>
      </c>
      <c r="C292" s="14" t="inlineStr">
        <is>
          <t>—</t>
        </is>
      </c>
      <c r="D292" s="6" t="inlineStr">
        <is>
          <t>包裝與建材</t>
        </is>
      </c>
      <c r="E292" s="61" t="n">
        <v>59</v>
      </c>
      <c r="F292" s="20" t="n">
        <v>496.76</v>
      </c>
      <c r="G292" s="20" t="n">
        <v>506.81</v>
      </c>
      <c r="H292" s="20" t="n">
        <v>502.99</v>
      </c>
      <c r="I292" s="11">
        <f>F292/G292-1</f>
        <v>-0.019829916536769243</v>
      </c>
      <c r="J292" s="11">
        <f>F292/H292-1</f>
        <v>-0.012385932125887233</v>
      </c>
      <c r="K292" s="13" t="n">
        <v>741256</v>
      </c>
      <c r="L292" s="13" t="n">
        <v>710000</v>
      </c>
      <c r="M292" s="21">
        <f>K292/L292</f>
        <v>1.0440225352112675</v>
      </c>
    </row>
    <row r="293">
      <c r="A293" s="19" t="inlineStr">
        <is>
          <t>MNST</t>
        </is>
      </c>
      <c r="B293" s="14" t="inlineStr">
        <is>
          <t>—</t>
        </is>
      </c>
      <c r="C293" s="14" t="inlineStr">
        <is>
          <t>—</t>
        </is>
      </c>
      <c r="D293" s="6" t="inlineStr">
        <is>
          <t>非酒精飲品</t>
        </is>
      </c>
      <c r="E293" s="61" t="n">
        <v>47</v>
      </c>
      <c r="F293" s="20" t="n">
        <v>44.57</v>
      </c>
      <c r="G293" s="20" t="n">
        <v>44.63</v>
      </c>
      <c r="H293" s="20" t="n">
        <v>42.84</v>
      </c>
      <c r="I293" s="11">
        <f>F293/G293-1</f>
        <v>-0.0013443871835089327</v>
      </c>
      <c r="J293" s="11">
        <f>F293/H293-1</f>
        <v>0.04038281979458436</v>
      </c>
      <c r="K293" s="13" t="n">
        <v>8017758</v>
      </c>
      <c r="L293" s="13" t="n">
        <v>9261800</v>
      </c>
      <c r="M293" s="21">
        <f>K293/L293</f>
        <v>0.8656803213198299</v>
      </c>
    </row>
    <row r="294">
      <c r="A294" s="19" t="inlineStr">
        <is>
          <t>MO</t>
        </is>
      </c>
      <c r="B294" s="14" t="inlineStr">
        <is>
          <t>—</t>
        </is>
      </c>
      <c r="C294" s="14" t="inlineStr">
        <is>
          <t>—</t>
        </is>
      </c>
      <c r="D294" s="6" t="inlineStr">
        <is>
          <t>煙草與尼古丁</t>
        </is>
      </c>
      <c r="E294" s="61" t="n">
        <v>31</v>
      </c>
      <c r="F294" s="20" t="n">
        <v>70.09999999999999</v>
      </c>
      <c r="G294" s="20" t="n">
        <v>69.81</v>
      </c>
      <c r="H294" s="20" t="n">
        <v>67.89</v>
      </c>
      <c r="I294" s="11">
        <f>F294/G294-1</f>
        <v>0.004154132645752595</v>
      </c>
      <c r="J294" s="11">
        <f>F294/H294-1</f>
        <v>0.03255265871262325</v>
      </c>
      <c r="K294" s="13" t="n">
        <v>8008502</v>
      </c>
      <c r="L294" s="13" t="n">
        <v>8531700</v>
      </c>
      <c r="M294" s="21">
        <f>K294/L294</f>
        <v>0.9386759965774699</v>
      </c>
    </row>
    <row r="295">
      <c r="A295" s="19" t="inlineStr">
        <is>
          <t>MOD</t>
        </is>
      </c>
      <c r="B295" s="14" t="inlineStr">
        <is>
          <t>—</t>
        </is>
      </c>
      <c r="C295" s="14" t="inlineStr">
        <is>
          <t>—</t>
        </is>
      </c>
      <c r="D295" s="6" t="inlineStr">
        <is>
          <t>AI資料中心建設</t>
        </is>
      </c>
      <c r="E295" s="61" t="n">
        <v>17</v>
      </c>
      <c r="F295" s="20" t="n">
        <v>181.18</v>
      </c>
      <c r="G295" s="20" t="n">
        <v>178.87</v>
      </c>
      <c r="H295" s="20" t="n">
        <v>185.97</v>
      </c>
      <c r="I295" s="11">
        <f>F295/G295-1</f>
        <v>0.012914407111309867</v>
      </c>
      <c r="J295" s="11">
        <f>F295/H295-1</f>
        <v>-0.025756842501478694</v>
      </c>
      <c r="K295" s="13" t="n">
        <v>842618</v>
      </c>
      <c r="L295" s="13" t="n">
        <v>1254900</v>
      </c>
      <c r="M295" s="21">
        <f>K295/L295</f>
        <v>0.6714622679097936</v>
      </c>
    </row>
    <row r="296">
      <c r="A296" s="19" t="inlineStr">
        <is>
          <t>MOS</t>
        </is>
      </c>
      <c r="B296" s="14" t="inlineStr">
        <is>
          <t>—</t>
        </is>
      </c>
      <c r="C296" s="14" t="inlineStr">
        <is>
          <t>—</t>
        </is>
      </c>
      <c r="D296" s="6" t="inlineStr">
        <is>
          <t>基礎化工與化肥</t>
        </is>
      </c>
      <c r="E296" s="61" t="n">
        <v>61</v>
      </c>
      <c r="F296" s="20" t="n">
        <v>24.79</v>
      </c>
      <c r="G296" s="20" t="n">
        <v>25.46</v>
      </c>
      <c r="H296" s="20" t="n">
        <v>26.21</v>
      </c>
      <c r="I296" s="11">
        <f>F296/G296-1</f>
        <v>-0.026315789473684292</v>
      </c>
      <c r="J296" s="11">
        <f>F296/H296-1</f>
        <v>-0.054177794734834084</v>
      </c>
      <c r="K296" s="13" t="n">
        <v>7643948</v>
      </c>
      <c r="L296" s="13" t="n">
        <v>8229300</v>
      </c>
      <c r="M296" s="21">
        <f>K296/L296</f>
        <v>0.9288697702113181</v>
      </c>
    </row>
    <row r="297">
      <c r="A297" s="39" t="inlineStr">
        <is>
          <t>MP</t>
        </is>
      </c>
      <c r="B297" s="93" t="inlineStr">
        <is>
          <t>—</t>
        </is>
      </c>
      <c r="C297" s="94" t="inlineStr">
        <is>
          <t>稀土與關鍵礦產</t>
        </is>
      </c>
      <c r="D297" s="40" t="inlineStr">
        <is>
          <t>稀土與關鍵礦產</t>
        </is>
      </c>
      <c r="E297" s="67" t="n">
        <v>109</v>
      </c>
      <c r="F297" s="41" t="n">
        <v>48.99</v>
      </c>
      <c r="G297" s="41" t="n">
        <v>49.17</v>
      </c>
      <c r="H297" s="41" t="n">
        <v>54.3</v>
      </c>
      <c r="I297" s="42">
        <f>F297/G297-1</f>
        <v>-0.0036607687614399476</v>
      </c>
      <c r="J297" s="42">
        <f>F297/H297-1</f>
        <v>-0.09779005524861872</v>
      </c>
      <c r="K297" s="43" t="n">
        <v>3766247</v>
      </c>
      <c r="L297" s="43" t="n">
        <v>4808850</v>
      </c>
      <c r="M297" s="44">
        <f>K297/L297</f>
        <v>0.7831907836592948</v>
      </c>
    </row>
    <row r="298">
      <c r="A298" s="58" t="inlineStr">
        <is>
          <t>MPC</t>
        </is>
      </c>
      <c r="B298" s="88" t="inlineStr">
        <is>
          <t>①</t>
        </is>
      </c>
      <c r="C298" s="89" t="inlineStr">
        <is>
          <t>—</t>
        </is>
      </c>
      <c r="D298" s="60" t="inlineStr">
        <is>
          <t>煉油與成品油</t>
        </is>
      </c>
      <c r="E298" s="49" t="n">
        <v>4</v>
      </c>
      <c r="F298" s="90" t="n">
        <v>413.92</v>
      </c>
      <c r="G298" s="90" t="n">
        <v>410.84</v>
      </c>
      <c r="H298" s="90" t="n">
        <v>399.44</v>
      </c>
      <c r="I298" s="53">
        <f>F298/G298-1</f>
        <v>0.007496835751144015</v>
      </c>
      <c r="J298" s="53">
        <f>F298/H298-1</f>
        <v>0.03625075105147202</v>
      </c>
      <c r="K298" s="91" t="n">
        <v>2868447</v>
      </c>
      <c r="L298" s="91" t="n">
        <v>2295550</v>
      </c>
      <c r="M298" s="92">
        <f>K298/L298</f>
        <v>1.2495685129925291</v>
      </c>
    </row>
    <row r="299">
      <c r="A299" s="19" t="inlineStr">
        <is>
          <t>MPWR</t>
        </is>
      </c>
      <c r="B299" s="14" t="inlineStr">
        <is>
          <t>—</t>
        </is>
      </c>
      <c r="C299" s="14" t="inlineStr">
        <is>
          <t>—</t>
        </is>
      </c>
      <c r="D299" s="6" t="inlineStr">
        <is>
          <t>類比/功率半導體</t>
        </is>
      </c>
      <c r="E299" s="61" t="n">
        <v>52</v>
      </c>
      <c r="F299" s="20" t="n">
        <v>1147.61</v>
      </c>
      <c r="G299" s="20" t="n">
        <v>1142.46</v>
      </c>
      <c r="H299" s="20" t="n">
        <v>1203.75</v>
      </c>
      <c r="I299" s="11">
        <f>F299/G299-1</f>
        <v>0.004507816466222003</v>
      </c>
      <c r="J299" s="11">
        <f>F299/H299-1</f>
        <v>-0.04663759086189001</v>
      </c>
      <c r="K299" s="13" t="n">
        <v>624775</v>
      </c>
      <c r="L299" s="13" t="n">
        <v>591100</v>
      </c>
      <c r="M299" s="21">
        <f>K299/L299</f>
        <v>1.056970055828117</v>
      </c>
    </row>
    <row r="300">
      <c r="A300" s="19" t="inlineStr">
        <is>
          <t>MRK</t>
        </is>
      </c>
      <c r="B300" s="14" t="inlineStr">
        <is>
          <t>—</t>
        </is>
      </c>
      <c r="C300" s="14" t="inlineStr">
        <is>
          <t>—</t>
        </is>
      </c>
      <c r="D300" s="6" t="inlineStr">
        <is>
          <t>大型藥廠</t>
        </is>
      </c>
      <c r="E300" s="61" t="n">
        <v>23</v>
      </c>
      <c r="F300" s="20" t="n">
        <v>144.91</v>
      </c>
      <c r="G300" s="20" t="n">
        <v>143.79</v>
      </c>
      <c r="H300" s="20" t="n">
        <v>147.53</v>
      </c>
      <c r="I300" s="11">
        <f>F300/G300-1</f>
        <v>0.007789136935809182</v>
      </c>
      <c r="J300" s="11">
        <f>F300/H300-1</f>
        <v>-0.017759099844099513</v>
      </c>
      <c r="K300" s="13" t="n">
        <v>7226300</v>
      </c>
      <c r="L300" s="13" t="n">
        <v>8823700</v>
      </c>
      <c r="M300" s="21">
        <f>K300/L300</f>
        <v>0.8189648333465553</v>
      </c>
    </row>
    <row r="301">
      <c r="A301" s="19" t="inlineStr">
        <is>
          <t>MRVL</t>
        </is>
      </c>
      <c r="B301" s="14" t="inlineStr">
        <is>
          <t>—</t>
        </is>
      </c>
      <c r="C301" s="14" t="inlineStr">
        <is>
          <t>—</t>
        </is>
      </c>
      <c r="D301" s="6" t="inlineStr">
        <is>
          <t>AI加速晶片/GPU</t>
        </is>
      </c>
      <c r="E301" s="61" t="n">
        <v>57</v>
      </c>
      <c r="F301" s="20" t="n">
        <v>229.71</v>
      </c>
      <c r="G301" s="20" t="n">
        <v>221.7</v>
      </c>
      <c r="H301" s="20" t="n">
        <v>235.01</v>
      </c>
      <c r="I301" s="11">
        <f>F301/G301-1</f>
        <v>0.03612990527740201</v>
      </c>
      <c r="J301" s="11">
        <f>F301/H301-1</f>
        <v>-0.022552231819922497</v>
      </c>
      <c r="K301" s="13" t="n">
        <v>16217735</v>
      </c>
      <c r="L301" s="13" t="n">
        <v>21282550</v>
      </c>
      <c r="M301" s="21">
        <f>K301/L301</f>
        <v>0.7620202936208302</v>
      </c>
    </row>
    <row r="302">
      <c r="A302" s="39" t="inlineStr">
        <is>
          <t>MS</t>
        </is>
      </c>
      <c r="B302" s="93" t="inlineStr">
        <is>
          <t>—</t>
        </is>
      </c>
      <c r="C302" s="94" t="inlineStr">
        <is>
          <t>投行與資本巿場</t>
        </is>
      </c>
      <c r="D302" s="40" t="inlineStr">
        <is>
          <t>投行與資本巿場</t>
        </is>
      </c>
      <c r="E302" s="67" t="n">
        <v>107</v>
      </c>
      <c r="F302" s="41" t="n">
        <v>202.42</v>
      </c>
      <c r="G302" s="41" t="n">
        <v>206.28</v>
      </c>
      <c r="H302" s="41" t="n">
        <v>215.35</v>
      </c>
      <c r="I302" s="42">
        <f>F302/G302-1</f>
        <v>-0.018712429707194222</v>
      </c>
      <c r="J302" s="42">
        <f>F302/H302-1</f>
        <v>-0.060041792430926444</v>
      </c>
      <c r="K302" s="43" t="n">
        <v>6999366</v>
      </c>
      <c r="L302" s="43" t="n">
        <v>3925900</v>
      </c>
      <c r="M302" s="44">
        <f>K302/L302</f>
        <v>1.7828691510226955</v>
      </c>
    </row>
    <row r="303">
      <c r="A303" s="19" t="inlineStr">
        <is>
          <t>MSFT</t>
        </is>
      </c>
      <c r="B303" s="14" t="inlineStr">
        <is>
          <t>—</t>
        </is>
      </c>
      <c r="C303" s="14" t="inlineStr">
        <is>
          <t>—</t>
        </is>
      </c>
      <c r="D303" s="6" t="inlineStr">
        <is>
          <t>雲端基建/IaaS/Neocloud</t>
        </is>
      </c>
      <c r="E303" s="61" t="n">
        <v>48</v>
      </c>
      <c r="F303" s="20" t="n">
        <v>490.3</v>
      </c>
      <c r="G303" s="20" t="n">
        <v>497.12</v>
      </c>
      <c r="H303" s="20" t="n">
        <v>491.65</v>
      </c>
      <c r="I303" s="11">
        <f>F303/G303-1</f>
        <v>-0.013719021564209788</v>
      </c>
      <c r="J303" s="11">
        <f>F303/H303-1</f>
        <v>-0.0027458557917217075</v>
      </c>
      <c r="K303" s="13" t="n">
        <v>16520268</v>
      </c>
      <c r="L303" s="13" t="n">
        <v>19991350</v>
      </c>
      <c r="M303" s="21">
        <f>K303/L303</f>
        <v>0.826370805373324</v>
      </c>
    </row>
    <row r="304">
      <c r="A304" s="19" t="inlineStr">
        <is>
          <t>MTB</t>
        </is>
      </c>
      <c r="B304" s="14" t="inlineStr">
        <is>
          <t>—</t>
        </is>
      </c>
      <c r="C304" s="14" t="inlineStr">
        <is>
          <t>—</t>
        </is>
      </c>
      <c r="D304" s="6" t="inlineStr">
        <is>
          <t>區域與社區銀行</t>
        </is>
      </c>
      <c r="E304" s="61" t="n">
        <v>89</v>
      </c>
      <c r="F304" s="20" t="n">
        <v>226.01</v>
      </c>
      <c r="G304" s="20" t="n">
        <v>235.37</v>
      </c>
      <c r="H304" s="20" t="n">
        <v>238</v>
      </c>
      <c r="I304" s="11">
        <f>F304/G304-1</f>
        <v>-0.03976717508603478</v>
      </c>
      <c r="J304" s="11">
        <f>F304/H304-1</f>
        <v>-0.05037815126050427</v>
      </c>
      <c r="K304" s="13" t="n">
        <v>1855762</v>
      </c>
      <c r="L304" s="13" t="n">
        <v>865600</v>
      </c>
      <c r="M304" s="21">
        <f>K304/L304</f>
        <v>2.143902495378928</v>
      </c>
    </row>
    <row r="305">
      <c r="A305" s="19" t="inlineStr">
        <is>
          <t>MTCH</t>
        </is>
      </c>
      <c r="B305" s="14" t="inlineStr">
        <is>
          <t>—</t>
        </is>
      </c>
      <c r="C305" s="14" t="inlineStr">
        <is>
          <t>—</t>
        </is>
      </c>
      <c r="D305" s="6" t="inlineStr">
        <is>
          <t>社交與線上社群</t>
        </is>
      </c>
      <c r="E305" s="61" t="n">
        <v>10</v>
      </c>
      <c r="F305" s="20" t="n">
        <v>43.58</v>
      </c>
      <c r="G305" s="20" t="n">
        <v>44.4</v>
      </c>
      <c r="H305" s="20" t="n">
        <v>41.43</v>
      </c>
      <c r="I305" s="11">
        <f>F305/G305-1</f>
        <v>-0.018468468468468502</v>
      </c>
      <c r="J305" s="11">
        <f>F305/H305-1</f>
        <v>0.051894762249577564</v>
      </c>
      <c r="K305" s="13" t="n">
        <v>3654287</v>
      </c>
      <c r="L305" s="13" t="n">
        <v>3169350</v>
      </c>
      <c r="M305" s="21">
        <f>K305/L305</f>
        <v>1.153008345559815</v>
      </c>
    </row>
    <row r="306">
      <c r="A306" s="19" t="inlineStr">
        <is>
          <t>MTZ</t>
        </is>
      </c>
      <c r="B306" s="14" t="inlineStr">
        <is>
          <t>—</t>
        </is>
      </c>
      <c r="C306" s="14" t="inlineStr">
        <is>
          <t>—</t>
        </is>
      </c>
      <c r="D306" s="6" t="inlineStr">
        <is>
          <t>工程建設/EPC</t>
        </is>
      </c>
      <c r="E306" s="61" t="n">
        <v>51</v>
      </c>
      <c r="F306" s="20" t="n">
        <v>225.62</v>
      </c>
      <c r="G306" s="20" t="n">
        <v>222.7</v>
      </c>
      <c r="H306" s="20" t="n">
        <v>240.68</v>
      </c>
      <c r="I306" s="11">
        <f>F306/G306-1</f>
        <v>0.013111809609339886</v>
      </c>
      <c r="J306" s="11">
        <f>F306/H306-1</f>
        <v>-0.0625727106531494</v>
      </c>
      <c r="K306" s="13" t="n">
        <v>1301878</v>
      </c>
      <c r="L306" s="13" t="n">
        <v>1436100</v>
      </c>
      <c r="M306" s="21">
        <f>K306/L306</f>
        <v>0.9065371492235916</v>
      </c>
    </row>
    <row r="307">
      <c r="A307" s="19" t="inlineStr">
        <is>
          <t>MU</t>
        </is>
      </c>
      <c r="B307" s="14" t="inlineStr">
        <is>
          <t>—</t>
        </is>
      </c>
      <c r="C307" s="14" t="inlineStr">
        <is>
          <t>—</t>
        </is>
      </c>
      <c r="D307" s="6" t="inlineStr">
        <is>
          <t>記憶體/HBM</t>
        </is>
      </c>
      <c r="E307" s="61" t="n">
        <v>99</v>
      </c>
      <c r="F307" s="20" t="n">
        <v>926.55</v>
      </c>
      <c r="G307" s="20" t="n">
        <v>927.6</v>
      </c>
      <c r="H307" s="20" t="n">
        <v>1027.77</v>
      </c>
      <c r="I307" s="11">
        <f>F307/G307-1</f>
        <v>-0.0011319534282019372</v>
      </c>
      <c r="J307" s="11">
        <f>F307/H307-1</f>
        <v>-0.09848506961674308</v>
      </c>
      <c r="K307" s="13" t="n">
        <v>19965196</v>
      </c>
      <c r="L307" s="13" t="n">
        <v>24694050</v>
      </c>
      <c r="M307" s="21">
        <f>K307/L307</f>
        <v>0.8085022910377196</v>
      </c>
    </row>
    <row r="308">
      <c r="A308" s="19" t="inlineStr">
        <is>
          <t>NB</t>
        </is>
      </c>
      <c r="B308" s="14" t="inlineStr">
        <is>
          <t>—</t>
        </is>
      </c>
      <c r="C308" s="14" t="inlineStr">
        <is>
          <t>—</t>
        </is>
      </c>
      <c r="D308" s="6" t="inlineStr">
        <is>
          <t>稀土與關鍵礦產</t>
        </is>
      </c>
      <c r="E308" s="61" t="n">
        <v>109</v>
      </c>
      <c r="F308" s="20" t="n">
        <v>3.5</v>
      </c>
      <c r="G308" s="20" t="n">
        <v>3.56</v>
      </c>
      <c r="H308" s="20" t="n">
        <v>4.04</v>
      </c>
      <c r="I308" s="11">
        <f>F308/G308-1</f>
        <v>-0.016853932584269704</v>
      </c>
      <c r="J308" s="11">
        <f>F308/H308-1</f>
        <v>-0.13366336633663367</v>
      </c>
      <c r="K308" s="13" t="n">
        <v>2912069</v>
      </c>
      <c r="L308" s="13" t="n">
        <v>2577300</v>
      </c>
      <c r="M308" s="21">
        <f>K308/L308</f>
        <v>1.1298913591743298</v>
      </c>
    </row>
    <row r="309">
      <c r="A309" s="19" t="inlineStr">
        <is>
          <t>NBIS</t>
        </is>
      </c>
      <c r="B309" s="14" t="inlineStr">
        <is>
          <t>—</t>
        </is>
      </c>
      <c r="C309" s="14" t="inlineStr">
        <is>
          <t>—</t>
        </is>
      </c>
      <c r="D309" s="6" t="inlineStr">
        <is>
          <t>雲端基建/IaaS/Neocloud</t>
        </is>
      </c>
      <c r="E309" s="61" t="n">
        <v>48</v>
      </c>
      <c r="F309" s="20" t="n">
        <v>209.37</v>
      </c>
      <c r="G309" s="20" t="n">
        <v>207.37</v>
      </c>
      <c r="H309" s="20" t="n">
        <v>240.35</v>
      </c>
      <c r="I309" s="11">
        <f>F309/G309-1</f>
        <v>0.009644596614746481</v>
      </c>
      <c r="J309" s="11">
        <f>F309/H309-1</f>
        <v>-0.12889536093197418</v>
      </c>
      <c r="K309" s="13" t="n">
        <v>12887239</v>
      </c>
      <c r="L309" s="13" t="n">
        <v>13335000</v>
      </c>
      <c r="M309" s="21">
        <f>K309/L309</f>
        <v>0.9664221222347207</v>
      </c>
    </row>
    <row r="310">
      <c r="A310" s="19" t="inlineStr">
        <is>
          <t>NCLH</t>
        </is>
      </c>
      <c r="B310" s="14" t="inlineStr">
        <is>
          <t>—</t>
        </is>
      </c>
      <c r="C310" s="14" t="inlineStr">
        <is>
          <t>—</t>
        </is>
      </c>
      <c r="D310" s="6" t="inlineStr">
        <is>
          <t>酒店與郵輪</t>
        </is>
      </c>
      <c r="E310" s="61" t="n">
        <v>41</v>
      </c>
      <c r="F310" s="20" t="n">
        <v>14.53</v>
      </c>
      <c r="G310" s="20" t="n">
        <v>14.28</v>
      </c>
      <c r="H310" s="20" t="n">
        <v>14.85</v>
      </c>
      <c r="I310" s="11">
        <f>F310/G310-1</f>
        <v>0.017507002801120386</v>
      </c>
      <c r="J310" s="11">
        <f>F310/H310-1</f>
        <v>-0.02154882154882154</v>
      </c>
      <c r="K310" s="13" t="n">
        <v>16269159</v>
      </c>
      <c r="L310" s="13" t="n">
        <v>14580450</v>
      </c>
      <c r="M310" s="21">
        <f>K310/L310</f>
        <v>1.1158200878573707</v>
      </c>
    </row>
    <row r="311">
      <c r="A311" s="19" t="inlineStr">
        <is>
          <t>NDAQ</t>
        </is>
      </c>
      <c r="B311" s="14" t="inlineStr">
        <is>
          <t>—</t>
        </is>
      </c>
      <c r="C311" s="14" t="inlineStr">
        <is>
          <t>—</t>
        </is>
      </c>
      <c r="D311" s="6" t="inlineStr">
        <is>
          <t>交易所與金融數據</t>
        </is>
      </c>
      <c r="E311" s="61" t="n">
        <v>78</v>
      </c>
      <c r="F311" s="20" t="n">
        <v>88.76000000000001</v>
      </c>
      <c r="G311" s="20" t="n">
        <v>89.23</v>
      </c>
      <c r="H311" s="20" t="n">
        <v>94.22</v>
      </c>
      <c r="I311" s="11">
        <f>F311/G311-1</f>
        <v>-0.005267286786955094</v>
      </c>
      <c r="J311" s="11">
        <f>F311/H311-1</f>
        <v>-0.05794947994056454</v>
      </c>
      <c r="K311" s="13" t="n">
        <v>3115755</v>
      </c>
      <c r="L311" s="13" t="n">
        <v>2780450</v>
      </c>
      <c r="M311" s="21">
        <f>K311/L311</f>
        <v>1.1205937887751982</v>
      </c>
    </row>
    <row r="312">
      <c r="A312" s="19" t="inlineStr">
        <is>
          <t>NDSN</t>
        </is>
      </c>
      <c r="B312" s="14" t="inlineStr">
        <is>
          <t>—</t>
        </is>
      </c>
      <c r="C312" s="14" t="inlineStr">
        <is>
          <t>—</t>
        </is>
      </c>
      <c r="D312" s="6" t="inlineStr">
        <is>
          <t>工業自動化與機器人</t>
        </is>
      </c>
      <c r="E312" s="61" t="n">
        <v>25</v>
      </c>
      <c r="F312" s="20" t="n">
        <v>309.02</v>
      </c>
      <c r="G312" s="20" t="n">
        <v>309.25</v>
      </c>
      <c r="H312" s="20" t="n">
        <v>313.94</v>
      </c>
      <c r="I312" s="11">
        <f>F312/G312-1</f>
        <v>-0.0007437348423605661</v>
      </c>
      <c r="J312" s="11">
        <f>F312/H312-1</f>
        <v>-0.01567178441740469</v>
      </c>
      <c r="K312" s="13" t="n">
        <v>356564</v>
      </c>
      <c r="L312" s="13" t="n">
        <v>348800</v>
      </c>
      <c r="M312" s="21">
        <f>K312/L312</f>
        <v>1.0222591743119267</v>
      </c>
    </row>
    <row r="313">
      <c r="A313" s="19" t="inlineStr">
        <is>
          <t>NE</t>
        </is>
      </c>
      <c r="B313" s="14" t="inlineStr">
        <is>
          <t>—</t>
        </is>
      </c>
      <c r="C313" s="14" t="inlineStr">
        <is>
          <t>—</t>
        </is>
      </c>
      <c r="D313" s="6" t="inlineStr">
        <is>
          <t>海上鑽井與設備</t>
        </is>
      </c>
      <c r="E313" s="61" t="n">
        <v>73</v>
      </c>
      <c r="F313" s="20" t="n">
        <v>44.34</v>
      </c>
      <c r="G313" s="20" t="n">
        <v>46.55</v>
      </c>
      <c r="H313" s="20" t="n">
        <v>45.46</v>
      </c>
      <c r="I313" s="11">
        <f>F313/G313-1</f>
        <v>-0.047475832438238275</v>
      </c>
      <c r="J313" s="11">
        <f>F313/H313-1</f>
        <v>-0.024637043554773363</v>
      </c>
      <c r="K313" s="13" t="n">
        <v>1002720</v>
      </c>
      <c r="L313" s="13" t="n">
        <v>1119300</v>
      </c>
      <c r="M313" s="21">
        <f>K313/L313</f>
        <v>0.8958456177968374</v>
      </c>
    </row>
    <row r="314">
      <c r="A314" s="39" t="inlineStr">
        <is>
          <t>NEE</t>
        </is>
      </c>
      <c r="B314" s="93" t="inlineStr">
        <is>
          <t>—</t>
        </is>
      </c>
      <c r="C314" s="94" t="inlineStr">
        <is>
          <t>再生能源</t>
        </is>
      </c>
      <c r="D314" s="40" t="inlineStr">
        <is>
          <t>再生能源與太陽能</t>
        </is>
      </c>
      <c r="E314" s="67" t="n">
        <v>97</v>
      </c>
      <c r="F314" s="41" t="n">
        <v>80.37</v>
      </c>
      <c r="G314" s="41" t="n">
        <v>81.06999999999999</v>
      </c>
      <c r="H314" s="41" t="n">
        <v>82.65000000000001</v>
      </c>
      <c r="I314" s="42">
        <f>F314/G314-1</f>
        <v>-0.008634513383495634</v>
      </c>
      <c r="J314" s="42">
        <f>F314/H314-1</f>
        <v>-0.02758620689655178</v>
      </c>
      <c r="K314" s="43" t="n">
        <v>9620130</v>
      </c>
      <c r="L314" s="43" t="n">
        <v>11151200</v>
      </c>
      <c r="M314" s="44">
        <f>K314/L314</f>
        <v>0.8626990817131789</v>
      </c>
    </row>
    <row r="315">
      <c r="A315" s="19" t="inlineStr">
        <is>
          <t>NEM</t>
        </is>
      </c>
      <c r="B315" s="14" t="inlineStr">
        <is>
          <t>—</t>
        </is>
      </c>
      <c r="C315" s="14" t="inlineStr">
        <is>
          <t>—</t>
        </is>
      </c>
      <c r="D315" s="6" t="inlineStr">
        <is>
          <t>黃金與貴金屬礦</t>
        </is>
      </c>
      <c r="E315" s="61" t="n">
        <v>66</v>
      </c>
      <c r="F315" s="20" t="n">
        <v>121.76</v>
      </c>
      <c r="G315" s="20" t="n">
        <v>124.19</v>
      </c>
      <c r="H315" s="20" t="n">
        <v>128.71</v>
      </c>
      <c r="I315" s="11">
        <f>F315/G315-1</f>
        <v>-0.0195667928174571</v>
      </c>
      <c r="J315" s="11">
        <f>F315/H315-1</f>
        <v>-0.05399735840261055</v>
      </c>
      <c r="K315" s="13" t="n">
        <v>6353801</v>
      </c>
      <c r="L315" s="13" t="n">
        <v>7361800</v>
      </c>
      <c r="M315" s="21">
        <f>K315/L315</f>
        <v>0.8630771007090657</v>
      </c>
    </row>
    <row r="316">
      <c r="A316" s="19" t="inlineStr">
        <is>
          <t>NFE</t>
        </is>
      </c>
      <c r="B316" s="14" t="inlineStr">
        <is>
          <t>—</t>
        </is>
      </c>
      <c r="C316" s="14" t="inlineStr">
        <is>
          <t>—</t>
        </is>
      </c>
      <c r="D316" s="6" t="inlineStr">
        <is>
          <t>LNG液化天然氣</t>
        </is>
      </c>
      <c r="E316" s="61" t="n">
        <v>72</v>
      </c>
      <c r="F316" s="20" t="n">
        <v>12.51</v>
      </c>
      <c r="G316" s="20" t="n">
        <v>12.77</v>
      </c>
      <c r="H316" s="20" t="n">
        <v>0.274</v>
      </c>
      <c r="I316" s="11">
        <f>F316/G316-1</f>
        <v>-0.020360219263899748</v>
      </c>
      <c r="J316" s="11">
        <f>F316/H316-1</f>
        <v>44.65693430656934</v>
      </c>
      <c r="K316" s="13" t="n">
        <v>489189</v>
      </c>
      <c r="L316" s="13" t="n">
        <v>1785000</v>
      </c>
      <c r="M316" s="21">
        <f>K316/L316</f>
        <v>0.274055462184874</v>
      </c>
    </row>
    <row r="317">
      <c r="A317" s="19" t="inlineStr">
        <is>
          <t>NFLX</t>
        </is>
      </c>
      <c r="B317" s="14" t="inlineStr">
        <is>
          <t>—</t>
        </is>
      </c>
      <c r="C317" s="14" t="inlineStr">
        <is>
          <t>—</t>
        </is>
      </c>
      <c r="D317" s="6" t="inlineStr">
        <is>
          <t>串流影音</t>
        </is>
      </c>
      <c r="E317" s="61" t="n">
        <v>20</v>
      </c>
      <c r="F317" s="20" t="n">
        <v>76.41</v>
      </c>
      <c r="G317" s="20" t="n">
        <v>77.90000000000001</v>
      </c>
      <c r="H317" s="20" t="n">
        <v>76.03</v>
      </c>
      <c r="I317" s="11">
        <f>F317/G317-1</f>
        <v>-0.0191270860077023</v>
      </c>
      <c r="J317" s="11">
        <f>F317/H317-1</f>
        <v>0.0049980270945679806</v>
      </c>
      <c r="K317" s="13" t="n">
        <v>25261228</v>
      </c>
      <c r="L317" s="13" t="n">
        <v>27146400</v>
      </c>
      <c r="M317" s="21">
        <f>K317/L317</f>
        <v>0.9305553590899714</v>
      </c>
    </row>
    <row r="318">
      <c r="A318" s="19" t="inlineStr">
        <is>
          <t>NI</t>
        </is>
      </c>
      <c r="B318" s="14" t="inlineStr">
        <is>
          <t>—</t>
        </is>
      </c>
      <c r="C318" s="14" t="inlineStr">
        <is>
          <t>—</t>
        </is>
      </c>
      <c r="D318" s="6" t="inlineStr">
        <is>
          <t>燃氣公用</t>
        </is>
      </c>
      <c r="E318" s="61" t="n">
        <v>77</v>
      </c>
      <c r="F318" s="20" t="n">
        <v>40.66</v>
      </c>
      <c r="G318" s="20" t="n">
        <v>40.59</v>
      </c>
      <c r="H318" s="20" t="n">
        <v>41.67</v>
      </c>
      <c r="I318" s="11">
        <f>F318/G318-1</f>
        <v>0.001724562700172294</v>
      </c>
      <c r="J318" s="11">
        <f>F318/H318-1</f>
        <v>-0.024238060955123708</v>
      </c>
      <c r="K318" s="13" t="n">
        <v>4208126</v>
      </c>
      <c r="L318" s="13" t="n">
        <v>4930200</v>
      </c>
      <c r="M318" s="21">
        <f>K318/L318</f>
        <v>0.8535406271550849</v>
      </c>
    </row>
    <row r="319">
      <c r="A319" s="19" t="inlineStr">
        <is>
          <t>NJR</t>
        </is>
      </c>
      <c r="B319" s="14" t="inlineStr">
        <is>
          <t>—</t>
        </is>
      </c>
      <c r="C319" s="14" t="inlineStr">
        <is>
          <t>—</t>
        </is>
      </c>
      <c r="D319" s="6" t="inlineStr">
        <is>
          <t>燃氣公用</t>
        </is>
      </c>
      <c r="E319" s="61" t="n">
        <v>77</v>
      </c>
      <c r="F319" s="20" t="n">
        <v>53.5</v>
      </c>
      <c r="G319" s="20" t="n">
        <v>53.27</v>
      </c>
      <c r="H319" s="20" t="n">
        <v>53.48</v>
      </c>
      <c r="I319" s="11">
        <f>F319/G319-1</f>
        <v>0.004317627182278905</v>
      </c>
      <c r="J319" s="11">
        <f>F319/H319-1</f>
        <v>0.00037397157816010385</v>
      </c>
      <c r="K319" s="13" t="n">
        <v>782970</v>
      </c>
      <c r="L319" s="13" t="n">
        <v>546850</v>
      </c>
      <c r="M319" s="21">
        <f>K319/L319</f>
        <v>1.431782024321112</v>
      </c>
    </row>
    <row r="320">
      <c r="A320" s="19" t="inlineStr">
        <is>
          <t>NKE</t>
        </is>
      </c>
      <c r="B320" s="14" t="inlineStr">
        <is>
          <t>—</t>
        </is>
      </c>
      <c r="C320" s="14" t="inlineStr">
        <is>
          <t>—</t>
        </is>
      </c>
      <c r="D320" s="6" t="inlineStr">
        <is>
          <t>服裝與奢侈品</t>
        </is>
      </c>
      <c r="E320" s="61" t="n">
        <v>79</v>
      </c>
      <c r="F320" s="20" t="n">
        <v>35.78</v>
      </c>
      <c r="G320" s="20" t="n">
        <v>36.22</v>
      </c>
      <c r="H320" s="20" t="n">
        <v>37.35</v>
      </c>
      <c r="I320" s="11">
        <f>F320/G320-1</f>
        <v>-0.012147984538928736</v>
      </c>
      <c r="J320" s="11">
        <f>F320/H320-1</f>
        <v>-0.04203480589022757</v>
      </c>
      <c r="K320" s="13" t="n">
        <v>30415979</v>
      </c>
      <c r="L320" s="13" t="n">
        <v>29017450</v>
      </c>
      <c r="M320" s="21">
        <f>K320/L320</f>
        <v>1.048196137151955</v>
      </c>
    </row>
    <row r="321">
      <c r="A321" s="19" t="inlineStr">
        <is>
          <t>NKTX</t>
        </is>
      </c>
      <c r="B321" s="14" t="inlineStr">
        <is>
          <t>—</t>
        </is>
      </c>
      <c r="C321" s="14" t="inlineStr">
        <is>
          <t>—</t>
        </is>
      </c>
      <c r="D321" s="6" t="inlineStr">
        <is>
          <t>腫瘤與細胞治療</t>
        </is>
      </c>
      <c r="E321" s="61" t="n">
        <v>50</v>
      </c>
      <c r="F321" s="20" t="n">
        <v>2.87</v>
      </c>
      <c r="G321" s="20" t="n">
        <v>2.88</v>
      </c>
      <c r="H321" s="20" t="n">
        <v>2.91</v>
      </c>
      <c r="I321" s="11">
        <f>F321/G321-1</f>
        <v>-0.003472222222222099</v>
      </c>
      <c r="J321" s="11">
        <f>F321/H321-1</f>
        <v>-0.013745704467354014</v>
      </c>
      <c r="K321" s="13" t="n">
        <v>642116</v>
      </c>
      <c r="L321" s="13" t="n">
        <v>490350</v>
      </c>
      <c r="M321" s="21">
        <f>K321/L321</f>
        <v>1.3095054552870398</v>
      </c>
    </row>
    <row r="322">
      <c r="A322" s="19" t="inlineStr">
        <is>
          <t>NNE</t>
        </is>
      </c>
      <c r="B322" s="14" t="inlineStr">
        <is>
          <t>—</t>
        </is>
      </c>
      <c r="C322" s="14" t="inlineStr">
        <is>
          <t>—</t>
        </is>
      </c>
      <c r="D322" s="6" t="inlineStr">
        <is>
          <t>小型模組化核能SMR</t>
        </is>
      </c>
      <c r="E322" s="61" t="n">
        <v>108</v>
      </c>
      <c r="F322" s="20" t="n">
        <v>15.64</v>
      </c>
      <c r="G322" s="20" t="n">
        <v>15.78</v>
      </c>
      <c r="H322" s="20" t="n">
        <v>18.17</v>
      </c>
      <c r="I322" s="11">
        <f>F322/G322-1</f>
        <v>-0.008871989860582907</v>
      </c>
      <c r="J322" s="11">
        <f>F322/H322-1</f>
        <v>-0.139240506329114</v>
      </c>
      <c r="K322" s="13" t="n">
        <v>1965398</v>
      </c>
      <c r="L322" s="13" t="n">
        <v>1524850</v>
      </c>
      <c r="M322" s="21">
        <f>K322/L322</f>
        <v>1.2889123520346264</v>
      </c>
    </row>
    <row r="323">
      <c r="A323" s="19" t="inlineStr">
        <is>
          <t>NOC</t>
        </is>
      </c>
      <c r="B323" s="14" t="inlineStr">
        <is>
          <t>—</t>
        </is>
      </c>
      <c r="C323" s="14" t="inlineStr">
        <is>
          <t>—</t>
        </is>
      </c>
      <c r="D323" s="6" t="inlineStr">
        <is>
          <t>航太與國防</t>
        </is>
      </c>
      <c r="E323" s="61" t="n">
        <v>26</v>
      </c>
      <c r="F323" s="20" t="n">
        <v>530.78</v>
      </c>
      <c r="G323" s="20" t="n">
        <v>531.25</v>
      </c>
      <c r="H323" s="20" t="n">
        <v>515.5700000000001</v>
      </c>
      <c r="I323" s="11">
        <f>F323/G323-1</f>
        <v>-0.0008847058823530096</v>
      </c>
      <c r="J323" s="11">
        <f>F323/H323-1</f>
        <v>0.0295013286265684</v>
      </c>
      <c r="K323" s="13" t="n">
        <v>538010</v>
      </c>
      <c r="L323" s="13" t="n">
        <v>764350</v>
      </c>
      <c r="M323" s="21">
        <f>K323/L323</f>
        <v>0.7038791129718062</v>
      </c>
    </row>
    <row r="324">
      <c r="A324" s="19" t="inlineStr">
        <is>
          <t>NOW</t>
        </is>
      </c>
      <c r="B324" s="14" t="inlineStr">
        <is>
          <t>—</t>
        </is>
      </c>
      <c r="C324" s="14" t="inlineStr">
        <is>
          <t>—</t>
        </is>
      </c>
      <c r="D324" s="6" t="inlineStr">
        <is>
          <t>企業軟體/SaaS</t>
        </is>
      </c>
      <c r="E324" s="61" t="n">
        <v>43</v>
      </c>
      <c r="F324" s="20" t="n">
        <v>139.82</v>
      </c>
      <c r="G324" s="20" t="n">
        <v>141.9</v>
      </c>
      <c r="H324" s="20" t="n">
        <v>131.11</v>
      </c>
      <c r="I324" s="11">
        <f>F324/G324-1</f>
        <v>-0.014658210007047257</v>
      </c>
      <c r="J324" s="11">
        <f>F324/H324-1</f>
        <v>0.06643276637937601</v>
      </c>
      <c r="K324" s="13" t="n">
        <v>9831084</v>
      </c>
      <c r="L324" s="13" t="n">
        <v>14661100</v>
      </c>
      <c r="M324" s="21">
        <f>K324/L324</f>
        <v>0.6705556881816508</v>
      </c>
    </row>
    <row r="325">
      <c r="A325" s="19" t="inlineStr">
        <is>
          <t>NRG</t>
        </is>
      </c>
      <c r="B325" s="14" t="inlineStr">
        <is>
          <t>—</t>
        </is>
      </c>
      <c r="C325" s="14" t="inlineStr">
        <is>
          <t>—</t>
        </is>
      </c>
      <c r="D325" s="6" t="inlineStr">
        <is>
          <t>IPP與電力交易商</t>
        </is>
      </c>
      <c r="E325" s="61" t="n">
        <v>96</v>
      </c>
      <c r="F325" s="20" t="n">
        <v>107.38</v>
      </c>
      <c r="G325" s="20" t="n">
        <v>105.99</v>
      </c>
      <c r="H325" s="20" t="n">
        <v>115.37</v>
      </c>
      <c r="I325" s="11">
        <f>F325/G325-1</f>
        <v>0.013114444758939525</v>
      </c>
      <c r="J325" s="11">
        <f>F325/H325-1</f>
        <v>-0.06925543902227627</v>
      </c>
      <c r="K325" s="13" t="n">
        <v>2008596</v>
      </c>
      <c r="L325" s="13" t="n">
        <v>2708550</v>
      </c>
      <c r="M325" s="21">
        <f>K325/L325</f>
        <v>0.741576120064241</v>
      </c>
    </row>
    <row r="326">
      <c r="A326" s="19" t="inlineStr">
        <is>
          <t>NSC</t>
        </is>
      </c>
      <c r="B326" s="14" t="inlineStr">
        <is>
          <t>—</t>
        </is>
      </c>
      <c r="C326" s="14" t="inlineStr">
        <is>
          <t>—</t>
        </is>
      </c>
      <c r="D326" s="6" t="inlineStr">
        <is>
          <t>鐵路運輸</t>
        </is>
      </c>
      <c r="E326" s="61" t="n">
        <v>62</v>
      </c>
      <c r="F326" s="20" t="n">
        <v>317</v>
      </c>
      <c r="G326" s="20" t="n">
        <v>320.22</v>
      </c>
      <c r="H326" s="20" t="n">
        <v>323.3</v>
      </c>
      <c r="I326" s="11">
        <f>F326/G326-1</f>
        <v>-0.010055586784086024</v>
      </c>
      <c r="J326" s="11">
        <f>F326/H326-1</f>
        <v>-0.019486545004639644</v>
      </c>
      <c r="K326" s="13" t="n">
        <v>793635</v>
      </c>
      <c r="L326" s="13" t="n">
        <v>1160000</v>
      </c>
      <c r="M326" s="21">
        <f>K326/L326</f>
        <v>0.6841681034482758</v>
      </c>
    </row>
    <row r="327">
      <c r="A327" s="19" t="inlineStr">
        <is>
          <t>NTLA</t>
        </is>
      </c>
      <c r="B327" s="14" t="inlineStr">
        <is>
          <t>—</t>
        </is>
      </c>
      <c r="C327" s="14" t="inlineStr">
        <is>
          <t>—</t>
        </is>
      </c>
      <c r="D327" s="6" t="inlineStr">
        <is>
          <t>基因治療與基因編輯</t>
        </is>
      </c>
      <c r="E327" s="61" t="n">
        <v>83</v>
      </c>
      <c r="F327" s="20" t="n">
        <v>11.49</v>
      </c>
      <c r="G327" s="20" t="n">
        <v>11.36</v>
      </c>
      <c r="H327" s="20" t="n">
        <v>12.21</v>
      </c>
      <c r="I327" s="11">
        <f>F327/G327-1</f>
        <v>0.011443661971830998</v>
      </c>
      <c r="J327" s="11">
        <f>F327/H327-1</f>
        <v>-0.05896805896805901</v>
      </c>
      <c r="K327" s="13" t="n">
        <v>4585227</v>
      </c>
      <c r="L327" s="13" t="n">
        <v>3211350</v>
      </c>
      <c r="M327" s="21">
        <f>K327/L327</f>
        <v>1.427819141482554</v>
      </c>
    </row>
    <row r="328">
      <c r="A328" s="19" t="inlineStr">
        <is>
          <t>NTR</t>
        </is>
      </c>
      <c r="B328" s="14" t="inlineStr">
        <is>
          <t>—</t>
        </is>
      </c>
      <c r="C328" s="14" t="inlineStr">
        <is>
          <t>—</t>
        </is>
      </c>
      <c r="D328" s="6" t="inlineStr">
        <is>
          <t>基礎化工與化肥</t>
        </is>
      </c>
      <c r="E328" s="61" t="n">
        <v>61</v>
      </c>
      <c r="F328" s="20" t="n">
        <v>77.68000000000001</v>
      </c>
      <c r="G328" s="20" t="n">
        <v>78.72</v>
      </c>
      <c r="H328" s="20" t="n">
        <v>80.72</v>
      </c>
      <c r="I328" s="11">
        <f>F328/G328-1</f>
        <v>-0.013211382113821002</v>
      </c>
      <c r="J328" s="11">
        <f>F328/H328-1</f>
        <v>-0.037661050545094055</v>
      </c>
      <c r="K328" s="13" t="n">
        <v>1606506</v>
      </c>
      <c r="L328" s="13" t="n">
        <v>2830000</v>
      </c>
      <c r="M328" s="21">
        <f>K328/L328</f>
        <v>0.567669964664311</v>
      </c>
    </row>
    <row r="329">
      <c r="A329" s="58" t="inlineStr">
        <is>
          <t>NUE</t>
        </is>
      </c>
      <c r="B329" s="88" t="inlineStr">
        <is>
          <t>⑥</t>
        </is>
      </c>
      <c r="C329" s="89" t="inlineStr">
        <is>
          <t>—</t>
        </is>
      </c>
      <c r="D329" s="60" t="inlineStr">
        <is>
          <t>鋼鐵</t>
        </is>
      </c>
      <c r="E329" s="49" t="n">
        <v>11</v>
      </c>
      <c r="F329" s="90" t="n">
        <v>260.68</v>
      </c>
      <c r="G329" s="90" t="n">
        <v>258.82</v>
      </c>
      <c r="H329" s="90" t="n">
        <v>257.91</v>
      </c>
      <c r="I329" s="53">
        <f>F329/G329-1</f>
        <v>0.007186461633567731</v>
      </c>
      <c r="J329" s="53">
        <f>F329/H329-1</f>
        <v>0.010740180683183942</v>
      </c>
      <c r="K329" s="91" t="n">
        <v>1089648</v>
      </c>
      <c r="L329" s="91" t="n">
        <v>1081400</v>
      </c>
      <c r="M329" s="92">
        <f>K329/L329</f>
        <v>1.0076271499907528</v>
      </c>
    </row>
    <row r="330">
      <c r="A330" s="19" t="inlineStr">
        <is>
          <t>NVDA</t>
        </is>
      </c>
      <c r="B330" s="14" t="inlineStr">
        <is>
          <t>—</t>
        </is>
      </c>
      <c r="C330" s="14" t="inlineStr">
        <is>
          <t>—</t>
        </is>
      </c>
      <c r="D330" s="6" t="inlineStr">
        <is>
          <t>AI加速晶片/GPU</t>
        </is>
      </c>
      <c r="E330" s="61" t="n">
        <v>57</v>
      </c>
      <c r="F330" s="20" t="n">
        <v>213.9</v>
      </c>
      <c r="G330" s="20" t="n">
        <v>212.17</v>
      </c>
      <c r="H330" s="20" t="n">
        <v>223.67</v>
      </c>
      <c r="I330" s="11">
        <f>F330/G330-1</f>
        <v>0.008153838902766664</v>
      </c>
      <c r="J330" s="11">
        <f>F330/H330-1</f>
        <v>-0.04368042205034195</v>
      </c>
      <c r="K330" s="13" t="n">
        <v>95821454</v>
      </c>
      <c r="L330" s="13" t="n">
        <v>122637300</v>
      </c>
      <c r="M330" s="21">
        <f>K330/L330</f>
        <v>0.781340212154051</v>
      </c>
    </row>
    <row r="331">
      <c r="A331" s="19" t="inlineStr">
        <is>
          <t>NVO</t>
        </is>
      </c>
      <c r="B331" s="14" t="inlineStr">
        <is>
          <t>—</t>
        </is>
      </c>
      <c r="C331" s="14" t="inlineStr">
        <is>
          <t>—</t>
        </is>
      </c>
      <c r="D331" s="6" t="inlineStr">
        <is>
          <t>GLP-1減重與代謝</t>
        </is>
      </c>
      <c r="E331" s="61" t="n">
        <v>94</v>
      </c>
      <c r="F331" s="20" t="n">
        <v>41.71</v>
      </c>
      <c r="G331" s="20" t="n">
        <v>42.53</v>
      </c>
      <c r="H331" s="20" t="n">
        <v>44.56</v>
      </c>
      <c r="I331" s="11">
        <f>F331/G331-1</f>
        <v>-0.019280507876792807</v>
      </c>
      <c r="J331" s="11">
        <f>F331/H331-1</f>
        <v>-0.06395870736086173</v>
      </c>
      <c r="K331" s="13" t="n">
        <v>11638374</v>
      </c>
      <c r="L331" s="13" t="n">
        <v>9512950</v>
      </c>
      <c r="M331" s="21">
        <f>K331/L331</f>
        <v>1.2234242795347394</v>
      </c>
    </row>
    <row r="332">
      <c r="A332" s="19" t="inlineStr">
        <is>
          <t>NVR</t>
        </is>
      </c>
      <c r="B332" s="14" t="inlineStr">
        <is>
          <t>—</t>
        </is>
      </c>
      <c r="C332" s="14" t="inlineStr">
        <is>
          <t>—</t>
        </is>
      </c>
      <c r="D332" s="6" t="inlineStr">
        <is>
          <t>住宅建築商</t>
        </is>
      </c>
      <c r="E332" s="61" t="n">
        <v>44</v>
      </c>
      <c r="F332" s="20" t="n">
        <v>6186.4302</v>
      </c>
      <c r="G332" s="20" t="n">
        <v>6257.4502</v>
      </c>
      <c r="H332" s="20" t="n">
        <v>6187.2998</v>
      </c>
      <c r="I332" s="11">
        <f>F332/G332-1</f>
        <v>-0.011349670829182257</v>
      </c>
      <c r="J332" s="11">
        <f>F332/H332-1</f>
        <v>-0.00014054596158408206</v>
      </c>
      <c r="K332" s="13" t="n">
        <v>38627</v>
      </c>
      <c r="L332" s="13" t="n">
        <v>33800</v>
      </c>
      <c r="M332" s="21">
        <f>K332/L332</f>
        <v>1.142810650887574</v>
      </c>
    </row>
    <row r="333">
      <c r="A333" s="19" t="inlineStr">
        <is>
          <t>NWSA</t>
        </is>
      </c>
      <c r="B333" s="14" t="inlineStr">
        <is>
          <t>—</t>
        </is>
      </c>
      <c r="C333" s="14" t="inlineStr">
        <is>
          <t>—</t>
        </is>
      </c>
      <c r="D333" s="6" t="inlineStr">
        <is>
          <t>傳媒與娛樂內容</t>
        </is>
      </c>
      <c r="E333" s="61" t="n">
        <v>29</v>
      </c>
      <c r="F333" s="20" t="n">
        <v>30.19</v>
      </c>
      <c r="G333" s="20" t="n">
        <v>30.44</v>
      </c>
      <c r="H333" s="20" t="n">
        <v>29.61</v>
      </c>
      <c r="I333" s="11">
        <f>F333/G333-1</f>
        <v>-0.008212877792378448</v>
      </c>
      <c r="J333" s="11">
        <f>F333/H333-1</f>
        <v>0.019587977034785542</v>
      </c>
      <c r="K333" s="13" t="n">
        <v>3200804</v>
      </c>
      <c r="L333" s="13" t="n">
        <v>3504200</v>
      </c>
      <c r="M333" s="21">
        <f>K333/L333</f>
        <v>0.9134193253809714</v>
      </c>
    </row>
    <row r="334">
      <c r="A334" s="19" t="inlineStr">
        <is>
          <t>NXPI</t>
        </is>
      </c>
      <c r="B334" s="14" t="inlineStr">
        <is>
          <t>—</t>
        </is>
      </c>
      <c r="C334" s="14" t="inlineStr">
        <is>
          <t>—</t>
        </is>
      </c>
      <c r="D334" s="6" t="inlineStr">
        <is>
          <t>類比/功率半導體</t>
        </is>
      </c>
      <c r="E334" s="61" t="n">
        <v>52</v>
      </c>
      <c r="F334" s="20" t="n">
        <v>218.98</v>
      </c>
      <c r="G334" s="20" t="n">
        <v>226.35</v>
      </c>
      <c r="H334" s="20" t="n">
        <v>223.32</v>
      </c>
      <c r="I334" s="11">
        <f>F334/G334-1</f>
        <v>-0.03256019438922031</v>
      </c>
      <c r="J334" s="11">
        <f>F334/H334-1</f>
        <v>-0.019433996059466274</v>
      </c>
      <c r="K334" s="13" t="n">
        <v>3338898</v>
      </c>
      <c r="L334" s="13" t="n">
        <v>2981000</v>
      </c>
      <c r="M334" s="21">
        <f>K334/L334</f>
        <v>1.1200597115062059</v>
      </c>
    </row>
    <row r="335">
      <c r="A335" s="19" t="inlineStr">
        <is>
          <t>NXT</t>
        </is>
      </c>
      <c r="B335" s="14" t="inlineStr">
        <is>
          <t>—</t>
        </is>
      </c>
      <c r="C335" s="14" t="inlineStr">
        <is>
          <t>—</t>
        </is>
      </c>
      <c r="D335" s="6" t="inlineStr">
        <is>
          <t>再生能源與太陽能</t>
        </is>
      </c>
      <c r="E335" s="61" t="n">
        <v>97</v>
      </c>
      <c r="F335" s="20" t="n">
        <v>78.03</v>
      </c>
      <c r="G335" s="20" t="n">
        <v>79.79000000000001</v>
      </c>
      <c r="H335" s="20" t="n">
        <v>82.37</v>
      </c>
      <c r="I335" s="11">
        <f>F335/G335-1</f>
        <v>-0.022057901992730944</v>
      </c>
      <c r="J335" s="11">
        <f>F335/H335-1</f>
        <v>-0.05268908583222054</v>
      </c>
      <c r="K335" s="13" t="n">
        <v>2267107</v>
      </c>
      <c r="L335" s="13" t="n">
        <v>1979950</v>
      </c>
      <c r="M335" s="21">
        <f>K335/L335</f>
        <v>1.1450324503144018</v>
      </c>
    </row>
    <row r="336">
      <c r="A336" s="19" t="inlineStr">
        <is>
          <t>O</t>
        </is>
      </c>
      <c r="B336" s="14" t="inlineStr">
        <is>
          <t>—</t>
        </is>
      </c>
      <c r="C336" s="14" t="inlineStr">
        <is>
          <t>—</t>
        </is>
      </c>
      <c r="D336" s="6" t="inlineStr">
        <is>
          <t>零售與購物中心REIT</t>
        </is>
      </c>
      <c r="E336" s="61" t="n">
        <v>98</v>
      </c>
      <c r="F336" s="20" t="n">
        <v>57.15</v>
      </c>
      <c r="G336" s="20" t="n">
        <v>58.71</v>
      </c>
      <c r="H336" s="20" t="n">
        <v>60.11</v>
      </c>
      <c r="I336" s="11">
        <f>F336/G336-1</f>
        <v>-0.02657128257537056</v>
      </c>
      <c r="J336" s="11">
        <f>F336/H336-1</f>
        <v>-0.04924305440026622</v>
      </c>
      <c r="K336" s="13" t="n">
        <v>11607593</v>
      </c>
      <c r="L336" s="13" t="n">
        <v>5342850</v>
      </c>
      <c r="M336" s="21">
        <f>K336/L336</f>
        <v>2.172547048859691</v>
      </c>
    </row>
    <row r="337">
      <c r="A337" s="19" t="inlineStr">
        <is>
          <t>ODFL</t>
        </is>
      </c>
      <c r="B337" s="14" t="inlineStr">
        <is>
          <t>—</t>
        </is>
      </c>
      <c r="C337" s="14" t="inlineStr">
        <is>
          <t>—</t>
        </is>
      </c>
      <c r="D337" s="6" t="inlineStr">
        <is>
          <t>貨運與物流</t>
        </is>
      </c>
      <c r="E337" s="61" t="n">
        <v>81</v>
      </c>
      <c r="F337" s="20" t="n">
        <v>174.36</v>
      </c>
      <c r="G337" s="20" t="n">
        <v>180.96</v>
      </c>
      <c r="H337" s="20" t="n">
        <v>181.96</v>
      </c>
      <c r="I337" s="11">
        <f>F337/G337-1</f>
        <v>-0.036472148541114024</v>
      </c>
      <c r="J337" s="11">
        <f>F337/H337-1</f>
        <v>-0.04176742141129919</v>
      </c>
      <c r="K337" s="13" t="n">
        <v>2755791</v>
      </c>
      <c r="L337" s="13" t="n">
        <v>1378050</v>
      </c>
      <c r="M337" s="21">
        <f>K337/L337</f>
        <v>1.999775770109938</v>
      </c>
    </row>
    <row r="338">
      <c r="A338" s="19" t="inlineStr">
        <is>
          <t>OHI</t>
        </is>
      </c>
      <c r="B338" s="14" t="inlineStr">
        <is>
          <t>—</t>
        </is>
      </c>
      <c r="C338" s="14" t="inlineStr">
        <is>
          <t>—</t>
        </is>
      </c>
      <c r="D338" s="6" t="inlineStr">
        <is>
          <t>醫療與長者住宅REIT</t>
        </is>
      </c>
      <c r="E338" s="61" t="n">
        <v>42</v>
      </c>
      <c r="F338" s="20" t="n">
        <v>46.91</v>
      </c>
      <c r="G338" s="20" t="n">
        <v>47.13</v>
      </c>
      <c r="H338" s="20" t="n">
        <v>47.19</v>
      </c>
      <c r="I338" s="11">
        <f>F338/G338-1</f>
        <v>-0.004667939741141658</v>
      </c>
      <c r="J338" s="11">
        <f>F338/H338-1</f>
        <v>-0.005933460478915076</v>
      </c>
      <c r="K338" s="13" t="n">
        <v>1800966</v>
      </c>
      <c r="L338" s="13" t="n">
        <v>1827850</v>
      </c>
      <c r="M338" s="21">
        <f>K338/L338</f>
        <v>0.9852920097382171</v>
      </c>
    </row>
    <row r="339">
      <c r="A339" s="19" t="inlineStr">
        <is>
          <t>OKE</t>
        </is>
      </c>
      <c r="B339" s="14" t="inlineStr">
        <is>
          <t>—</t>
        </is>
      </c>
      <c r="C339" s="14" t="inlineStr">
        <is>
          <t>—</t>
        </is>
      </c>
      <c r="D339" s="6" t="inlineStr">
        <is>
          <t>中游與管道</t>
        </is>
      </c>
      <c r="E339" s="61" t="n">
        <v>86</v>
      </c>
      <c r="F339" s="20" t="n">
        <v>92.7</v>
      </c>
      <c r="G339" s="20" t="n">
        <v>94.72</v>
      </c>
      <c r="H339" s="20" t="n">
        <v>95.81999999999999</v>
      </c>
      <c r="I339" s="11">
        <f>F339/G339-1</f>
        <v>-0.021326013513513487</v>
      </c>
      <c r="J339" s="11">
        <f>F339/H339-1</f>
        <v>-0.032561051972448296</v>
      </c>
      <c r="K339" s="13" t="n">
        <v>2980724</v>
      </c>
      <c r="L339" s="13" t="n">
        <v>3172650</v>
      </c>
      <c r="M339" s="21">
        <f>K339/L339</f>
        <v>0.9395060911225631</v>
      </c>
    </row>
    <row r="340">
      <c r="A340" s="39" t="inlineStr">
        <is>
          <t>OKLO</t>
        </is>
      </c>
      <c r="B340" s="93" t="inlineStr">
        <is>
          <t>—</t>
        </is>
      </c>
      <c r="C340" s="94" t="inlineStr">
        <is>
          <t>鈾與核燃料／SMR</t>
        </is>
      </c>
      <c r="D340" s="40" t="inlineStr">
        <is>
          <t>小型模組化核能SMR</t>
        </is>
      </c>
      <c r="E340" s="67" t="n">
        <v>108</v>
      </c>
      <c r="F340" s="41" t="n">
        <v>35.62</v>
      </c>
      <c r="G340" s="41" t="n">
        <v>35.98</v>
      </c>
      <c r="H340" s="41" t="n">
        <v>42.57</v>
      </c>
      <c r="I340" s="42">
        <f>F340/G340-1</f>
        <v>-0.010005558643690904</v>
      </c>
      <c r="J340" s="42">
        <f>F340/H340-1</f>
        <v>-0.1632605120977214</v>
      </c>
      <c r="K340" s="43" t="n">
        <v>7791736</v>
      </c>
      <c r="L340" s="43" t="n">
        <v>7796150</v>
      </c>
      <c r="M340" s="44">
        <f>K340/L340</f>
        <v>0.9994338231049942</v>
      </c>
    </row>
    <row r="341">
      <c r="A341" s="19" t="inlineStr">
        <is>
          <t>ON</t>
        </is>
      </c>
      <c r="B341" s="14" t="inlineStr">
        <is>
          <t>—</t>
        </is>
      </c>
      <c r="C341" s="14" t="inlineStr">
        <is>
          <t>—</t>
        </is>
      </c>
      <c r="D341" s="6" t="inlineStr">
        <is>
          <t>類比/功率半導體</t>
        </is>
      </c>
      <c r="E341" s="61" t="n">
        <v>52</v>
      </c>
      <c r="F341" s="20" t="n">
        <v>66.59999999999999</v>
      </c>
      <c r="G341" s="20" t="n">
        <v>73.2</v>
      </c>
      <c r="H341" s="20" t="n">
        <v>70.98</v>
      </c>
      <c r="I341" s="11">
        <f>F341/G341-1</f>
        <v>-0.09016393442622961</v>
      </c>
      <c r="J341" s="11">
        <f>F341/H341-1</f>
        <v>-0.06170752324598494</v>
      </c>
      <c r="K341" s="13" t="n">
        <v>18706351</v>
      </c>
      <c r="L341" s="13" t="n">
        <v>7774000</v>
      </c>
      <c r="M341" s="21">
        <f>K341/L341</f>
        <v>2.4062710316439415</v>
      </c>
    </row>
    <row r="342">
      <c r="A342" s="19" t="inlineStr">
        <is>
          <t>ONDS</t>
        </is>
      </c>
      <c r="B342" s="14" t="inlineStr">
        <is>
          <t>—</t>
        </is>
      </c>
      <c r="C342" s="14" t="inlineStr">
        <is>
          <t>—</t>
        </is>
      </c>
      <c r="D342" s="6" t="inlineStr">
        <is>
          <t>國防科技與無人機</t>
        </is>
      </c>
      <c r="E342" s="61" t="n">
        <v>7</v>
      </c>
      <c r="F342" s="20" t="n">
        <v>7.2</v>
      </c>
      <c r="G342" s="20" t="n">
        <v>7.24</v>
      </c>
      <c r="H342" s="20" t="n">
        <v>7.29</v>
      </c>
      <c r="I342" s="11">
        <f>F342/G342-1</f>
        <v>-0.0055248618784530246</v>
      </c>
      <c r="J342" s="11">
        <f>F342/H342-1</f>
        <v>-0.012345679012345623</v>
      </c>
      <c r="K342" s="13" t="n">
        <v>65017748</v>
      </c>
      <c r="L342" s="13" t="n">
        <v>65819900</v>
      </c>
      <c r="M342" s="21">
        <f>K342/L342</f>
        <v>0.9878129258780399</v>
      </c>
    </row>
    <row r="343">
      <c r="A343" s="19" t="inlineStr">
        <is>
          <t>ONON</t>
        </is>
      </c>
      <c r="B343" s="14" t="inlineStr">
        <is>
          <t>—</t>
        </is>
      </c>
      <c r="C343" s="14" t="inlineStr">
        <is>
          <t>—</t>
        </is>
      </c>
      <c r="D343" s="6" t="inlineStr">
        <is>
          <t>服裝與奢侈品</t>
        </is>
      </c>
      <c r="E343" s="61" t="n">
        <v>79</v>
      </c>
      <c r="F343" s="20" t="n">
        <v>27.15</v>
      </c>
      <c r="G343" s="20" t="n">
        <v>26.76</v>
      </c>
      <c r="H343" s="20" t="n">
        <v>26.84</v>
      </c>
      <c r="I343" s="11">
        <f>F343/G343-1</f>
        <v>0.01457399103139001</v>
      </c>
      <c r="J343" s="11">
        <f>F343/H343-1</f>
        <v>0.01154992548435163</v>
      </c>
      <c r="K343" s="13" t="n">
        <v>8001293</v>
      </c>
      <c r="L343" s="13" t="n">
        <v>7248400</v>
      </c>
      <c r="M343" s="21">
        <f>K343/L343</f>
        <v>1.1038702334308261</v>
      </c>
    </row>
    <row r="344">
      <c r="A344" s="19" t="inlineStr">
        <is>
          <t>OPEN</t>
        </is>
      </c>
      <c r="B344" s="14" t="inlineStr">
        <is>
          <t>—</t>
        </is>
      </c>
      <c r="C344" s="14" t="inlineStr">
        <is>
          <t>—</t>
        </is>
      </c>
      <c r="D344" s="6" t="inlineStr">
        <is>
          <t>地產開發與服務</t>
        </is>
      </c>
      <c r="E344" s="61" t="n">
        <v>75</v>
      </c>
      <c r="F344" s="20" t="n">
        <v>2.59</v>
      </c>
      <c r="G344" s="20" t="n">
        <v>2.65</v>
      </c>
      <c r="H344" s="20" t="n">
        <v>3</v>
      </c>
      <c r="I344" s="11">
        <f>F344/G344-1</f>
        <v>-0.02264150943396226</v>
      </c>
      <c r="J344" s="11">
        <f>F344/H344-1</f>
        <v>-0.13666666666666671</v>
      </c>
      <c r="K344" s="13" t="n">
        <v>39778074</v>
      </c>
      <c r="L344" s="13" t="n">
        <v>29254500</v>
      </c>
      <c r="M344" s="21">
        <f>K344/L344</f>
        <v>1.35972496538994</v>
      </c>
    </row>
    <row r="345">
      <c r="A345" s="19" t="inlineStr">
        <is>
          <t>OSCR</t>
        </is>
      </c>
      <c r="B345" s="14" t="inlineStr">
        <is>
          <t>—</t>
        </is>
      </c>
      <c r="C345" s="14" t="inlineStr">
        <is>
          <t>—</t>
        </is>
      </c>
      <c r="D345" s="6" t="inlineStr">
        <is>
          <t>數位醫療與遠距醫療</t>
        </is>
      </c>
      <c r="E345" s="61" t="n">
        <v>21</v>
      </c>
      <c r="F345" s="20" t="n">
        <v>32.34</v>
      </c>
      <c r="G345" s="20" t="n">
        <v>32.44</v>
      </c>
      <c r="H345" s="20" t="n">
        <v>31.76</v>
      </c>
      <c r="I345" s="11">
        <f>F345/G345-1</f>
        <v>-0.0030826140567199456</v>
      </c>
      <c r="J345" s="11">
        <f>F345/H345-1</f>
        <v>0.018261964735516445</v>
      </c>
      <c r="K345" s="13" t="n">
        <v>6293617</v>
      </c>
      <c r="L345" s="13" t="n">
        <v>4719550</v>
      </c>
      <c r="M345" s="21">
        <f>K345/L345</f>
        <v>1.333520568698287</v>
      </c>
    </row>
    <row r="346">
      <c r="A346" s="19" t="inlineStr">
        <is>
          <t>OWL</t>
        </is>
      </c>
      <c r="B346" s="14" t="inlineStr">
        <is>
          <t>—</t>
        </is>
      </c>
      <c r="C346" s="14" t="inlineStr">
        <is>
          <t>—</t>
        </is>
      </c>
      <c r="D346" s="6" t="inlineStr">
        <is>
          <t>另類資產與私募信貸</t>
        </is>
      </c>
      <c r="E346" s="61" t="n">
        <v>100</v>
      </c>
      <c r="F346" s="20" t="n">
        <v>10.12</v>
      </c>
      <c r="G346" s="20" t="n">
        <v>10.24</v>
      </c>
      <c r="H346" s="20" t="n">
        <v>10.86</v>
      </c>
      <c r="I346" s="11">
        <f>F346/G346-1</f>
        <v>-0.011718750000000111</v>
      </c>
      <c r="J346" s="11">
        <f>F346/H346-1</f>
        <v>-0.06813996316758753</v>
      </c>
      <c r="K346" s="13" t="n">
        <v>16611531</v>
      </c>
      <c r="L346" s="13" t="n">
        <v>17794500</v>
      </c>
      <c r="M346" s="21">
        <f>K346/L346</f>
        <v>0.9335205260052263</v>
      </c>
    </row>
    <row r="347">
      <c r="A347" s="39" t="inlineStr">
        <is>
          <t>OXY</t>
        </is>
      </c>
      <c r="B347" s="93" t="inlineStr">
        <is>
          <t>—</t>
        </is>
      </c>
      <c r="C347" s="94" t="inlineStr">
        <is>
          <t>頁岩E&amp;P／油服</t>
        </is>
      </c>
      <c r="D347" s="40" t="inlineStr">
        <is>
          <t>頁岩E&amp;P勘探生產</t>
        </is>
      </c>
      <c r="E347" s="67" t="n">
        <v>45</v>
      </c>
      <c r="F347" s="41" t="n">
        <v>59.36</v>
      </c>
      <c r="G347" s="41" t="n">
        <v>63.52</v>
      </c>
      <c r="H347" s="41" t="n">
        <v>61.3</v>
      </c>
      <c r="I347" s="42">
        <f>F347/G347-1</f>
        <v>-0.06549118387909325</v>
      </c>
      <c r="J347" s="42">
        <f>F347/H347-1</f>
        <v>-0.031647634584012985</v>
      </c>
      <c r="K347" s="43" t="n">
        <v>11536216</v>
      </c>
      <c r="L347" s="43" t="n">
        <v>7087900</v>
      </c>
      <c r="M347" s="44">
        <f>K347/L347</f>
        <v>1.627592940080983</v>
      </c>
    </row>
    <row r="348">
      <c r="A348" s="19" t="inlineStr">
        <is>
          <t>PAAS</t>
        </is>
      </c>
      <c r="B348" s="14" t="inlineStr">
        <is>
          <t>—</t>
        </is>
      </c>
      <c r="C348" s="14" t="inlineStr">
        <is>
          <t>—</t>
        </is>
      </c>
      <c r="D348" s="6" t="inlineStr">
        <is>
          <t>白銀礦</t>
        </is>
      </c>
      <c r="E348" s="61" t="n">
        <v>106</v>
      </c>
      <c r="F348" s="20" t="n">
        <v>47.56</v>
      </c>
      <c r="G348" s="20" t="n">
        <v>48.42</v>
      </c>
      <c r="H348" s="20" t="n">
        <v>52.9</v>
      </c>
      <c r="I348" s="11">
        <f>F348/G348-1</f>
        <v>-0.01776125567947129</v>
      </c>
      <c r="J348" s="11">
        <f>F348/H348-1</f>
        <v>-0.10094517958412097</v>
      </c>
      <c r="K348" s="13" t="n">
        <v>3197022</v>
      </c>
      <c r="L348" s="13" t="n">
        <v>4447150</v>
      </c>
      <c r="M348" s="21">
        <f>K348/L348</f>
        <v>0.7188923242975839</v>
      </c>
    </row>
    <row r="349">
      <c r="A349" s="19" t="inlineStr">
        <is>
          <t>PANW</t>
        </is>
      </c>
      <c r="B349" s="14" t="inlineStr">
        <is>
          <t>—</t>
        </is>
      </c>
      <c r="C349" s="14" t="inlineStr">
        <is>
          <t>—</t>
        </is>
      </c>
      <c r="D349" s="6" t="inlineStr">
        <is>
          <t>網絡安全</t>
        </is>
      </c>
      <c r="E349" s="61" t="n">
        <v>2</v>
      </c>
      <c r="F349" s="20" t="n">
        <v>375.65</v>
      </c>
      <c r="G349" s="20" t="n">
        <v>375.09</v>
      </c>
      <c r="H349" s="20" t="n">
        <v>335.1</v>
      </c>
      <c r="I349" s="11">
        <f>F349/G349-1</f>
        <v>0.0014929750193286573</v>
      </c>
      <c r="J349" s="11">
        <f>F349/H349-1</f>
        <v>0.12100865413309436</v>
      </c>
      <c r="K349" s="13" t="n">
        <v>5240113</v>
      </c>
      <c r="L349" s="13" t="n">
        <v>5550050</v>
      </c>
      <c r="M349" s="21">
        <f>K349/L349</f>
        <v>0.9441559985946073</v>
      </c>
    </row>
    <row r="350">
      <c r="A350" s="19" t="inlineStr">
        <is>
          <t>PARA</t>
        </is>
      </c>
      <c r="B350" s="14" t="inlineStr">
        <is>
          <t>—</t>
        </is>
      </c>
      <c r="C350" s="14" t="inlineStr">
        <is>
          <t>—</t>
        </is>
      </c>
      <c r="D350" s="6" t="inlineStr">
        <is>
          <t>傳媒與娛樂內容</t>
        </is>
      </c>
      <c r="E350" s="61" t="n">
        <v>29</v>
      </c>
      <c r="F350" s="20" t="n">
        <v>0.967</v>
      </c>
      <c r="G350" s="20" t="n">
        <v>1</v>
      </c>
      <c r="H350" s="20" t="n">
        <v>1.06</v>
      </c>
      <c r="I350" s="11">
        <f>F350/G350-1</f>
        <v>-0.03300000000000003</v>
      </c>
      <c r="J350" s="11">
        <f>F350/H350-1</f>
        <v>-0.08773584905660381</v>
      </c>
      <c r="K350" s="13" t="n">
        <v>48903</v>
      </c>
      <c r="L350" s="13" t="n">
        <v>147750</v>
      </c>
      <c r="M350" s="21">
        <f>K350/L350</f>
        <v>0.33098477157360406</v>
      </c>
    </row>
    <row r="351">
      <c r="A351" s="19" t="inlineStr">
        <is>
          <t>PAYX</t>
        </is>
      </c>
      <c r="B351" s="14" t="inlineStr">
        <is>
          <t>—</t>
        </is>
      </c>
      <c r="C351" s="14" t="inlineStr">
        <is>
          <t>—</t>
        </is>
      </c>
      <c r="D351" s="6" t="inlineStr">
        <is>
          <t>人力與商業服務</t>
        </is>
      </c>
      <c r="E351" s="61" t="n">
        <v>18</v>
      </c>
      <c r="F351" s="20" t="n">
        <v>116.72</v>
      </c>
      <c r="G351" s="20" t="n">
        <v>118.3</v>
      </c>
      <c r="H351" s="20" t="n">
        <v>114.75</v>
      </c>
      <c r="I351" s="11">
        <f>F351/G351-1</f>
        <v>-0.013355874894336428</v>
      </c>
      <c r="J351" s="11">
        <f>F351/H351-1</f>
        <v>0.017167755991285283</v>
      </c>
      <c r="K351" s="13" t="n">
        <v>2424368</v>
      </c>
      <c r="L351" s="13" t="n">
        <v>2290400</v>
      </c>
      <c r="M351" s="21">
        <f>K351/L351</f>
        <v>1.0584910932588194</v>
      </c>
    </row>
    <row r="352">
      <c r="A352" s="58" t="inlineStr">
        <is>
          <t>PBF</t>
        </is>
      </c>
      <c r="B352" s="88" t="inlineStr">
        <is>
          <t>①</t>
        </is>
      </c>
      <c r="C352" s="89" t="inlineStr">
        <is>
          <t>—</t>
        </is>
      </c>
      <c r="D352" s="60" t="inlineStr">
        <is>
          <t>—</t>
        </is>
      </c>
      <c r="E352" s="49" t="n"/>
      <c r="F352" s="90" t="n">
        <v>75.93000000000001</v>
      </c>
      <c r="G352" s="90" t="n">
        <v>74.72</v>
      </c>
      <c r="H352" s="90" t="n">
        <v>76.51000000000001</v>
      </c>
      <c r="I352" s="53">
        <f>F352/G352-1</f>
        <v>0.016193790149892973</v>
      </c>
      <c r="J352" s="53">
        <f>F352/H352-1</f>
        <v>-0.007580708404130165</v>
      </c>
      <c r="K352" s="91" t="n">
        <v>3811063</v>
      </c>
      <c r="L352" s="91" t="n">
        <v>2415250</v>
      </c>
      <c r="M352" s="92">
        <f>K352/L352</f>
        <v>1.5779165717834593</v>
      </c>
    </row>
    <row r="353">
      <c r="A353" s="19" t="inlineStr">
        <is>
          <t>PCAR</t>
        </is>
      </c>
      <c r="B353" s="14" t="inlineStr">
        <is>
          <t>—</t>
        </is>
      </c>
      <c r="C353" s="14" t="inlineStr">
        <is>
          <t>—</t>
        </is>
      </c>
      <c r="D353" s="6" t="inlineStr">
        <is>
          <t>機械與重工</t>
        </is>
      </c>
      <c r="E353" s="61" t="n">
        <v>39</v>
      </c>
      <c r="F353" s="20" t="n">
        <v>118.22</v>
      </c>
      <c r="G353" s="20" t="n">
        <v>122.46</v>
      </c>
      <c r="H353" s="20" t="n">
        <v>121.88</v>
      </c>
      <c r="I353" s="11">
        <f>F353/G353-1</f>
        <v>-0.03462355054711741</v>
      </c>
      <c r="J353" s="11">
        <f>F353/H353-1</f>
        <v>-0.03002953724975388</v>
      </c>
      <c r="K353" s="13" t="n">
        <v>2697578</v>
      </c>
      <c r="L353" s="13" t="n">
        <v>2337100</v>
      </c>
      <c r="M353" s="21">
        <f>K353/L353</f>
        <v>1.1542415814470925</v>
      </c>
    </row>
    <row r="354">
      <c r="A354" s="19" t="inlineStr">
        <is>
          <t>PEP</t>
        </is>
      </c>
      <c r="B354" s="14" t="inlineStr">
        <is>
          <t>—</t>
        </is>
      </c>
      <c r="C354" s="14" t="inlineStr">
        <is>
          <t>—</t>
        </is>
      </c>
      <c r="D354" s="6" t="inlineStr">
        <is>
          <t>非酒精飲品</t>
        </is>
      </c>
      <c r="E354" s="61" t="n">
        <v>47</v>
      </c>
      <c r="F354" s="20" t="n">
        <v>134.34</v>
      </c>
      <c r="G354" s="20" t="n">
        <v>135.5</v>
      </c>
      <c r="H354" s="20" t="n">
        <v>136.69</v>
      </c>
      <c r="I354" s="11">
        <f>F354/G354-1</f>
        <v>-0.00856088560885604</v>
      </c>
      <c r="J354" s="11">
        <f>F354/H354-1</f>
        <v>-0.01719218669983169</v>
      </c>
      <c r="K354" s="13" t="n">
        <v>6762364</v>
      </c>
      <c r="L354" s="13" t="n">
        <v>7004350</v>
      </c>
      <c r="M354" s="21">
        <f>K354/L354</f>
        <v>0.9654520405176783</v>
      </c>
    </row>
    <row r="355">
      <c r="A355" s="19" t="inlineStr">
        <is>
          <t>PFE</t>
        </is>
      </c>
      <c r="B355" s="14" t="inlineStr">
        <is>
          <t>—</t>
        </is>
      </c>
      <c r="C355" s="14" t="inlineStr">
        <is>
          <t>—</t>
        </is>
      </c>
      <c r="D355" s="6" t="inlineStr">
        <is>
          <t>大型藥廠</t>
        </is>
      </c>
      <c r="E355" s="61" t="n">
        <v>23</v>
      </c>
      <c r="F355" s="20" t="n">
        <v>27.46</v>
      </c>
      <c r="G355" s="20" t="n">
        <v>27.55</v>
      </c>
      <c r="H355" s="20" t="n">
        <v>27.78</v>
      </c>
      <c r="I355" s="11">
        <f>F355/G355-1</f>
        <v>-0.0032667876588021727</v>
      </c>
      <c r="J355" s="11">
        <f>F355/H355-1</f>
        <v>-0.011519078473722133</v>
      </c>
      <c r="K355" s="13" t="n">
        <v>26039670</v>
      </c>
      <c r="L355" s="13" t="n">
        <v>31473650</v>
      </c>
      <c r="M355" s="21">
        <f>K355/L355</f>
        <v>0.8273482738735418</v>
      </c>
    </row>
    <row r="356">
      <c r="A356" s="19" t="inlineStr">
        <is>
          <t>PFGC</t>
        </is>
      </c>
      <c r="B356" s="14" t="inlineStr">
        <is>
          <t>—</t>
        </is>
      </c>
      <c r="C356" s="14" t="inlineStr">
        <is>
          <t>—</t>
        </is>
      </c>
      <c r="D356" s="6" t="inlineStr">
        <is>
          <t>必需品分銷</t>
        </is>
      </c>
      <c r="E356" s="61" t="n">
        <v>92</v>
      </c>
      <c r="F356" s="20" t="n">
        <v>91.06</v>
      </c>
      <c r="G356" s="20" t="n">
        <v>88.97</v>
      </c>
      <c r="H356" s="20" t="n">
        <v>95.63</v>
      </c>
      <c r="I356" s="11">
        <f>F356/G356-1</f>
        <v>0.02349106440373161</v>
      </c>
      <c r="J356" s="11">
        <f>F356/H356-1</f>
        <v>-0.04778835093589873</v>
      </c>
      <c r="K356" s="13" t="n">
        <v>1818303</v>
      </c>
      <c r="L356" s="13" t="n">
        <v>1367050</v>
      </c>
      <c r="M356" s="21">
        <f>K356/L356</f>
        <v>1.330092535020665</v>
      </c>
    </row>
    <row r="357">
      <c r="A357" s="19" t="inlineStr">
        <is>
          <t>PG</t>
        </is>
      </c>
      <c r="B357" s="14" t="inlineStr">
        <is>
          <t>—</t>
        </is>
      </c>
      <c r="C357" s="14" t="inlineStr">
        <is>
          <t>—</t>
        </is>
      </c>
      <c r="D357" s="6" t="inlineStr">
        <is>
          <t>家庭與個人護理</t>
        </is>
      </c>
      <c r="E357" s="61" t="n">
        <v>15</v>
      </c>
      <c r="F357" s="20" t="n">
        <v>147.02</v>
      </c>
      <c r="G357" s="20" t="n">
        <v>146.67</v>
      </c>
      <c r="H357" s="20" t="n">
        <v>142.64</v>
      </c>
      <c r="I357" s="11">
        <f>F357/G357-1</f>
        <v>0.0023863094020593056</v>
      </c>
      <c r="J357" s="11">
        <f>F357/H357-1</f>
        <v>0.030706674144700186</v>
      </c>
      <c r="K357" s="13" t="n">
        <v>6949663</v>
      </c>
      <c r="L357" s="13" t="n">
        <v>8753700</v>
      </c>
      <c r="M357" s="21">
        <f>K357/L357</f>
        <v>0.7939114888561408</v>
      </c>
    </row>
    <row r="358">
      <c r="A358" s="19" t="inlineStr">
        <is>
          <t>PGR</t>
        </is>
      </c>
      <c r="B358" s="14" t="inlineStr">
        <is>
          <t>—</t>
        </is>
      </c>
      <c r="C358" s="14" t="inlineStr">
        <is>
          <t>—</t>
        </is>
      </c>
      <c r="D358" s="6" t="inlineStr">
        <is>
          <t>產險與再保</t>
        </is>
      </c>
      <c r="E358" s="61" t="n">
        <v>6</v>
      </c>
      <c r="F358" s="20" t="n">
        <v>216.99</v>
      </c>
      <c r="G358" s="20" t="n">
        <v>221.31</v>
      </c>
      <c r="H358" s="20" t="n">
        <v>215.5</v>
      </c>
      <c r="I358" s="11">
        <f>F358/G358-1</f>
        <v>-0.01952013013420084</v>
      </c>
      <c r="J358" s="11">
        <f>F358/H358-1</f>
        <v>0.006914153132250522</v>
      </c>
      <c r="K358" s="13" t="n">
        <v>1645711</v>
      </c>
      <c r="L358" s="13" t="n">
        <v>1795450</v>
      </c>
      <c r="M358" s="21">
        <f>K358/L358</f>
        <v>0.9166008521540561</v>
      </c>
    </row>
    <row r="359">
      <c r="A359" s="19" t="inlineStr">
        <is>
          <t>PHM</t>
        </is>
      </c>
      <c r="B359" s="14" t="inlineStr">
        <is>
          <t>—</t>
        </is>
      </c>
      <c r="C359" s="14" t="inlineStr">
        <is>
          <t>—</t>
        </is>
      </c>
      <c r="D359" s="6" t="inlineStr">
        <is>
          <t>住宅建築商</t>
        </is>
      </c>
      <c r="E359" s="61" t="n">
        <v>44</v>
      </c>
      <c r="F359" s="20" t="n">
        <v>117.55</v>
      </c>
      <c r="G359" s="20" t="n">
        <v>119.47</v>
      </c>
      <c r="H359" s="20" t="n">
        <v>118.93</v>
      </c>
      <c r="I359" s="11">
        <f>F359/G359-1</f>
        <v>-0.01607098016238384</v>
      </c>
      <c r="J359" s="11">
        <f>F359/H359-1</f>
        <v>-0.011603464222652016</v>
      </c>
      <c r="K359" s="13" t="n">
        <v>1454349</v>
      </c>
      <c r="L359" s="13" t="n">
        <v>1215550</v>
      </c>
      <c r="M359" s="21">
        <f>K359/L359</f>
        <v>1.1964534572827115</v>
      </c>
    </row>
    <row r="360">
      <c r="A360" s="19" t="inlineStr">
        <is>
          <t>PINS</t>
        </is>
      </c>
      <c r="B360" s="14" t="inlineStr">
        <is>
          <t>—</t>
        </is>
      </c>
      <c r="C360" s="14" t="inlineStr">
        <is>
          <t>—</t>
        </is>
      </c>
      <c r="D360" s="6" t="inlineStr">
        <is>
          <t>社交與線上社群</t>
        </is>
      </c>
      <c r="E360" s="61" t="n">
        <v>10</v>
      </c>
      <c r="F360" s="20" t="n">
        <v>18.65</v>
      </c>
      <c r="G360" s="20" t="n">
        <v>18.76</v>
      </c>
      <c r="H360" s="20" t="n">
        <v>18.28</v>
      </c>
      <c r="I360" s="11">
        <f>F360/G360-1</f>
        <v>-0.005863539445629118</v>
      </c>
      <c r="J360" s="11">
        <f>F360/H360-1</f>
        <v>0.020240700218818297</v>
      </c>
      <c r="K360" s="13" t="n">
        <v>12810545</v>
      </c>
      <c r="L360" s="13" t="n">
        <v>10737100</v>
      </c>
      <c r="M360" s="21">
        <f>K360/L360</f>
        <v>1.1931103370556295</v>
      </c>
    </row>
    <row r="361">
      <c r="A361" s="19" t="inlineStr">
        <is>
          <t>PKG</t>
        </is>
      </c>
      <c r="B361" s="14" t="inlineStr">
        <is>
          <t>—</t>
        </is>
      </c>
      <c r="C361" s="14" t="inlineStr">
        <is>
          <t>—</t>
        </is>
      </c>
      <c r="D361" s="6" t="inlineStr">
        <is>
          <t>包裝與建材</t>
        </is>
      </c>
      <c r="E361" s="61" t="n">
        <v>59</v>
      </c>
      <c r="F361" s="20" t="n">
        <v>231.45</v>
      </c>
      <c r="G361" s="20" t="n">
        <v>231.21</v>
      </c>
      <c r="H361" s="20" t="n">
        <v>227.28</v>
      </c>
      <c r="I361" s="11">
        <f>F361/G361-1</f>
        <v>0.0010380173867912124</v>
      </c>
      <c r="J361" s="11">
        <f>F361/H361-1</f>
        <v>0.018347412882787628</v>
      </c>
      <c r="K361" s="13" t="n">
        <v>517329</v>
      </c>
      <c r="L361" s="13" t="n">
        <v>544850</v>
      </c>
      <c r="M361" s="21">
        <f>K361/L361</f>
        <v>0.9494888501422409</v>
      </c>
    </row>
    <row r="362">
      <c r="A362" s="19" t="inlineStr">
        <is>
          <t>PL</t>
        </is>
      </c>
      <c r="B362" s="14" t="inlineStr">
        <is>
          <t>—</t>
        </is>
      </c>
      <c r="C362" s="14" t="inlineStr">
        <is>
          <t>—</t>
        </is>
      </c>
      <c r="D362" s="6" t="inlineStr">
        <is>
          <t>太空與衛星</t>
        </is>
      </c>
      <c r="E362" s="61" t="n">
        <v>40</v>
      </c>
      <c r="F362" s="20" t="n">
        <v>16.02</v>
      </c>
      <c r="G362" s="20" t="n">
        <v>16.02</v>
      </c>
      <c r="H362" s="20" t="n">
        <v>17.22</v>
      </c>
      <c r="I362" s="11">
        <f>F362/G362-1</f>
        <v>0.0</v>
      </c>
      <c r="J362" s="11">
        <f>F362/H362-1</f>
        <v>-0.06968641114982577</v>
      </c>
      <c r="K362" s="13" t="n">
        <v>8595449</v>
      </c>
      <c r="L362" s="13" t="n">
        <v>7299000</v>
      </c>
      <c r="M362" s="21">
        <f>K362/L362</f>
        <v>1.1776200849431429</v>
      </c>
    </row>
    <row r="363">
      <c r="A363" s="19" t="inlineStr">
        <is>
          <t>PLD</t>
        </is>
      </c>
      <c r="B363" s="14" t="inlineStr">
        <is>
          <t>—</t>
        </is>
      </c>
      <c r="C363" s="14" t="inlineStr">
        <is>
          <t>—</t>
        </is>
      </c>
      <c r="D363" s="6" t="inlineStr">
        <is>
          <t>工業與物流REIT</t>
        </is>
      </c>
      <c r="E363" s="61" t="n">
        <v>19</v>
      </c>
      <c r="F363" s="20" t="n">
        <v>133.74</v>
      </c>
      <c r="G363" s="20" t="n">
        <v>135.84</v>
      </c>
      <c r="H363" s="20" t="n">
        <v>135.66</v>
      </c>
      <c r="I363" s="11">
        <f>F363/G363-1</f>
        <v>-0.015459363957597172</v>
      </c>
      <c r="J363" s="11">
        <f>F363/H363-1</f>
        <v>-0.014153029632905656</v>
      </c>
      <c r="K363" s="13" t="n">
        <v>2895746</v>
      </c>
      <c r="L363" s="13" t="n">
        <v>3019150</v>
      </c>
      <c r="M363" s="21">
        <f>K363/L363</f>
        <v>0.959126244141563</v>
      </c>
    </row>
    <row r="364">
      <c r="A364" s="19" t="inlineStr">
        <is>
          <t>PLTK</t>
        </is>
      </c>
      <c r="B364" s="14" t="inlineStr">
        <is>
          <t>—</t>
        </is>
      </c>
      <c r="C364" s="14" t="inlineStr">
        <is>
          <t>—</t>
        </is>
      </c>
      <c r="D364" s="6" t="inlineStr">
        <is>
          <t>互動遊戲</t>
        </is>
      </c>
      <c r="E364" s="61" t="n">
        <v>54</v>
      </c>
      <c r="F364" s="20" t="n">
        <v>2.33</v>
      </c>
      <c r="G364" s="20" t="n">
        <v>2.37</v>
      </c>
      <c r="H364" s="20" t="n">
        <v>2.26</v>
      </c>
      <c r="I364" s="11">
        <f>F364/G364-1</f>
        <v>-0.016877637130801704</v>
      </c>
      <c r="J364" s="11">
        <f>F364/H364-1</f>
        <v>0.030973451327433787</v>
      </c>
      <c r="K364" s="13" t="n">
        <v>1123760</v>
      </c>
      <c r="L364" s="13" t="n">
        <v>1257500</v>
      </c>
      <c r="M364" s="21">
        <f>K364/L364</f>
        <v>0.8936461232604374</v>
      </c>
    </row>
    <row r="365">
      <c r="A365" s="19" t="inlineStr">
        <is>
          <t>PLTR</t>
        </is>
      </c>
      <c r="B365" s="14" t="inlineStr">
        <is>
          <t>—</t>
        </is>
      </c>
      <c r="C365" s="14" t="inlineStr">
        <is>
          <t>—</t>
        </is>
      </c>
      <c r="D365" s="6" t="inlineStr">
        <is>
          <t>資料/分析平台</t>
        </is>
      </c>
      <c r="E365" s="61" t="n">
        <v>8</v>
      </c>
      <c r="F365" s="20" t="n">
        <v>174.34</v>
      </c>
      <c r="G365" s="20" t="n">
        <v>172.56</v>
      </c>
      <c r="H365" s="20" t="n">
        <v>169.53</v>
      </c>
      <c r="I365" s="11">
        <f>F365/G365-1</f>
        <v>0.010315252665739516</v>
      </c>
      <c r="J365" s="11">
        <f>F365/H365-1</f>
        <v>0.028372559429009625</v>
      </c>
      <c r="K365" s="13" t="n">
        <v>20098723</v>
      </c>
      <c r="L365" s="13" t="n">
        <v>27943600</v>
      </c>
      <c r="M365" s="21">
        <f>K365/L365</f>
        <v>0.7192603315249287</v>
      </c>
    </row>
    <row r="366">
      <c r="A366" s="19" t="inlineStr">
        <is>
          <t>PM</t>
        </is>
      </c>
      <c r="B366" s="14" t="inlineStr">
        <is>
          <t>—</t>
        </is>
      </c>
      <c r="C366" s="14" t="inlineStr">
        <is>
          <t>—</t>
        </is>
      </c>
      <c r="D366" s="6" t="inlineStr">
        <is>
          <t>煙草與尼古丁</t>
        </is>
      </c>
      <c r="E366" s="61" t="n">
        <v>31</v>
      </c>
      <c r="F366" s="20" t="n">
        <v>191.71</v>
      </c>
      <c r="G366" s="20" t="n">
        <v>194.11</v>
      </c>
      <c r="H366" s="20" t="n">
        <v>185.71</v>
      </c>
      <c r="I366" s="11">
        <f>F366/G366-1</f>
        <v>-0.012364123435165686</v>
      </c>
      <c r="J366" s="11">
        <f>F366/H366-1</f>
        <v>0.032308437887028196</v>
      </c>
      <c r="K366" s="13" t="n">
        <v>2930563</v>
      </c>
      <c r="L366" s="13" t="n">
        <v>4112600</v>
      </c>
      <c r="M366" s="21">
        <f>K366/L366</f>
        <v>0.7125815785634392</v>
      </c>
    </row>
    <row r="367">
      <c r="A367" s="39" t="inlineStr">
        <is>
          <t>PNC</t>
        </is>
      </c>
      <c r="B367" s="93" t="inlineStr">
        <is>
          <t>—</t>
        </is>
      </c>
      <c r="C367" s="94" t="inlineStr">
        <is>
          <t>區域銀行</t>
        </is>
      </c>
      <c r="D367" s="40" t="inlineStr">
        <is>
          <t>區域與社區銀行</t>
        </is>
      </c>
      <c r="E367" s="67" t="n">
        <v>89</v>
      </c>
      <c r="F367" s="41" t="n">
        <v>231.49</v>
      </c>
      <c r="G367" s="41" t="n">
        <v>240.78</v>
      </c>
      <c r="H367" s="41" t="n">
        <v>240.69</v>
      </c>
      <c r="I367" s="42">
        <f>F367/G367-1</f>
        <v>-0.03858293878229091</v>
      </c>
      <c r="J367" s="42">
        <f>F367/H367-1</f>
        <v>-0.03822344094062902</v>
      </c>
      <c r="K367" s="43" t="n">
        <v>2752968</v>
      </c>
      <c r="L367" s="43" t="n">
        <v>1456000</v>
      </c>
      <c r="M367" s="44">
        <f>K367/L367</f>
        <v>1.8907747252747253</v>
      </c>
    </row>
    <row r="368">
      <c r="A368" s="19" t="inlineStr">
        <is>
          <t>POET</t>
        </is>
      </c>
      <c r="B368" s="14" t="inlineStr">
        <is>
          <t>—</t>
        </is>
      </c>
      <c r="C368" s="14" t="inlineStr">
        <is>
          <t>—</t>
        </is>
      </c>
      <c r="D368" s="6" t="inlineStr">
        <is>
          <t>光通訊/CPO</t>
        </is>
      </c>
      <c r="E368" s="61" t="n">
        <v>34</v>
      </c>
      <c r="F368" s="20" t="n">
        <v>7.4</v>
      </c>
      <c r="G368" s="20" t="n">
        <v>7.21</v>
      </c>
      <c r="H368" s="20" t="n">
        <v>8</v>
      </c>
      <c r="I368" s="11">
        <f>F368/G368-1</f>
        <v>0.026352288488210807</v>
      </c>
      <c r="J368" s="11">
        <f>F368/H368-1</f>
        <v>-0.07499999999999996</v>
      </c>
      <c r="K368" s="13" t="n">
        <v>5675795</v>
      </c>
      <c r="L368" s="13" t="n">
        <v>7571300</v>
      </c>
      <c r="M368" s="21">
        <f>K368/L368</f>
        <v>0.749646031725067</v>
      </c>
    </row>
    <row r="369">
      <c r="A369" s="19" t="inlineStr">
        <is>
          <t>POOL</t>
        </is>
      </c>
      <c r="B369" s="14" t="inlineStr">
        <is>
          <t>—</t>
        </is>
      </c>
      <c r="C369" s="14" t="inlineStr">
        <is>
          <t>—</t>
        </is>
      </c>
      <c r="D369" s="6" t="inlineStr">
        <is>
          <t>家居耐用與休閒用品</t>
        </is>
      </c>
      <c r="E369" s="61" t="n">
        <v>103</v>
      </c>
      <c r="F369" s="20" t="n">
        <v>167.76</v>
      </c>
      <c r="G369" s="20" t="n">
        <v>166.86</v>
      </c>
      <c r="H369" s="20" t="n">
        <v>177.92</v>
      </c>
      <c r="I369" s="11">
        <f>F369/G369-1</f>
        <v>0.005393743257820827</v>
      </c>
      <c r="J369" s="11">
        <f>F369/H369-1</f>
        <v>-0.057104316546762623</v>
      </c>
      <c r="K369" s="13" t="n">
        <v>762474</v>
      </c>
      <c r="L369" s="13" t="n">
        <v>565550</v>
      </c>
      <c r="M369" s="21">
        <f>K369/L369</f>
        <v>1.3481990982229688</v>
      </c>
    </row>
    <row r="370">
      <c r="A370" s="19" t="inlineStr">
        <is>
          <t>PRIM</t>
        </is>
      </c>
      <c r="B370" s="14" t="inlineStr">
        <is>
          <t>—</t>
        </is>
      </c>
      <c r="C370" s="14" t="inlineStr">
        <is>
          <t>—</t>
        </is>
      </c>
      <c r="D370" s="6" t="inlineStr">
        <is>
          <t>工程建設/EPC</t>
        </is>
      </c>
      <c r="E370" s="61" t="n">
        <v>51</v>
      </c>
      <c r="F370" s="20" t="n">
        <v>76.94</v>
      </c>
      <c r="G370" s="20" t="n">
        <v>76.72</v>
      </c>
      <c r="H370" s="20" t="n">
        <v>73.84999999999999</v>
      </c>
      <c r="I370" s="11">
        <f>F370/G370-1</f>
        <v>0.0028675703858185297</v>
      </c>
      <c r="J370" s="11">
        <f>F370/H370-1</f>
        <v>0.041841570751523394</v>
      </c>
      <c r="K370" s="13" t="n">
        <v>1386570</v>
      </c>
      <c r="L370" s="13" t="n">
        <v>1013650</v>
      </c>
      <c r="M370" s="21">
        <f>K370/L370</f>
        <v>1.3678981897104523</v>
      </c>
    </row>
    <row r="371">
      <c r="A371" s="19" t="inlineStr">
        <is>
          <t>PRU</t>
        </is>
      </c>
      <c r="B371" s="14" t="inlineStr">
        <is>
          <t>—</t>
        </is>
      </c>
      <c r="C371" s="14" t="inlineStr">
        <is>
          <t>—</t>
        </is>
      </c>
      <c r="D371" s="6" t="inlineStr">
        <is>
          <t>壽險與年金</t>
        </is>
      </c>
      <c r="E371" s="61" t="n">
        <v>12</v>
      </c>
      <c r="F371" s="20" t="n">
        <v>117.04</v>
      </c>
      <c r="G371" s="20" t="n">
        <v>119.31</v>
      </c>
      <c r="H371" s="20" t="n">
        <v>117.59</v>
      </c>
      <c r="I371" s="11">
        <f>F371/G371-1</f>
        <v>-0.01902606654932526</v>
      </c>
      <c r="J371" s="11">
        <f>F371/H371-1</f>
        <v>-0.004677268475210439</v>
      </c>
      <c r="K371" s="13" t="n">
        <v>2223020</v>
      </c>
      <c r="L371" s="13" t="n">
        <v>1468900</v>
      </c>
      <c r="M371" s="21">
        <f>K371/L371</f>
        <v>1.5133909728368167</v>
      </c>
    </row>
    <row r="372">
      <c r="A372" s="19" t="inlineStr">
        <is>
          <t>PSA</t>
        </is>
      </c>
      <c r="B372" s="14" t="inlineStr">
        <is>
          <t>—</t>
        </is>
      </c>
      <c r="C372" s="14" t="inlineStr">
        <is>
          <t>—</t>
        </is>
      </c>
      <c r="D372" s="6" t="inlineStr">
        <is>
          <t>特殊型REIT（自存倉/賭場/廣告牌）</t>
        </is>
      </c>
      <c r="E372" s="61" t="n">
        <v>55</v>
      </c>
      <c r="F372" s="20" t="n">
        <v>294.68</v>
      </c>
      <c r="G372" s="20" t="n">
        <v>296.68</v>
      </c>
      <c r="H372" s="20" t="n">
        <v>294.6</v>
      </c>
      <c r="I372" s="11">
        <f>F372/G372-1</f>
        <v>-0.006741270055278359</v>
      </c>
      <c r="J372" s="11">
        <f>F372/H372-1</f>
        <v>0.00027155465037331794</v>
      </c>
      <c r="K372" s="13" t="n">
        <v>804400</v>
      </c>
      <c r="L372" s="13" t="n">
        <v>727850</v>
      </c>
      <c r="M372" s="21">
        <f>K372/L372</f>
        <v>1.1051727691145155</v>
      </c>
    </row>
    <row r="373">
      <c r="A373" s="58" t="inlineStr">
        <is>
          <t>PSX</t>
        </is>
      </c>
      <c r="B373" s="88" t="inlineStr">
        <is>
          <t>①</t>
        </is>
      </c>
      <c r="C373" s="89" t="inlineStr">
        <is>
          <t>—</t>
        </is>
      </c>
      <c r="D373" s="60" t="inlineStr">
        <is>
          <t>煉油與成品油</t>
        </is>
      </c>
      <c r="E373" s="49" t="n">
        <v>4</v>
      </c>
      <c r="F373" s="90" t="n">
        <v>264.63</v>
      </c>
      <c r="G373" s="90" t="n">
        <v>264.93</v>
      </c>
      <c r="H373" s="90" t="n">
        <v>260.78</v>
      </c>
      <c r="I373" s="53">
        <f>F373/G373-1</f>
        <v>-0.0011323745895142068</v>
      </c>
      <c r="J373" s="53">
        <f>F373/H373-1</f>
        <v>0.014763402101388268</v>
      </c>
      <c r="K373" s="91" t="n">
        <v>2670800</v>
      </c>
      <c r="L373" s="91" t="n">
        <v>2685750</v>
      </c>
      <c r="M373" s="92">
        <f>K373/L373</f>
        <v>0.9944335846597785</v>
      </c>
    </row>
    <row r="374">
      <c r="A374" s="58" t="inlineStr">
        <is>
          <t>PWR</t>
        </is>
      </c>
      <c r="B374" s="88" t="inlineStr">
        <is>
          <t>③</t>
        </is>
      </c>
      <c r="C374" s="89" t="inlineStr">
        <is>
          <t>—</t>
        </is>
      </c>
      <c r="D374" s="60" t="inlineStr">
        <is>
          <t>電氣設備與電網</t>
        </is>
      </c>
      <c r="E374" s="49" t="n">
        <v>14</v>
      </c>
      <c r="F374" s="90" t="n">
        <v>619.28</v>
      </c>
      <c r="G374" s="90" t="n">
        <v>613.35</v>
      </c>
      <c r="H374" s="90" t="n">
        <v>626.98</v>
      </c>
      <c r="I374" s="53">
        <f>F374/G374-1</f>
        <v>0.009668215537621094</v>
      </c>
      <c r="J374" s="53">
        <f>F374/H374-1</f>
        <v>-0.012281093495805306</v>
      </c>
      <c r="K374" s="91" t="n">
        <v>744668</v>
      </c>
      <c r="L374" s="91" t="n">
        <v>973350</v>
      </c>
      <c r="M374" s="92">
        <f>K374/L374</f>
        <v>0.7650567627266657</v>
      </c>
    </row>
    <row r="375">
      <c r="A375" s="19" t="inlineStr">
        <is>
          <t>PYPL</t>
        </is>
      </c>
      <c r="B375" s="14" t="inlineStr">
        <is>
          <t>—</t>
        </is>
      </c>
      <c r="C375" s="14" t="inlineStr">
        <is>
          <t>—</t>
        </is>
      </c>
      <c r="D375" s="6" t="inlineStr">
        <is>
          <t>支付與收單</t>
        </is>
      </c>
      <c r="E375" s="61" t="n">
        <v>24</v>
      </c>
      <c r="F375" s="20" t="n">
        <v>52.71</v>
      </c>
      <c r="G375" s="20" t="n">
        <v>53.81</v>
      </c>
      <c r="H375" s="20" t="n">
        <v>52.17</v>
      </c>
      <c r="I375" s="11">
        <f>F375/G375-1</f>
        <v>-0.020442296970823337</v>
      </c>
      <c r="J375" s="11">
        <f>F375/H375-1</f>
        <v>0.01035077630822312</v>
      </c>
      <c r="K375" s="13" t="n">
        <v>8248678</v>
      </c>
      <c r="L375" s="13" t="n">
        <v>10262100</v>
      </c>
      <c r="M375" s="21">
        <f>K375/L375</f>
        <v>0.8038001968408026</v>
      </c>
    </row>
    <row r="376">
      <c r="A376" s="19" t="inlineStr">
        <is>
          <t>QBTS</t>
        </is>
      </c>
      <c r="B376" s="14" t="inlineStr">
        <is>
          <t>—</t>
        </is>
      </c>
      <c r="C376" s="14" t="inlineStr">
        <is>
          <t>—</t>
        </is>
      </c>
      <c r="D376" s="6" t="inlineStr">
        <is>
          <t>量子運算</t>
        </is>
      </c>
      <c r="E376" s="61" t="n">
        <v>69</v>
      </c>
      <c r="F376" s="20" t="n">
        <v>16.27</v>
      </c>
      <c r="G376" s="20" t="n">
        <v>16.41</v>
      </c>
      <c r="H376" s="20" t="n">
        <v>17.12</v>
      </c>
      <c r="I376" s="11">
        <f>F376/G376-1</f>
        <v>-0.008531383302864182</v>
      </c>
      <c r="J376" s="11">
        <f>F376/H376-1</f>
        <v>-0.0496495327102805</v>
      </c>
      <c r="K376" s="13" t="n">
        <v>13474344</v>
      </c>
      <c r="L376" s="13" t="n">
        <v>12923950</v>
      </c>
      <c r="M376" s="21">
        <f>K376/L376</f>
        <v>1.0425871347382185</v>
      </c>
    </row>
    <row r="377">
      <c r="A377" s="19" t="inlineStr">
        <is>
          <t>QUBT</t>
        </is>
      </c>
      <c r="B377" s="14" t="inlineStr">
        <is>
          <t>—</t>
        </is>
      </c>
      <c r="C377" s="14" t="inlineStr">
        <is>
          <t>—</t>
        </is>
      </c>
      <c r="D377" s="6" t="inlineStr">
        <is>
          <t>量子運算</t>
        </is>
      </c>
      <c r="E377" s="61" t="n">
        <v>69</v>
      </c>
      <c r="F377" s="20" t="n">
        <v>8</v>
      </c>
      <c r="G377" s="20" t="n">
        <v>7.84</v>
      </c>
      <c r="H377" s="20" t="n">
        <v>8.039999999999999</v>
      </c>
      <c r="I377" s="11">
        <f>F377/G377-1</f>
        <v>0.020408163265306145</v>
      </c>
      <c r="J377" s="11">
        <f>F377/H377-1</f>
        <v>-0.004975124378109319</v>
      </c>
      <c r="K377" s="13" t="n">
        <v>5162320</v>
      </c>
      <c r="L377" s="13" t="n">
        <v>6176200</v>
      </c>
      <c r="M377" s="21">
        <f>K377/L377</f>
        <v>0.8358408082639811</v>
      </c>
    </row>
    <row r="378">
      <c r="A378" s="19" t="inlineStr">
        <is>
          <t>RBLX</t>
        </is>
      </c>
      <c r="B378" s="14" t="inlineStr">
        <is>
          <t>—</t>
        </is>
      </c>
      <c r="C378" s="14" t="inlineStr">
        <is>
          <t>—</t>
        </is>
      </c>
      <c r="D378" s="6" t="inlineStr">
        <is>
          <t>互動遊戲</t>
        </is>
      </c>
      <c r="E378" s="61" t="n">
        <v>54</v>
      </c>
      <c r="F378" s="20" t="n">
        <v>47.43</v>
      </c>
      <c r="G378" s="20" t="n">
        <v>50.24</v>
      </c>
      <c r="H378" s="20" t="n">
        <v>44.52</v>
      </c>
      <c r="I378" s="11">
        <f>F378/G378-1</f>
        <v>-0.05593152866242046</v>
      </c>
      <c r="J378" s="11">
        <f>F378/H378-1</f>
        <v>0.06536388140161709</v>
      </c>
      <c r="K378" s="13" t="n">
        <v>9072231</v>
      </c>
      <c r="L378" s="13" t="n">
        <v>8932600</v>
      </c>
      <c r="M378" s="21">
        <f>K378/L378</f>
        <v>1.015631619013501</v>
      </c>
    </row>
    <row r="379">
      <c r="A379" s="19" t="inlineStr">
        <is>
          <t>RCAT</t>
        </is>
      </c>
      <c r="B379" s="14" t="inlineStr">
        <is>
          <t>—</t>
        </is>
      </c>
      <c r="C379" s="14" t="inlineStr">
        <is>
          <t>—</t>
        </is>
      </c>
      <c r="D379" s="6" t="inlineStr">
        <is>
          <t>國防科技與無人機</t>
        </is>
      </c>
      <c r="E379" s="61" t="n">
        <v>7</v>
      </c>
      <c r="F379" s="20" t="n">
        <v>7.095</v>
      </c>
      <c r="G379" s="20" t="n">
        <v>7.965</v>
      </c>
      <c r="H379" s="20" t="n">
        <v>8.130000000000001</v>
      </c>
      <c r="I379" s="11">
        <f>F379/G379-1</f>
        <v>-0.10922787193973638</v>
      </c>
      <c r="J379" s="11">
        <f>F379/H379-1</f>
        <v>-0.1273062730627308</v>
      </c>
      <c r="K379" s="13" t="n">
        <v>19098359</v>
      </c>
      <c r="L379" s="13" t="n">
        <v>5824100</v>
      </c>
      <c r="M379" s="21">
        <f>K379/L379</f>
        <v>3.279194897065641</v>
      </c>
    </row>
    <row r="380">
      <c r="A380" s="19" t="inlineStr">
        <is>
          <t>RCL</t>
        </is>
      </c>
      <c r="B380" s="14" t="inlineStr">
        <is>
          <t>—</t>
        </is>
      </c>
      <c r="C380" s="14" t="inlineStr">
        <is>
          <t>—</t>
        </is>
      </c>
      <c r="D380" s="6" t="inlineStr">
        <is>
          <t>酒店與郵輪</t>
        </is>
      </c>
      <c r="E380" s="61" t="n">
        <v>41</v>
      </c>
      <c r="F380" s="20" t="n">
        <v>253.92</v>
      </c>
      <c r="G380" s="20" t="n">
        <v>249.3</v>
      </c>
      <c r="H380" s="20" t="n">
        <v>259.76</v>
      </c>
      <c r="I380" s="11">
        <f>F380/G380-1</f>
        <v>0.018531889290011927</v>
      </c>
      <c r="J380" s="11">
        <f>F380/H380-1</f>
        <v>-0.022482291345857774</v>
      </c>
      <c r="K380" s="13" t="n">
        <v>2306788</v>
      </c>
      <c r="L380" s="13" t="n">
        <v>1715250</v>
      </c>
      <c r="M380" s="21">
        <f>K380/L380</f>
        <v>1.3448698440460574</v>
      </c>
    </row>
    <row r="381">
      <c r="A381" s="19" t="inlineStr">
        <is>
          <t>RDDT</t>
        </is>
      </c>
      <c r="B381" s="14" t="inlineStr">
        <is>
          <t>—</t>
        </is>
      </c>
      <c r="C381" s="14" t="inlineStr">
        <is>
          <t>—</t>
        </is>
      </c>
      <c r="D381" s="6" t="inlineStr">
        <is>
          <t>社交與線上社群</t>
        </is>
      </c>
      <c r="E381" s="61" t="n">
        <v>10</v>
      </c>
      <c r="F381" s="20" t="n">
        <v>157.6</v>
      </c>
      <c r="G381" s="20" t="n">
        <v>159.63</v>
      </c>
      <c r="H381" s="20" t="n">
        <v>146.44</v>
      </c>
      <c r="I381" s="11">
        <f>F381/G381-1</f>
        <v>-0.012716907849401715</v>
      </c>
      <c r="J381" s="11">
        <f>F381/H381-1</f>
        <v>0.0762086861513247</v>
      </c>
      <c r="K381" s="13" t="n">
        <v>2898035</v>
      </c>
      <c r="L381" s="13" t="n">
        <v>4462150</v>
      </c>
      <c r="M381" s="21">
        <f>K381/L381</f>
        <v>0.6494705467095458</v>
      </c>
    </row>
    <row r="382">
      <c r="A382" s="19" t="inlineStr">
        <is>
          <t>RDW</t>
        </is>
      </c>
      <c r="B382" s="14" t="inlineStr">
        <is>
          <t>—</t>
        </is>
      </c>
      <c r="C382" s="14" t="inlineStr">
        <is>
          <t>—</t>
        </is>
      </c>
      <c r="D382" s="6" t="inlineStr">
        <is>
          <t>太空與衛星</t>
        </is>
      </c>
      <c r="E382" s="61" t="n">
        <v>40</v>
      </c>
      <c r="F382" s="20" t="n">
        <v>10.79</v>
      </c>
      <c r="G382" s="20" t="n">
        <v>10.75</v>
      </c>
      <c r="H382" s="20" t="n">
        <v>10.7</v>
      </c>
      <c r="I382" s="11">
        <f>F382/G382-1</f>
        <v>0.0037209302325580396</v>
      </c>
      <c r="J382" s="11">
        <f>F382/H382-1</f>
        <v>0.008411214953270907</v>
      </c>
      <c r="K382" s="13" t="n">
        <v>9530170</v>
      </c>
      <c r="L382" s="13" t="n">
        <v>10911250</v>
      </c>
      <c r="M382" s="21">
        <f>K382/L382</f>
        <v>0.8734260510940544</v>
      </c>
    </row>
    <row r="383">
      <c r="A383" s="19" t="inlineStr">
        <is>
          <t>REG</t>
        </is>
      </c>
      <c r="B383" s="14" t="inlineStr">
        <is>
          <t>—</t>
        </is>
      </c>
      <c r="C383" s="14" t="inlineStr">
        <is>
          <t>—</t>
        </is>
      </c>
      <c r="D383" s="6" t="inlineStr">
        <is>
          <t>零售與購物中心REIT</t>
        </is>
      </c>
      <c r="E383" s="61" t="n">
        <v>98</v>
      </c>
      <c r="F383" s="20" t="n">
        <v>73.26000000000001</v>
      </c>
      <c r="G383" s="20" t="n">
        <v>74.05</v>
      </c>
      <c r="H383" s="20" t="n">
        <v>75.34</v>
      </c>
      <c r="I383" s="11">
        <f>F383/G383-1</f>
        <v>-0.010668467251856772</v>
      </c>
      <c r="J383" s="11">
        <f>F383/H383-1</f>
        <v>-0.027608176267586937</v>
      </c>
      <c r="K383" s="13" t="n">
        <v>1417861</v>
      </c>
      <c r="L383" s="13" t="n">
        <v>1243300</v>
      </c>
      <c r="M383" s="21">
        <f>K383/L383</f>
        <v>1.1404013512426607</v>
      </c>
    </row>
    <row r="384">
      <c r="A384" s="19" t="inlineStr">
        <is>
          <t>REGN</t>
        </is>
      </c>
      <c r="B384" s="14" t="inlineStr">
        <is>
          <t>—</t>
        </is>
      </c>
      <c r="C384" s="14" t="inlineStr">
        <is>
          <t>—</t>
        </is>
      </c>
      <c r="D384" s="6" t="inlineStr">
        <is>
          <t>大型生物科技</t>
        </is>
      </c>
      <c r="E384" s="61" t="n">
        <v>56</v>
      </c>
      <c r="F384" s="20" t="n">
        <v>774.61</v>
      </c>
      <c r="G384" s="20" t="n">
        <v>774.11</v>
      </c>
      <c r="H384" s="20" t="n">
        <v>807.65</v>
      </c>
      <c r="I384" s="11">
        <f>F384/G384-1</f>
        <v>0.0006459030370360441</v>
      </c>
      <c r="J384" s="11">
        <f>F384/H384-1</f>
        <v>-0.0409088095090695</v>
      </c>
      <c r="K384" s="13" t="n">
        <v>382437</v>
      </c>
      <c r="L384" s="13" t="n">
        <v>593750</v>
      </c>
      <c r="M384" s="21">
        <f>K384/L384</f>
        <v>0.6441044210526315</v>
      </c>
    </row>
    <row r="385">
      <c r="A385" s="19" t="inlineStr">
        <is>
          <t>RGLD</t>
        </is>
      </c>
      <c r="B385" s="14" t="inlineStr">
        <is>
          <t>—</t>
        </is>
      </c>
      <c r="C385" s="14" t="inlineStr">
        <is>
          <t>—</t>
        </is>
      </c>
      <c r="D385" s="6" t="inlineStr">
        <is>
          <t>黃金與貴金屬礦</t>
        </is>
      </c>
      <c r="E385" s="61" t="n">
        <v>66</v>
      </c>
      <c r="F385" s="20" t="n">
        <v>245.51</v>
      </c>
      <c r="G385" s="20" t="n">
        <v>251.16</v>
      </c>
      <c r="H385" s="20" t="n">
        <v>262.54</v>
      </c>
      <c r="I385" s="11">
        <f>F385/G385-1</f>
        <v>-0.022495620321707266</v>
      </c>
      <c r="J385" s="11">
        <f>F385/H385-1</f>
        <v>-0.06486630608669164</v>
      </c>
      <c r="K385" s="13" t="n">
        <v>782656</v>
      </c>
      <c r="L385" s="13" t="n">
        <v>662300</v>
      </c>
      <c r="M385" s="21">
        <f>K385/L385</f>
        <v>1.1817242941265287</v>
      </c>
    </row>
    <row r="386">
      <c r="A386" s="19" t="inlineStr">
        <is>
          <t>RGTI</t>
        </is>
      </c>
      <c r="B386" s="14" t="inlineStr">
        <is>
          <t>—</t>
        </is>
      </c>
      <c r="C386" s="14" t="inlineStr">
        <is>
          <t>—</t>
        </is>
      </c>
      <c r="D386" s="6" t="inlineStr">
        <is>
          <t>量子運算</t>
        </is>
      </c>
      <c r="E386" s="61" t="n">
        <v>69</v>
      </c>
      <c r="F386" s="20" t="n">
        <v>14.79</v>
      </c>
      <c r="G386" s="20" t="n">
        <v>15.09</v>
      </c>
      <c r="H386" s="20" t="n">
        <v>15.24</v>
      </c>
      <c r="I386" s="11">
        <f>F386/G386-1</f>
        <v>-0.01988071570576544</v>
      </c>
      <c r="J386" s="11">
        <f>F386/H386-1</f>
        <v>-0.02952755905511817</v>
      </c>
      <c r="K386" s="13" t="n">
        <v>13605685</v>
      </c>
      <c r="L386" s="13" t="n">
        <v>14500900</v>
      </c>
      <c r="M386" s="21">
        <f>K386/L386</f>
        <v>0.9382648663186423</v>
      </c>
    </row>
    <row r="387">
      <c r="A387" s="19" t="inlineStr">
        <is>
          <t>RHI</t>
        </is>
      </c>
      <c r="B387" s="14" t="inlineStr">
        <is>
          <t>—</t>
        </is>
      </c>
      <c r="C387" s="14" t="inlineStr">
        <is>
          <t>—</t>
        </is>
      </c>
      <c r="D387" s="6" t="inlineStr">
        <is>
          <t>人力與商業服務</t>
        </is>
      </c>
      <c r="E387" s="61" t="n">
        <v>18</v>
      </c>
      <c r="F387" s="20" t="n">
        <v>37.09</v>
      </c>
      <c r="G387" s="20" t="n">
        <v>38.3</v>
      </c>
      <c r="H387" s="20" t="n">
        <v>38.55</v>
      </c>
      <c r="I387" s="11">
        <f>F387/G387-1</f>
        <v>-0.031592689295039</v>
      </c>
      <c r="J387" s="11">
        <f>F387/H387-1</f>
        <v>-0.037872892347600384</v>
      </c>
      <c r="K387" s="13" t="n">
        <v>2242287</v>
      </c>
      <c r="L387" s="13" t="n">
        <v>1782550</v>
      </c>
      <c r="M387" s="21">
        <f>K387/L387</f>
        <v>1.2579097360522846</v>
      </c>
    </row>
    <row r="388">
      <c r="A388" s="39" t="inlineStr">
        <is>
          <t>RIG</t>
        </is>
      </c>
      <c r="B388" s="93" t="inlineStr">
        <is>
          <t>—</t>
        </is>
      </c>
      <c r="C388" s="94" t="inlineStr">
        <is>
          <t>頁岩E&amp;P／油服</t>
        </is>
      </c>
      <c r="D388" s="40" t="inlineStr">
        <is>
          <t>海上鑽井與設備</t>
        </is>
      </c>
      <c r="E388" s="67" t="n">
        <v>73</v>
      </c>
      <c r="F388" s="41" t="n">
        <v>5.54</v>
      </c>
      <c r="G388" s="41" t="n">
        <v>5.94</v>
      </c>
      <c r="H388" s="41" t="n">
        <v>5.71</v>
      </c>
      <c r="I388" s="42">
        <f>F388/G388-1</f>
        <v>-0.06734006734006737</v>
      </c>
      <c r="J388" s="42">
        <f>F388/H388-1</f>
        <v>-0.02977232924693518</v>
      </c>
      <c r="K388" s="43" t="n">
        <v>58121780</v>
      </c>
      <c r="L388" s="43" t="n">
        <v>39924850</v>
      </c>
      <c r="M388" s="44">
        <f>K388/L388</f>
        <v>1.4557795458217127</v>
      </c>
    </row>
    <row r="389">
      <c r="A389" s="19" t="inlineStr">
        <is>
          <t>RIOT</t>
        </is>
      </c>
      <c r="B389" s="14" t="inlineStr">
        <is>
          <t>—</t>
        </is>
      </c>
      <c r="C389" s="14" t="inlineStr">
        <is>
          <t>—</t>
        </is>
      </c>
      <c r="D389" s="6" t="inlineStr">
        <is>
          <t>數位資產金融與礦業轉HPC</t>
        </is>
      </c>
      <c r="E389" s="61" t="n">
        <v>104</v>
      </c>
      <c r="F389" s="20" t="n">
        <v>20.35</v>
      </c>
      <c r="G389" s="20" t="n">
        <v>19.7</v>
      </c>
      <c r="H389" s="20" t="n">
        <v>22.07</v>
      </c>
      <c r="I389" s="11">
        <f>F389/G389-1</f>
        <v>0.032994923857868175</v>
      </c>
      <c r="J389" s="11">
        <f>F389/H389-1</f>
        <v>-0.07793384685092886</v>
      </c>
      <c r="K389" s="13" t="n">
        <v>16141943</v>
      </c>
      <c r="L389" s="13" t="n">
        <v>15157300</v>
      </c>
      <c r="M389" s="21">
        <f>K389/L389</f>
        <v>1.0649616356475098</v>
      </c>
    </row>
    <row r="390">
      <c r="A390" s="19" t="inlineStr">
        <is>
          <t>RIVN</t>
        </is>
      </c>
      <c r="B390" s="14" t="inlineStr">
        <is>
          <t>—</t>
        </is>
      </c>
      <c r="C390" s="14" t="inlineStr">
        <is>
          <t>—</t>
        </is>
      </c>
      <c r="D390" s="6" t="inlineStr">
        <is>
          <t>電動車與新能源車</t>
        </is>
      </c>
      <c r="E390" s="61" t="n">
        <v>87</v>
      </c>
      <c r="F390" s="20" t="n">
        <v>15.23</v>
      </c>
      <c r="G390" s="20" t="n">
        <v>15.54</v>
      </c>
      <c r="H390" s="20" t="n">
        <v>16.005</v>
      </c>
      <c r="I390" s="11">
        <f>F390/G390-1</f>
        <v>-0.01994851994851987</v>
      </c>
      <c r="J390" s="11">
        <f>F390/H390-1</f>
        <v>-0.048422368009996775</v>
      </c>
      <c r="K390" s="13" t="n">
        <v>30706970</v>
      </c>
      <c r="L390" s="13" t="n">
        <v>18435500</v>
      </c>
      <c r="M390" s="21">
        <f>K390/L390</f>
        <v>1.665643459629519</v>
      </c>
    </row>
    <row r="391">
      <c r="A391" s="19" t="inlineStr">
        <is>
          <t>RKLB</t>
        </is>
      </c>
      <c r="B391" s="14" t="inlineStr">
        <is>
          <t>—</t>
        </is>
      </c>
      <c r="C391" s="14" t="inlineStr">
        <is>
          <t>—</t>
        </is>
      </c>
      <c r="D391" s="6" t="inlineStr">
        <is>
          <t>太空與衛星</t>
        </is>
      </c>
      <c r="E391" s="61" t="n">
        <v>40</v>
      </c>
      <c r="F391" s="20" t="n">
        <v>63.7</v>
      </c>
      <c r="G391" s="20" t="n">
        <v>63.55</v>
      </c>
      <c r="H391" s="20" t="n">
        <v>63.07</v>
      </c>
      <c r="I391" s="11">
        <f>F391/G391-1</f>
        <v>0.002360346184107076</v>
      </c>
      <c r="J391" s="11">
        <f>F391/H391-1</f>
        <v>0.00998890122086582</v>
      </c>
      <c r="K391" s="13" t="n">
        <v>17577566</v>
      </c>
      <c r="L391" s="13" t="n">
        <v>15404150</v>
      </c>
      <c r="M391" s="21">
        <f>K391/L391</f>
        <v>1.1410928873063428</v>
      </c>
    </row>
    <row r="392">
      <c r="A392" s="19" t="inlineStr">
        <is>
          <t>RL</t>
        </is>
      </c>
      <c r="B392" s="14" t="inlineStr">
        <is>
          <t>—</t>
        </is>
      </c>
      <c r="C392" s="14" t="inlineStr">
        <is>
          <t>—</t>
        </is>
      </c>
      <c r="D392" s="6" t="inlineStr">
        <is>
          <t>服裝與奢侈品</t>
        </is>
      </c>
      <c r="E392" s="61" t="n">
        <v>79</v>
      </c>
      <c r="F392" s="20" t="n">
        <v>338.36</v>
      </c>
      <c r="G392" s="20" t="n">
        <v>335.23</v>
      </c>
      <c r="H392" s="20" t="n">
        <v>335.61</v>
      </c>
      <c r="I392" s="11">
        <f>F392/G392-1</f>
        <v>0.009336873191540196</v>
      </c>
      <c r="J392" s="11">
        <f>F392/H392-1</f>
        <v>0.008194034742707412</v>
      </c>
      <c r="K392" s="13" t="n">
        <v>672181</v>
      </c>
      <c r="L392" s="13" t="n">
        <v>629150</v>
      </c>
      <c r="M392" s="21">
        <f>K392/L392</f>
        <v>1.0683954541842169</v>
      </c>
    </row>
    <row r="393">
      <c r="A393" s="58" t="inlineStr">
        <is>
          <t>RNR</t>
        </is>
      </c>
      <c r="B393" s="88" t="inlineStr">
        <is>
          <t>④</t>
        </is>
      </c>
      <c r="C393" s="89" t="inlineStr">
        <is>
          <t>—</t>
        </is>
      </c>
      <c r="D393" s="60" t="inlineStr">
        <is>
          <t>產險與再保</t>
        </is>
      </c>
      <c r="E393" s="49" t="n">
        <v>6</v>
      </c>
      <c r="F393" s="90" t="n">
        <v>328.43</v>
      </c>
      <c r="G393" s="90" t="n">
        <v>328.7</v>
      </c>
      <c r="H393" s="90" t="n">
        <v>322.53</v>
      </c>
      <c r="I393" s="53">
        <f>F393/G393-1</f>
        <v>-0.0008214177061149908</v>
      </c>
      <c r="J393" s="53">
        <f>F393/H393-1</f>
        <v>0.018292871980901015</v>
      </c>
      <c r="K393" s="91" t="n">
        <v>286739</v>
      </c>
      <c r="L393" s="91" t="n">
        <v>233200</v>
      </c>
      <c r="M393" s="92">
        <f>K393/L393</f>
        <v>1.2295840480274443</v>
      </c>
    </row>
    <row r="394">
      <c r="A394" s="19" t="inlineStr">
        <is>
          <t>ROK</t>
        </is>
      </c>
      <c r="B394" s="14" t="inlineStr">
        <is>
          <t>—</t>
        </is>
      </c>
      <c r="C394" s="14" t="inlineStr">
        <is>
          <t>—</t>
        </is>
      </c>
      <c r="D394" s="6" t="inlineStr">
        <is>
          <t>工業自動化與機器人</t>
        </is>
      </c>
      <c r="E394" s="61" t="n">
        <v>25</v>
      </c>
      <c r="F394" s="20" t="n">
        <v>414.92</v>
      </c>
      <c r="G394" s="20" t="n">
        <v>417</v>
      </c>
      <c r="H394" s="20" t="n">
        <v>426.08</v>
      </c>
      <c r="I394" s="11">
        <f>F394/G394-1</f>
        <v>-0.004988009592326148</v>
      </c>
      <c r="J394" s="11">
        <f>F394/H394-1</f>
        <v>-0.02619226436349975</v>
      </c>
      <c r="K394" s="13" t="n">
        <v>679115</v>
      </c>
      <c r="L394" s="13" t="n">
        <v>637500</v>
      </c>
      <c r="M394" s="21">
        <f>K394/L394</f>
        <v>1.065278431372549</v>
      </c>
    </row>
    <row r="395">
      <c r="A395" s="19" t="inlineStr">
        <is>
          <t>ROKU</t>
        </is>
      </c>
      <c r="B395" s="14" t="inlineStr">
        <is>
          <t>—</t>
        </is>
      </c>
      <c r="C395" s="14" t="inlineStr">
        <is>
          <t>—</t>
        </is>
      </c>
      <c r="D395" s="6" t="inlineStr">
        <is>
          <t>串流影音</t>
        </is>
      </c>
      <c r="E395" s="61" t="n">
        <v>20</v>
      </c>
      <c r="F395" s="20" t="n">
        <v>155.12</v>
      </c>
      <c r="G395" s="20" t="n">
        <v>156.62</v>
      </c>
      <c r="H395" s="20" t="n">
        <v>152.9</v>
      </c>
      <c r="I395" s="11">
        <f>F395/G395-1</f>
        <v>-0.00957732090409913</v>
      </c>
      <c r="J395" s="11">
        <f>F395/H395-1</f>
        <v>0.014519293655984367</v>
      </c>
      <c r="K395" s="13" t="n">
        <v>1892972</v>
      </c>
      <c r="L395" s="13" t="n">
        <v>2050050</v>
      </c>
      <c r="M395" s="21">
        <f>K395/L395</f>
        <v>0.9233784541840443</v>
      </c>
    </row>
    <row r="396">
      <c r="A396" s="19" t="inlineStr">
        <is>
          <t>ROST</t>
        </is>
      </c>
      <c r="B396" s="14" t="inlineStr">
        <is>
          <t>—</t>
        </is>
      </c>
      <c r="C396" s="14" t="inlineStr">
        <is>
          <t>—</t>
        </is>
      </c>
      <c r="D396" s="6" t="inlineStr">
        <is>
          <t>專門零售</t>
        </is>
      </c>
      <c r="E396" s="61" t="n">
        <v>74</v>
      </c>
      <c r="F396" s="20" t="n">
        <v>224.8</v>
      </c>
      <c r="G396" s="20" t="n">
        <v>226.26</v>
      </c>
      <c r="H396" s="20" t="n">
        <v>225.27</v>
      </c>
      <c r="I396" s="11">
        <f>F396/G396-1</f>
        <v>-0.006452753469459838</v>
      </c>
      <c r="J396" s="11">
        <f>F396/H396-1</f>
        <v>-0.0020863852266169713</v>
      </c>
      <c r="K396" s="13" t="n">
        <v>2086203</v>
      </c>
      <c r="L396" s="13" t="n">
        <v>2364900</v>
      </c>
      <c r="M396" s="21">
        <f>K396/L396</f>
        <v>0.8821527337308132</v>
      </c>
    </row>
    <row r="397">
      <c r="A397" s="19" t="inlineStr">
        <is>
          <t>RS</t>
        </is>
      </c>
      <c r="B397" s="14" t="inlineStr">
        <is>
          <t>—</t>
        </is>
      </c>
      <c r="C397" s="14" t="inlineStr">
        <is>
          <t>—</t>
        </is>
      </c>
      <c r="D397" s="6" t="inlineStr">
        <is>
          <t>鋼鐵</t>
        </is>
      </c>
      <c r="E397" s="61" t="n">
        <v>11</v>
      </c>
      <c r="F397" s="20" t="n">
        <v>394.3</v>
      </c>
      <c r="G397" s="20" t="n">
        <v>392</v>
      </c>
      <c r="H397" s="20" t="n">
        <v>394.99</v>
      </c>
      <c r="I397" s="11">
        <f>F397/G397-1</f>
        <v>0.005867346938775553</v>
      </c>
      <c r="J397" s="11">
        <f>F397/H397-1</f>
        <v>-0.001746879667839707</v>
      </c>
      <c r="K397" s="13" t="n">
        <v>304790</v>
      </c>
      <c r="L397" s="13" t="n">
        <v>277300</v>
      </c>
      <c r="M397" s="21">
        <f>K397/L397</f>
        <v>1.0991345113595383</v>
      </c>
    </row>
    <row r="398">
      <c r="A398" s="19" t="inlineStr">
        <is>
          <t>RSG</t>
        </is>
      </c>
      <c r="B398" s="14" t="inlineStr">
        <is>
          <t>—</t>
        </is>
      </c>
      <c r="C398" s="14" t="inlineStr">
        <is>
          <t>—</t>
        </is>
      </c>
      <c r="D398" s="6" t="inlineStr">
        <is>
          <t>廢物管理與環境服務</t>
        </is>
      </c>
      <c r="E398" s="61" t="n">
        <v>70</v>
      </c>
      <c r="F398" s="20" t="n">
        <v>219.8</v>
      </c>
      <c r="G398" s="20" t="n">
        <v>223.04</v>
      </c>
      <c r="H398" s="20" t="n">
        <v>222.47</v>
      </c>
      <c r="I398" s="11">
        <f>F398/G398-1</f>
        <v>-0.01452654232424666</v>
      </c>
      <c r="J398" s="11">
        <f>F398/H398-1</f>
        <v>-0.012001618195711772</v>
      </c>
      <c r="K398" s="13" t="n">
        <v>1740555</v>
      </c>
      <c r="L398" s="13" t="n">
        <v>1471550</v>
      </c>
      <c r="M398" s="21">
        <f>K398/L398</f>
        <v>1.1828038462845298</v>
      </c>
    </row>
    <row r="399">
      <c r="A399" s="19" t="inlineStr">
        <is>
          <t>RTX</t>
        </is>
      </c>
      <c r="B399" s="14" t="inlineStr">
        <is>
          <t>—</t>
        </is>
      </c>
      <c r="C399" s="14" t="inlineStr">
        <is>
          <t>—</t>
        </is>
      </c>
      <c r="D399" s="6" t="inlineStr">
        <is>
          <t>航太與國防</t>
        </is>
      </c>
      <c r="E399" s="61" t="n">
        <v>26</v>
      </c>
      <c r="F399" s="20" t="n">
        <v>196.83</v>
      </c>
      <c r="G399" s="20" t="n">
        <v>195.5</v>
      </c>
      <c r="H399" s="20" t="n">
        <v>197.55</v>
      </c>
      <c r="I399" s="11">
        <f>F399/G399-1</f>
        <v>0.0068030690537084215</v>
      </c>
      <c r="J399" s="11">
        <f>F399/H399-1</f>
        <v>-0.0036446469248291313</v>
      </c>
      <c r="K399" s="13" t="n">
        <v>3483150</v>
      </c>
      <c r="L399" s="13" t="n">
        <v>3813450</v>
      </c>
      <c r="M399" s="21">
        <f>K399/L399</f>
        <v>0.9133855170514888</v>
      </c>
    </row>
    <row r="400">
      <c r="A400" s="19" t="inlineStr">
        <is>
          <t>RUN</t>
        </is>
      </c>
      <c r="B400" s="14" t="inlineStr">
        <is>
          <t>—</t>
        </is>
      </c>
      <c r="C400" s="14" t="inlineStr">
        <is>
          <t>—</t>
        </is>
      </c>
      <c r="D400" s="6" t="inlineStr">
        <is>
          <t>再生能源與太陽能</t>
        </is>
      </c>
      <c r="E400" s="61" t="n">
        <v>97</v>
      </c>
      <c r="F400" s="20" t="n">
        <v>8.27</v>
      </c>
      <c r="G400" s="20" t="n">
        <v>8.4</v>
      </c>
      <c r="H400" s="20" t="n">
        <v>8.800000000000001</v>
      </c>
      <c r="I400" s="11">
        <f>F400/G400-1</f>
        <v>-0.015476190476190532</v>
      </c>
      <c r="J400" s="11">
        <f>F400/H400-1</f>
        <v>-0.06022727272727291</v>
      </c>
      <c r="K400" s="13" t="n">
        <v>8659245</v>
      </c>
      <c r="L400" s="13" t="n">
        <v>6661100</v>
      </c>
      <c r="M400" s="21">
        <f>K400/L400</f>
        <v>1.2999722268093858</v>
      </c>
    </row>
    <row r="401">
      <c r="A401" s="19" t="inlineStr">
        <is>
          <t>RVMD</t>
        </is>
      </c>
      <c r="B401" s="14" t="inlineStr">
        <is>
          <t>—</t>
        </is>
      </c>
      <c r="C401" s="14" t="inlineStr">
        <is>
          <t>—</t>
        </is>
      </c>
      <c r="D401" s="6" t="inlineStr">
        <is>
          <t>腫瘤與細胞治療</t>
        </is>
      </c>
      <c r="E401" s="61" t="n">
        <v>50</v>
      </c>
      <c r="F401" s="20" t="n">
        <v>195.92</v>
      </c>
      <c r="G401" s="20" t="n">
        <v>204.86</v>
      </c>
      <c r="H401" s="20" t="n">
        <v>207.68</v>
      </c>
      <c r="I401" s="11">
        <f>F401/G401-1</f>
        <v>-0.04363955872303049</v>
      </c>
      <c r="J401" s="11">
        <f>F401/H401-1</f>
        <v>-0.0566255778120186</v>
      </c>
      <c r="K401" s="13" t="n">
        <v>3033240</v>
      </c>
      <c r="L401" s="13" t="n">
        <v>1470950</v>
      </c>
      <c r="M401" s="21">
        <f>K401/L401</f>
        <v>2.062095924402597</v>
      </c>
    </row>
    <row r="402">
      <c r="A402" s="19" t="inlineStr">
        <is>
          <t>S</t>
        </is>
      </c>
      <c r="B402" s="14" t="inlineStr">
        <is>
          <t>—</t>
        </is>
      </c>
      <c r="C402" s="14" t="inlineStr">
        <is>
          <t>—</t>
        </is>
      </c>
      <c r="D402" s="6" t="inlineStr">
        <is>
          <t>網絡安全</t>
        </is>
      </c>
      <c r="E402" s="61" t="n">
        <v>2</v>
      </c>
      <c r="F402" s="20" t="n">
        <v>23.17</v>
      </c>
      <c r="G402" s="20" t="n">
        <v>23.48</v>
      </c>
      <c r="H402" s="20" t="n">
        <v>19.44</v>
      </c>
      <c r="I402" s="11">
        <f>F402/G402-1</f>
        <v>-0.01320272572402037</v>
      </c>
      <c r="J402" s="11">
        <f>F402/H402-1</f>
        <v>0.1918724279835391</v>
      </c>
      <c r="K402" s="13" t="n">
        <v>8333589</v>
      </c>
      <c r="L402" s="13" t="n">
        <v>6600600</v>
      </c>
      <c r="M402" s="21">
        <f>K402/L402</f>
        <v>1.2625502227070267</v>
      </c>
    </row>
    <row r="403">
      <c r="A403" s="19" t="inlineStr">
        <is>
          <t>SANA</t>
        </is>
      </c>
      <c r="B403" s="14" t="inlineStr">
        <is>
          <t>—</t>
        </is>
      </c>
      <c r="C403" s="14" t="inlineStr">
        <is>
          <t>—</t>
        </is>
      </c>
      <c r="D403" s="6" t="inlineStr">
        <is>
          <t>臨床期中小型生技</t>
        </is>
      </c>
      <c r="E403" s="61" t="n">
        <v>110</v>
      </c>
      <c r="F403" s="20" t="n">
        <v>2.92</v>
      </c>
      <c r="G403" s="20" t="n">
        <v>3.16</v>
      </c>
      <c r="H403" s="20" t="n">
        <v>3.17</v>
      </c>
      <c r="I403" s="11">
        <f>F403/G403-1</f>
        <v>-0.07594936708860767</v>
      </c>
      <c r="J403" s="11">
        <f>F403/H403-1</f>
        <v>-0.07886435331230279</v>
      </c>
      <c r="K403" s="13" t="n">
        <v>9697774</v>
      </c>
      <c r="L403" s="13" t="n">
        <v>2423600</v>
      </c>
      <c r="M403" s="21">
        <f>K403/L403</f>
        <v>4.001392143918138</v>
      </c>
    </row>
    <row r="404">
      <c r="A404" s="19" t="inlineStr">
        <is>
          <t>SBAC</t>
        </is>
      </c>
      <c r="B404" s="14" t="inlineStr">
        <is>
          <t>—</t>
        </is>
      </c>
      <c r="C404" s="14" t="inlineStr">
        <is>
          <t>—</t>
        </is>
      </c>
      <c r="D404" s="6" t="inlineStr">
        <is>
          <t>通訊塔REIT</t>
        </is>
      </c>
      <c r="E404" s="61" t="n">
        <v>58</v>
      </c>
      <c r="F404" s="20" t="n">
        <v>180.02</v>
      </c>
      <c r="G404" s="20" t="n">
        <v>183.14</v>
      </c>
      <c r="H404" s="20" t="n">
        <v>186.74</v>
      </c>
      <c r="I404" s="11">
        <f>F404/G404-1</f>
        <v>-0.017036147209784747</v>
      </c>
      <c r="J404" s="11">
        <f>F404/H404-1</f>
        <v>-0.03598586269679771</v>
      </c>
      <c r="K404" s="13" t="n">
        <v>848222</v>
      </c>
      <c r="L404" s="13" t="n">
        <v>799550</v>
      </c>
      <c r="M404" s="21">
        <f>K404/L404</f>
        <v>1.0608742417609907</v>
      </c>
    </row>
    <row r="405">
      <c r="A405" s="19" t="inlineStr">
        <is>
          <t>SBUX</t>
        </is>
      </c>
      <c r="B405" s="14" t="inlineStr">
        <is>
          <t>—</t>
        </is>
      </c>
      <c r="C405" s="14" t="inlineStr">
        <is>
          <t>—</t>
        </is>
      </c>
      <c r="D405" s="6" t="inlineStr">
        <is>
          <t>餐飲連鎖</t>
        </is>
      </c>
      <c r="E405" s="61" t="n">
        <v>90</v>
      </c>
      <c r="F405" s="20" t="n">
        <v>97.34</v>
      </c>
      <c r="G405" s="20" t="n">
        <v>96.58</v>
      </c>
      <c r="H405" s="20" t="n">
        <v>100.04</v>
      </c>
      <c r="I405" s="11">
        <f>F405/G405-1</f>
        <v>0.007869124042244824</v>
      </c>
      <c r="J405" s="11">
        <f>F405/H405-1</f>
        <v>-0.026989204318272675</v>
      </c>
      <c r="K405" s="13" t="n">
        <v>9275840</v>
      </c>
      <c r="L405" s="13" t="n">
        <v>5871900</v>
      </c>
      <c r="M405" s="21">
        <f>K405/L405</f>
        <v>1.5796999267698701</v>
      </c>
    </row>
    <row r="406">
      <c r="A406" s="19" t="inlineStr">
        <is>
          <t>SCCO</t>
        </is>
      </c>
      <c r="B406" s="14" t="inlineStr">
        <is>
          <t>—</t>
        </is>
      </c>
      <c r="C406" s="14" t="inlineStr">
        <is>
          <t>—</t>
        </is>
      </c>
      <c r="D406" s="6" t="inlineStr">
        <is>
          <t>銅與基本金屬</t>
        </is>
      </c>
      <c r="E406" s="61" t="n">
        <v>67</v>
      </c>
      <c r="F406" s="20" t="n">
        <v>189.88</v>
      </c>
      <c r="G406" s="20" t="n">
        <v>189.39</v>
      </c>
      <c r="H406" s="20" t="n">
        <v>209.26</v>
      </c>
      <c r="I406" s="11">
        <f>F406/G406-1</f>
        <v>0.0025872538148794533</v>
      </c>
      <c r="J406" s="11">
        <f>F406/H406-1</f>
        <v>-0.09261206155022461</v>
      </c>
      <c r="K406" s="13" t="n">
        <v>942123</v>
      </c>
      <c r="L406" s="13" t="n">
        <v>1102200</v>
      </c>
      <c r="M406" s="21">
        <f>K406/L406</f>
        <v>0.8547659227000545</v>
      </c>
    </row>
    <row r="407">
      <c r="A407" s="19" t="inlineStr">
        <is>
          <t>SCI</t>
        </is>
      </c>
      <c r="B407" s="14" t="inlineStr">
        <is>
          <t>—</t>
        </is>
      </c>
      <c r="C407" s="14" t="inlineStr">
        <is>
          <t>—</t>
        </is>
      </c>
      <c r="D407" s="6" t="inlineStr">
        <is>
          <t>教育與消費服務</t>
        </is>
      </c>
      <c r="E407" s="61" t="n">
        <v>27</v>
      </c>
      <c r="F407" s="20" t="n">
        <v>80.69</v>
      </c>
      <c r="G407" s="20" t="n">
        <v>81.2</v>
      </c>
      <c r="H407" s="20" t="n">
        <v>79.69</v>
      </c>
      <c r="I407" s="11">
        <f>F407/G407-1</f>
        <v>-0.006280788177340013</v>
      </c>
      <c r="J407" s="11">
        <f>F407/H407-1</f>
        <v>0.012548625925461243</v>
      </c>
      <c r="K407" s="13" t="n">
        <v>911695</v>
      </c>
      <c r="L407" s="13" t="n">
        <v>658050</v>
      </c>
      <c r="M407" s="21">
        <f>K407/L407</f>
        <v>1.3854494339335917</v>
      </c>
    </row>
    <row r="408">
      <c r="A408" s="19" t="inlineStr">
        <is>
          <t>SHOP</t>
        </is>
      </c>
      <c r="B408" s="14" t="inlineStr">
        <is>
          <t>—</t>
        </is>
      </c>
      <c r="C408" s="14" t="inlineStr">
        <is>
          <t>—</t>
        </is>
      </c>
      <c r="D408" s="6" t="inlineStr">
        <is>
          <t>電商平台</t>
        </is>
      </c>
      <c r="E408" s="61" t="n">
        <v>35</v>
      </c>
      <c r="F408" s="20" t="n">
        <v>129.96</v>
      </c>
      <c r="G408" s="20" t="n">
        <v>129.86</v>
      </c>
      <c r="H408" s="20" t="n">
        <v>126.79</v>
      </c>
      <c r="I408" s="11">
        <f>F408/G408-1</f>
        <v>0.0007700600646849409</v>
      </c>
      <c r="J408" s="11">
        <f>F408/H408-1</f>
        <v>0.02500197176433483</v>
      </c>
      <c r="K408" s="13" t="n">
        <v>6131439</v>
      </c>
      <c r="L408" s="13" t="n">
        <v>6457250</v>
      </c>
      <c r="M408" s="21">
        <f>K408/L408</f>
        <v>0.9495433814704402</v>
      </c>
    </row>
    <row r="409">
      <c r="A409" s="19" t="inlineStr">
        <is>
          <t>SHW</t>
        </is>
      </c>
      <c r="B409" s="14" t="inlineStr">
        <is>
          <t>—</t>
        </is>
      </c>
      <c r="C409" s="14" t="inlineStr">
        <is>
          <t>—</t>
        </is>
      </c>
      <c r="D409" s="6" t="inlineStr">
        <is>
          <t>特種化工</t>
        </is>
      </c>
      <c r="E409" s="61" t="n">
        <v>46</v>
      </c>
      <c r="F409" s="20" t="n">
        <v>321.46</v>
      </c>
      <c r="G409" s="20" t="n">
        <v>323.22</v>
      </c>
      <c r="H409" s="20" t="n">
        <v>320.64</v>
      </c>
      <c r="I409" s="11">
        <f>F409/G409-1</f>
        <v>-0.005445207598539836</v>
      </c>
      <c r="J409" s="11">
        <f>F409/H409-1</f>
        <v>0.002557385229540854</v>
      </c>
      <c r="K409" s="13" t="n">
        <v>1641913</v>
      </c>
      <c r="L409" s="13" t="n">
        <v>1557600</v>
      </c>
      <c r="M409" s="21">
        <f>K409/L409</f>
        <v>1.0541300719054956</v>
      </c>
    </row>
    <row r="410">
      <c r="A410" s="39" t="inlineStr">
        <is>
          <t>SLB</t>
        </is>
      </c>
      <c r="B410" s="93" t="inlineStr">
        <is>
          <t>—</t>
        </is>
      </c>
      <c r="C410" s="94" t="inlineStr">
        <is>
          <t>頁岩E&amp;P／油服</t>
        </is>
      </c>
      <c r="D410" s="40" t="inlineStr">
        <is>
          <t>油田服務</t>
        </is>
      </c>
      <c r="E410" s="67" t="n">
        <v>101</v>
      </c>
      <c r="F410" s="41" t="n">
        <v>52.3</v>
      </c>
      <c r="G410" s="41" t="n">
        <v>54.2</v>
      </c>
      <c r="H410" s="41" t="n">
        <v>57.05</v>
      </c>
      <c r="I410" s="42">
        <f>F410/G410-1</f>
        <v>-0.035055350553505615</v>
      </c>
      <c r="J410" s="42">
        <f>F410/H410-1</f>
        <v>-0.08326029798422441</v>
      </c>
      <c r="K410" s="43" t="n">
        <v>21322320</v>
      </c>
      <c r="L410" s="43" t="n">
        <v>11813250</v>
      </c>
      <c r="M410" s="44">
        <f>K410/L410</f>
        <v>1.8049495270141578</v>
      </c>
    </row>
    <row r="411">
      <c r="A411" s="19" t="inlineStr">
        <is>
          <t>SLG</t>
        </is>
      </c>
      <c r="B411" s="14" t="inlineStr">
        <is>
          <t>—</t>
        </is>
      </c>
      <c r="C411" s="14" t="inlineStr">
        <is>
          <t>—</t>
        </is>
      </c>
      <c r="D411" s="6" t="inlineStr">
        <is>
          <t>辦公樓REIT</t>
        </is>
      </c>
      <c r="E411" s="61" t="n">
        <v>16</v>
      </c>
      <c r="F411" s="20" t="n">
        <v>51.75</v>
      </c>
      <c r="G411" s="20" t="n">
        <v>51.81</v>
      </c>
      <c r="H411" s="20" t="n">
        <v>52.43</v>
      </c>
      <c r="I411" s="11">
        <f>F411/G411-1</f>
        <v>-0.0011580775911986807</v>
      </c>
      <c r="J411" s="11">
        <f>F411/H411-1</f>
        <v>-0.012969673850848795</v>
      </c>
      <c r="K411" s="13" t="n">
        <v>959273</v>
      </c>
      <c r="L411" s="13" t="n">
        <v>717100</v>
      </c>
      <c r="M411" s="21">
        <f>K411/L411</f>
        <v>1.3377116162320457</v>
      </c>
    </row>
    <row r="412">
      <c r="A412" s="19" t="inlineStr">
        <is>
          <t>SMCI</t>
        </is>
      </c>
      <c r="B412" s="14" t="inlineStr">
        <is>
          <t>—</t>
        </is>
      </c>
      <c r="C412" s="14" t="inlineStr">
        <is>
          <t>—</t>
        </is>
      </c>
      <c r="D412" s="6" t="inlineStr">
        <is>
          <t>AI資料中心建設</t>
        </is>
      </c>
      <c r="E412" s="61" t="n">
        <v>17</v>
      </c>
      <c r="F412" s="20" t="n">
        <v>36.85</v>
      </c>
      <c r="G412" s="20" t="n">
        <v>35.64</v>
      </c>
      <c r="H412" s="20" t="n">
        <v>38.93</v>
      </c>
      <c r="I412" s="11">
        <f>F412/G412-1</f>
        <v>0.033950617283950546</v>
      </c>
      <c r="J412" s="11">
        <f>F412/H412-1</f>
        <v>-0.05342923195479066</v>
      </c>
      <c r="K412" s="13" t="n">
        <v>31104376</v>
      </c>
      <c r="L412" s="13" t="n">
        <v>35970250</v>
      </c>
      <c r="M412" s="21">
        <f>K412/L412</f>
        <v>0.8647250436124297</v>
      </c>
    </row>
    <row r="413">
      <c r="A413" s="19" t="inlineStr">
        <is>
          <t>SMR</t>
        </is>
      </c>
      <c r="B413" s="14" t="inlineStr">
        <is>
          <t>—</t>
        </is>
      </c>
      <c r="C413" s="14" t="inlineStr">
        <is>
          <t>—</t>
        </is>
      </c>
      <c r="D413" s="6" t="inlineStr">
        <is>
          <t>小型模組化核能SMR</t>
        </is>
      </c>
      <c r="E413" s="61" t="n">
        <v>108</v>
      </c>
      <c r="F413" s="20" t="n">
        <v>8.300000000000001</v>
      </c>
      <c r="G413" s="20" t="n">
        <v>8.43</v>
      </c>
      <c r="H413" s="20" t="n">
        <v>10.81</v>
      </c>
      <c r="I413" s="11">
        <f>F413/G413-1</f>
        <v>-0.015421115065243018</v>
      </c>
      <c r="J413" s="11">
        <f>F413/H413-1</f>
        <v>-0.2321924144310823</v>
      </c>
      <c r="K413" s="13" t="n">
        <v>42183370</v>
      </c>
      <c r="L413" s="13" t="n">
        <v>35511850</v>
      </c>
      <c r="M413" s="21">
        <f>K413/L413</f>
        <v>1.1878674301676764</v>
      </c>
    </row>
    <row r="414">
      <c r="A414" s="19" t="inlineStr">
        <is>
          <t>SNAP</t>
        </is>
      </c>
      <c r="B414" s="14" t="inlineStr">
        <is>
          <t>—</t>
        </is>
      </c>
      <c r="C414" s="14" t="inlineStr">
        <is>
          <t>—</t>
        </is>
      </c>
      <c r="D414" s="6" t="inlineStr">
        <is>
          <t>社交與線上社群</t>
        </is>
      </c>
      <c r="E414" s="61" t="n">
        <v>10</v>
      </c>
      <c r="F414" s="20" t="n">
        <v>5.72</v>
      </c>
      <c r="G414" s="20" t="n">
        <v>5.83</v>
      </c>
      <c r="H414" s="20" t="n">
        <v>5.31</v>
      </c>
      <c r="I414" s="11">
        <f>F414/G414-1</f>
        <v>-0.018867924528301994</v>
      </c>
      <c r="J414" s="11">
        <f>F414/H414-1</f>
        <v>0.07721280602636549</v>
      </c>
      <c r="K414" s="13" t="n">
        <v>34928185</v>
      </c>
      <c r="L414" s="13" t="n">
        <v>30852850</v>
      </c>
      <c r="M414" s="21">
        <f>K414/L414</f>
        <v>1.1320894179954202</v>
      </c>
    </row>
    <row r="415">
      <c r="A415" s="19" t="inlineStr">
        <is>
          <t>SNDK</t>
        </is>
      </c>
      <c r="B415" s="14" t="inlineStr">
        <is>
          <t>—</t>
        </is>
      </c>
      <c r="C415" s="14" t="inlineStr">
        <is>
          <t>—</t>
        </is>
      </c>
      <c r="D415" s="6" t="inlineStr">
        <is>
          <t>記憶體/HBM</t>
        </is>
      </c>
      <c r="E415" s="61" t="n">
        <v>99</v>
      </c>
      <c r="F415" s="20" t="n">
        <v>1519.97</v>
      </c>
      <c r="G415" s="20" t="n">
        <v>1530.895</v>
      </c>
      <c r="H415" s="20" t="n">
        <v>1764.17</v>
      </c>
      <c r="I415" s="11">
        <f>F415/G415-1</f>
        <v>-0.007136348345249011</v>
      </c>
      <c r="J415" s="11">
        <f>F415/H415-1</f>
        <v>-0.13842203415770593</v>
      </c>
      <c r="K415" s="13" t="n">
        <v>7313623</v>
      </c>
      <c r="L415" s="13" t="n">
        <v>9473150</v>
      </c>
      <c r="M415" s="21">
        <f>K415/L415</f>
        <v>0.7720370732016277</v>
      </c>
    </row>
    <row r="416">
      <c r="A416" s="19" t="inlineStr">
        <is>
          <t>SNOW</t>
        </is>
      </c>
      <c r="B416" s="14" t="inlineStr">
        <is>
          <t>—</t>
        </is>
      </c>
      <c r="C416" s="14" t="inlineStr">
        <is>
          <t>—</t>
        </is>
      </c>
      <c r="D416" s="6" t="inlineStr">
        <is>
          <t>資料/分析平台</t>
        </is>
      </c>
      <c r="E416" s="61" t="n">
        <v>8</v>
      </c>
      <c r="F416" s="20" t="n">
        <v>331.02</v>
      </c>
      <c r="G416" s="20" t="n">
        <v>322.98</v>
      </c>
      <c r="H416" s="20" t="n">
        <v>331.48</v>
      </c>
      <c r="I416" s="11">
        <f>F416/G416-1</f>
        <v>0.02489318224038639</v>
      </c>
      <c r="J416" s="11">
        <f>F416/H416-1</f>
        <v>-0.0013877156992881945</v>
      </c>
      <c r="K416" s="13" t="n">
        <v>3757560</v>
      </c>
      <c r="L416" s="13" t="n">
        <v>4034750</v>
      </c>
      <c r="M416" s="21">
        <f>K416/L416</f>
        <v>0.931299337009728</v>
      </c>
    </row>
    <row r="417">
      <c r="A417" s="58" t="inlineStr">
        <is>
          <t>SNPS</t>
        </is>
      </c>
      <c r="B417" s="88" t="inlineStr">
        <is>
          <t>⑤</t>
        </is>
      </c>
      <c r="C417" s="89" t="inlineStr">
        <is>
          <t>—</t>
        </is>
      </c>
      <c r="D417" s="60" t="inlineStr">
        <is>
          <t>EDA與半導體IP</t>
        </is>
      </c>
      <c r="E417" s="49" t="n">
        <v>37</v>
      </c>
      <c r="F417" s="90" t="n">
        <v>378.47</v>
      </c>
      <c r="G417" s="90" t="n">
        <v>367.7</v>
      </c>
      <c r="H417" s="90" t="n">
        <v>393.22</v>
      </c>
      <c r="I417" s="53">
        <f>F417/G417-1</f>
        <v>0.02929018221376123</v>
      </c>
      <c r="J417" s="53">
        <f>F417/H417-1</f>
        <v>-0.03751080819897257</v>
      </c>
      <c r="K417" s="91" t="n">
        <v>1719694</v>
      </c>
      <c r="L417" s="91" t="n">
        <v>1674600</v>
      </c>
      <c r="M417" s="92">
        <f>K417/L417</f>
        <v>1.0269282216648752</v>
      </c>
    </row>
    <row r="418">
      <c r="A418" s="19" t="inlineStr">
        <is>
          <t>SO</t>
        </is>
      </c>
      <c r="B418" s="14" t="inlineStr">
        <is>
          <t>—</t>
        </is>
      </c>
      <c r="C418" s="14" t="inlineStr">
        <is>
          <t>—</t>
        </is>
      </c>
      <c r="D418" s="6" t="inlineStr">
        <is>
          <t>受監管電力公用</t>
        </is>
      </c>
      <c r="E418" s="61" t="n">
        <v>93</v>
      </c>
      <c r="F418" s="20" t="n">
        <v>86.23</v>
      </c>
      <c r="G418" s="20" t="n">
        <v>85.95</v>
      </c>
      <c r="H418" s="20" t="n">
        <v>88.34</v>
      </c>
      <c r="I418" s="11">
        <f>F418/G418-1</f>
        <v>0.003257707969749779</v>
      </c>
      <c r="J418" s="11">
        <f>F418/H418-1</f>
        <v>-0.02388498981208964</v>
      </c>
      <c r="K418" s="13" t="n">
        <v>5923979</v>
      </c>
      <c r="L418" s="13" t="n">
        <v>5553400</v>
      </c>
      <c r="M418" s="21">
        <f>K418/L418</f>
        <v>1.066730111283178</v>
      </c>
    </row>
    <row r="419">
      <c r="A419" s="19" t="inlineStr">
        <is>
          <t>SOFI</t>
        </is>
      </c>
      <c r="B419" s="14" t="inlineStr">
        <is>
          <t>—</t>
        </is>
      </c>
      <c r="C419" s="14" t="inlineStr">
        <is>
          <t>—</t>
        </is>
      </c>
      <c r="D419" s="6" t="inlineStr">
        <is>
          <t>消費金融與BNPL</t>
        </is>
      </c>
      <c r="E419" s="61" t="n">
        <v>63</v>
      </c>
      <c r="F419" s="20" t="n">
        <v>16.84</v>
      </c>
      <c r="G419" s="20" t="n">
        <v>17.07</v>
      </c>
      <c r="H419" s="20" t="n">
        <v>17.33</v>
      </c>
      <c r="I419" s="11">
        <f>F419/G419-1</f>
        <v>-0.013473930872876405</v>
      </c>
      <c r="J419" s="11">
        <f>F419/H419-1</f>
        <v>-0.028274668205424014</v>
      </c>
      <c r="K419" s="13" t="n">
        <v>48931037</v>
      </c>
      <c r="L419" s="13" t="n">
        <v>38736600</v>
      </c>
      <c r="M419" s="21">
        <f>K419/L419</f>
        <v>1.2631732521697825</v>
      </c>
    </row>
    <row r="420">
      <c r="A420" s="19" t="inlineStr">
        <is>
          <t>SPG</t>
        </is>
      </c>
      <c r="B420" s="14" t="inlineStr">
        <is>
          <t>—</t>
        </is>
      </c>
      <c r="C420" s="14" t="inlineStr">
        <is>
          <t>—</t>
        </is>
      </c>
      <c r="D420" s="6" t="inlineStr">
        <is>
          <t>零售與購物中心REIT</t>
        </is>
      </c>
      <c r="E420" s="61" t="n">
        <v>98</v>
      </c>
      <c r="F420" s="20" t="n">
        <v>202.94</v>
      </c>
      <c r="G420" s="20" t="n">
        <v>204.1</v>
      </c>
      <c r="H420" s="20" t="n">
        <v>204.53</v>
      </c>
      <c r="I420" s="11">
        <f>F420/G420-1</f>
        <v>-0.005683488486036281</v>
      </c>
      <c r="J420" s="11">
        <f>F420/H420-1</f>
        <v>-0.007773920696230396</v>
      </c>
      <c r="K420" s="13" t="n">
        <v>1312902</v>
      </c>
      <c r="L420" s="13" t="n">
        <v>1027700</v>
      </c>
      <c r="M420" s="21">
        <f>K420/L420</f>
        <v>1.2775148389607862</v>
      </c>
    </row>
    <row r="421">
      <c r="A421" s="19" t="inlineStr">
        <is>
          <t>SPGI</t>
        </is>
      </c>
      <c r="B421" s="14" t="inlineStr">
        <is>
          <t>—</t>
        </is>
      </c>
      <c r="C421" s="14" t="inlineStr">
        <is>
          <t>—</t>
        </is>
      </c>
      <c r="D421" s="6" t="inlineStr">
        <is>
          <t>交易所與金融數據</t>
        </is>
      </c>
      <c r="E421" s="61" t="n">
        <v>78</v>
      </c>
      <c r="F421" s="20" t="n">
        <v>406.76</v>
      </c>
      <c r="G421" s="20" t="n">
        <v>412.52</v>
      </c>
      <c r="H421" s="20" t="n">
        <v>418.36</v>
      </c>
      <c r="I421" s="11">
        <f>F421/G421-1</f>
        <v>-0.013962959371666805</v>
      </c>
      <c r="J421" s="11">
        <f>F421/H421-1</f>
        <v>-0.02772731618701607</v>
      </c>
      <c r="K421" s="13" t="n">
        <v>1486237</v>
      </c>
      <c r="L421" s="13" t="n">
        <v>1801750</v>
      </c>
      <c r="M421" s="21">
        <f>K421/L421</f>
        <v>0.8248852504509505</v>
      </c>
    </row>
    <row r="422">
      <c r="A422" s="19" t="inlineStr">
        <is>
          <t>SR</t>
        </is>
      </c>
      <c r="B422" s="14" t="inlineStr">
        <is>
          <t>—</t>
        </is>
      </c>
      <c r="C422" s="14" t="inlineStr">
        <is>
          <t>—</t>
        </is>
      </c>
      <c r="D422" s="6" t="inlineStr">
        <is>
          <t>燃氣公用</t>
        </is>
      </c>
      <c r="E422" s="61" t="n">
        <v>77</v>
      </c>
      <c r="F422" s="20" t="n">
        <v>79.90000000000001</v>
      </c>
      <c r="G422" s="20" t="n">
        <v>80.22</v>
      </c>
      <c r="H422" s="20" t="n">
        <v>81.62</v>
      </c>
      <c r="I422" s="11">
        <f>F422/G422-1</f>
        <v>-0.003989030167040553</v>
      </c>
      <c r="J422" s="11">
        <f>F422/H422-1</f>
        <v>-0.02107326635628526</v>
      </c>
      <c r="K422" s="13" t="n">
        <v>502546</v>
      </c>
      <c r="L422" s="13" t="n">
        <v>506200</v>
      </c>
      <c r="M422" s="21">
        <f>K422/L422</f>
        <v>0.9927815092848676</v>
      </c>
    </row>
    <row r="423">
      <c r="A423" s="19" t="inlineStr">
        <is>
          <t>STAG</t>
        </is>
      </c>
      <c r="B423" s="14" t="inlineStr">
        <is>
          <t>—</t>
        </is>
      </c>
      <c r="C423" s="14" t="inlineStr">
        <is>
          <t>—</t>
        </is>
      </c>
      <c r="D423" s="6" t="inlineStr">
        <is>
          <t>工業與物流REIT</t>
        </is>
      </c>
      <c r="E423" s="61" t="n">
        <v>19</v>
      </c>
      <c r="F423" s="20" t="n">
        <v>37.08</v>
      </c>
      <c r="G423" s="20" t="n">
        <v>37.15</v>
      </c>
      <c r="H423" s="20" t="n">
        <v>37.18</v>
      </c>
      <c r="I423" s="11">
        <f>F423/G423-1</f>
        <v>-0.0018842530282637826</v>
      </c>
      <c r="J423" s="11">
        <f>F423/H423-1</f>
        <v>-0.002689618074233513</v>
      </c>
      <c r="K423" s="13" t="n">
        <v>1451920</v>
      </c>
      <c r="L423" s="13" t="n">
        <v>1386550</v>
      </c>
      <c r="M423" s="21">
        <f>K423/L423</f>
        <v>1.0471457935162813</v>
      </c>
    </row>
    <row r="424">
      <c r="A424" s="19" t="inlineStr">
        <is>
          <t>STLD</t>
        </is>
      </c>
      <c r="B424" s="14" t="inlineStr">
        <is>
          <t>—</t>
        </is>
      </c>
      <c r="C424" s="14" t="inlineStr">
        <is>
          <t>—</t>
        </is>
      </c>
      <c r="D424" s="6" t="inlineStr">
        <is>
          <t>鋼鐵</t>
        </is>
      </c>
      <c r="E424" s="61" t="n">
        <v>11</v>
      </c>
      <c r="F424" s="20" t="n">
        <v>238.23</v>
      </c>
      <c r="G424" s="20" t="n">
        <v>239.22</v>
      </c>
      <c r="H424" s="20" t="n">
        <v>240.69</v>
      </c>
      <c r="I424" s="11">
        <f>F424/G424-1</f>
        <v>-0.004138449962377777</v>
      </c>
      <c r="J424" s="11">
        <f>F424/H424-1</f>
        <v>-0.01022061572977695</v>
      </c>
      <c r="K424" s="13" t="n">
        <v>913015</v>
      </c>
      <c r="L424" s="13" t="n">
        <v>1089900</v>
      </c>
      <c r="M424" s="21">
        <f>K424/L424</f>
        <v>0.8377052940636756</v>
      </c>
    </row>
    <row r="425">
      <c r="A425" s="19" t="inlineStr">
        <is>
          <t>STX</t>
        </is>
      </c>
      <c r="B425" s="14" t="inlineStr">
        <is>
          <t>—</t>
        </is>
      </c>
      <c r="C425" s="14" t="inlineStr">
        <is>
          <t>—</t>
        </is>
      </c>
      <c r="D425" s="6" t="inlineStr">
        <is>
          <t>記憶體/HBM</t>
        </is>
      </c>
      <c r="E425" s="61" t="n">
        <v>99</v>
      </c>
      <c r="F425" s="20" t="n">
        <v>783.1799999999999</v>
      </c>
      <c r="G425" s="20" t="n">
        <v>771.8099999999999</v>
      </c>
      <c r="H425" s="20" t="n">
        <v>885.92</v>
      </c>
      <c r="I425" s="11">
        <f>F425/G425-1</f>
        <v>0.014731604928674091</v>
      </c>
      <c r="J425" s="11">
        <f>F425/H425-1</f>
        <v>-0.11596983926313886</v>
      </c>
      <c r="K425" s="13" t="n">
        <v>3391444</v>
      </c>
      <c r="L425" s="13" t="n">
        <v>3237550</v>
      </c>
      <c r="M425" s="21">
        <f>K425/L425</f>
        <v>1.047534092137573</v>
      </c>
    </row>
    <row r="426">
      <c r="A426" s="19" t="inlineStr">
        <is>
          <t>STZ</t>
        </is>
      </c>
      <c r="B426" s="14" t="inlineStr">
        <is>
          <t>—</t>
        </is>
      </c>
      <c r="C426" s="14" t="inlineStr">
        <is>
          <t>—</t>
        </is>
      </c>
      <c r="D426" s="6" t="inlineStr">
        <is>
          <t>酒精飲品</t>
        </is>
      </c>
      <c r="E426" s="61" t="n">
        <v>28</v>
      </c>
      <c r="F426" s="20" t="n">
        <v>123.03</v>
      </c>
      <c r="G426" s="20" t="n">
        <v>123.62</v>
      </c>
      <c r="H426" s="20" t="n">
        <v>121.55</v>
      </c>
      <c r="I426" s="11">
        <f>F426/G426-1</f>
        <v>-0.004772690503154875</v>
      </c>
      <c r="J426" s="11">
        <f>F426/H426-1</f>
        <v>0.012176059234882741</v>
      </c>
      <c r="K426" s="13" t="n">
        <v>1421121</v>
      </c>
      <c r="L426" s="13" t="n">
        <v>2013250</v>
      </c>
      <c r="M426" s="21">
        <f>K426/L426</f>
        <v>0.7058840183782441</v>
      </c>
    </row>
    <row r="427">
      <c r="A427" s="19" t="inlineStr">
        <is>
          <t>SYF</t>
        </is>
      </c>
      <c r="B427" s="14" t="inlineStr">
        <is>
          <t>—</t>
        </is>
      </c>
      <c r="C427" s="14" t="inlineStr">
        <is>
          <t>—</t>
        </is>
      </c>
      <c r="D427" s="6" t="inlineStr">
        <is>
          <t>消費金融與BNPL</t>
        </is>
      </c>
      <c r="E427" s="61" t="n">
        <v>63</v>
      </c>
      <c r="F427" s="20" t="n">
        <v>74.88</v>
      </c>
      <c r="G427" s="20" t="n">
        <v>76.06</v>
      </c>
      <c r="H427" s="20" t="n">
        <v>77.34999999999999</v>
      </c>
      <c r="I427" s="11">
        <f>F427/G427-1</f>
        <v>-0.015514067841178147</v>
      </c>
      <c r="J427" s="11">
        <f>F427/H427-1</f>
        <v>-0.031932773109243695</v>
      </c>
      <c r="K427" s="13" t="n">
        <v>2726151</v>
      </c>
      <c r="L427" s="13" t="n">
        <v>2992650</v>
      </c>
      <c r="M427" s="21">
        <f>K427/L427</f>
        <v>0.9109488246203198</v>
      </c>
    </row>
    <row r="428">
      <c r="A428" s="19" t="inlineStr">
        <is>
          <t>SYK</t>
        </is>
      </c>
      <c r="B428" s="14" t="inlineStr">
        <is>
          <t>—</t>
        </is>
      </c>
      <c r="C428" s="14" t="inlineStr">
        <is>
          <t>—</t>
        </is>
      </c>
      <c r="D428" s="6" t="inlineStr">
        <is>
          <t>醫療器械</t>
        </is>
      </c>
      <c r="E428" s="61" t="n">
        <v>13</v>
      </c>
      <c r="F428" s="20" t="n">
        <v>284.76</v>
      </c>
      <c r="G428" s="20" t="n">
        <v>281.5</v>
      </c>
      <c r="H428" s="20" t="n">
        <v>275.39</v>
      </c>
      <c r="I428" s="11">
        <f>F428/G428-1</f>
        <v>0.011580817051509706</v>
      </c>
      <c r="J428" s="11">
        <f>F428/H428-1</f>
        <v>0.03402447438178591</v>
      </c>
      <c r="K428" s="13" t="n">
        <v>3387814</v>
      </c>
      <c r="L428" s="13" t="n">
        <v>2316750</v>
      </c>
      <c r="M428" s="21">
        <f>K428/L428</f>
        <v>1.4623131542030863</v>
      </c>
    </row>
    <row r="429">
      <c r="A429" s="19" t="inlineStr">
        <is>
          <t>SYM</t>
        </is>
      </c>
      <c r="B429" s="14" t="inlineStr">
        <is>
          <t>—</t>
        </is>
      </c>
      <c r="C429" s="14" t="inlineStr">
        <is>
          <t>—</t>
        </is>
      </c>
      <c r="D429" s="6" t="inlineStr">
        <is>
          <t>工業自動化與機器人</t>
        </is>
      </c>
      <c r="E429" s="61" t="n">
        <v>25</v>
      </c>
      <c r="F429" s="20" t="n">
        <v>43.11</v>
      </c>
      <c r="G429" s="20" t="n">
        <v>42.77</v>
      </c>
      <c r="H429" s="20" t="n">
        <v>42.62</v>
      </c>
      <c r="I429" s="11">
        <f>F429/G429-1</f>
        <v>0.007949497311199316</v>
      </c>
      <c r="J429" s="11">
        <f>F429/H429-1</f>
        <v>0.011496949788831534</v>
      </c>
      <c r="K429" s="13" t="n">
        <v>2117328</v>
      </c>
      <c r="L429" s="13" t="n">
        <v>1497600</v>
      </c>
      <c r="M429" s="21">
        <f>K429/L429</f>
        <v>1.4138141025641027</v>
      </c>
    </row>
    <row r="430">
      <c r="A430" s="19" t="inlineStr">
        <is>
          <t>SYY</t>
        </is>
      </c>
      <c r="B430" s="14" t="inlineStr">
        <is>
          <t>—</t>
        </is>
      </c>
      <c r="C430" s="14" t="inlineStr">
        <is>
          <t>—</t>
        </is>
      </c>
      <c r="D430" s="6" t="inlineStr">
        <is>
          <t>必需品分銷</t>
        </is>
      </c>
      <c r="E430" s="61" t="n">
        <v>92</v>
      </c>
      <c r="F430" s="20" t="n">
        <v>78.70999999999999</v>
      </c>
      <c r="G430" s="20" t="n">
        <v>79.59999999999999</v>
      </c>
      <c r="H430" s="20" t="n">
        <v>81.56999999999999</v>
      </c>
      <c r="I430" s="11">
        <f>F430/G430-1</f>
        <v>-0.011180904522613111</v>
      </c>
      <c r="J430" s="11">
        <f>F430/H430-1</f>
        <v>-0.03506191001593728</v>
      </c>
      <c r="K430" s="13" t="n">
        <v>6311700</v>
      </c>
      <c r="L430" s="13" t="n">
        <v>2228000</v>
      </c>
      <c r="M430" s="21">
        <f>K430/L430</f>
        <v>2.832899461400359</v>
      </c>
    </row>
    <row r="431">
      <c r="A431" s="39" t="inlineStr">
        <is>
          <t>T</t>
        </is>
      </c>
      <c r="B431" s="93" t="inlineStr">
        <is>
          <t>—</t>
        </is>
      </c>
      <c r="C431" s="94" t="inlineStr">
        <is>
          <t>電信／債券代理</t>
        </is>
      </c>
      <c r="D431" s="40" t="inlineStr">
        <is>
          <t>電信營運商</t>
        </is>
      </c>
      <c r="E431" s="67" t="n">
        <v>33</v>
      </c>
      <c r="F431" s="41" t="n">
        <v>25.86</v>
      </c>
      <c r="G431" s="41" t="n">
        <v>26.72</v>
      </c>
      <c r="H431" s="41" t="n">
        <v>25.15</v>
      </c>
      <c r="I431" s="42">
        <f>F431/G431-1</f>
        <v>-0.03218562874251496</v>
      </c>
      <c r="J431" s="42">
        <f>F431/H431-1</f>
        <v>0.028230616302186817</v>
      </c>
      <c r="K431" s="43" t="n">
        <v>37788742</v>
      </c>
      <c r="L431" s="43" t="n">
        <v>32823800</v>
      </c>
      <c r="M431" s="44">
        <f>K431/L431</f>
        <v>1.1512604268853697</v>
      </c>
    </row>
    <row r="432">
      <c r="A432" s="19" t="inlineStr">
        <is>
          <t>TAP</t>
        </is>
      </c>
      <c r="B432" s="14" t="inlineStr">
        <is>
          <t>—</t>
        </is>
      </c>
      <c r="C432" s="14" t="inlineStr">
        <is>
          <t>—</t>
        </is>
      </c>
      <c r="D432" s="6" t="inlineStr">
        <is>
          <t>酒精飲品</t>
        </is>
      </c>
      <c r="E432" s="61" t="n">
        <v>28</v>
      </c>
      <c r="F432" s="20" t="n">
        <v>39.11</v>
      </c>
      <c r="G432" s="20" t="n">
        <v>39.27</v>
      </c>
      <c r="H432" s="20" t="n">
        <v>38.48</v>
      </c>
      <c r="I432" s="11">
        <f>F432/G432-1</f>
        <v>-0.004074357015533603</v>
      </c>
      <c r="J432" s="11">
        <f>F432/H432-1</f>
        <v>0.01637214137214138</v>
      </c>
      <c r="K432" s="13" t="n">
        <v>3348883</v>
      </c>
      <c r="L432" s="13" t="n">
        <v>2610400</v>
      </c>
      <c r="M432" s="21">
        <f>K432/L432</f>
        <v>1.282900321789764</v>
      </c>
    </row>
    <row r="433">
      <c r="A433" s="19" t="inlineStr">
        <is>
          <t>TDOC</t>
        </is>
      </c>
      <c r="B433" s="14" t="inlineStr">
        <is>
          <t>—</t>
        </is>
      </c>
      <c r="C433" s="14" t="inlineStr">
        <is>
          <t>—</t>
        </is>
      </c>
      <c r="D433" s="6" t="inlineStr">
        <is>
          <t>數位醫療與遠距醫療</t>
        </is>
      </c>
      <c r="E433" s="61" t="n">
        <v>21</v>
      </c>
      <c r="F433" s="20" t="n">
        <v>6.43</v>
      </c>
      <c r="G433" s="20" t="n">
        <v>6.58</v>
      </c>
      <c r="H433" s="20" t="n">
        <v>6.1</v>
      </c>
      <c r="I433" s="11">
        <f>F433/G433-1</f>
        <v>-0.0227963525835867</v>
      </c>
      <c r="J433" s="11">
        <f>F433/H433-1</f>
        <v>0.0540983606557377</v>
      </c>
      <c r="K433" s="13" t="n">
        <v>2752094</v>
      </c>
      <c r="L433" s="13" t="n">
        <v>3356750</v>
      </c>
      <c r="M433" s="21">
        <f>K433/L433</f>
        <v>0.8198686229239592</v>
      </c>
    </row>
    <row r="434">
      <c r="A434" s="19" t="inlineStr">
        <is>
          <t>TDW</t>
        </is>
      </c>
      <c r="B434" s="14" t="inlineStr">
        <is>
          <t>—</t>
        </is>
      </c>
      <c r="C434" s="14" t="inlineStr">
        <is>
          <t>—</t>
        </is>
      </c>
      <c r="D434" s="6" t="inlineStr">
        <is>
          <t>海上鑽井與設備</t>
        </is>
      </c>
      <c r="E434" s="61" t="n">
        <v>73</v>
      </c>
      <c r="F434" s="20" t="n">
        <v>88.17</v>
      </c>
      <c r="G434" s="20" t="n">
        <v>91.79000000000001</v>
      </c>
      <c r="H434" s="20" t="n">
        <v>93.06999999999999</v>
      </c>
      <c r="I434" s="11">
        <f>F434/G434-1</f>
        <v>-0.039437847260050174</v>
      </c>
      <c r="J434" s="11">
        <f>F434/H434-1</f>
        <v>-0.05264854410658637</v>
      </c>
      <c r="K434" s="13" t="n">
        <v>527292</v>
      </c>
      <c r="L434" s="13" t="n">
        <v>605850</v>
      </c>
      <c r="M434" s="21">
        <f>K434/L434</f>
        <v>0.8703342411487992</v>
      </c>
    </row>
    <row r="435">
      <c r="A435" s="19" t="inlineStr">
        <is>
          <t>TEAM</t>
        </is>
      </c>
      <c r="B435" s="14" t="inlineStr">
        <is>
          <t>—</t>
        </is>
      </c>
      <c r="C435" s="14" t="inlineStr">
        <is>
          <t>—</t>
        </is>
      </c>
      <c r="D435" s="6" t="inlineStr">
        <is>
          <t>企業軟體/SaaS</t>
        </is>
      </c>
      <c r="E435" s="61" t="n">
        <v>43</v>
      </c>
      <c r="F435" s="20" t="n">
        <v>190.28</v>
      </c>
      <c r="G435" s="20" t="n">
        <v>189.81</v>
      </c>
      <c r="H435" s="20" t="n">
        <v>177.74</v>
      </c>
      <c r="I435" s="11">
        <f>F435/G435-1</f>
        <v>0.0024761603708971514</v>
      </c>
      <c r="J435" s="11">
        <f>F435/H435-1</f>
        <v>0.0705524924046359</v>
      </c>
      <c r="K435" s="13" t="n">
        <v>2588994</v>
      </c>
      <c r="L435" s="13" t="n">
        <v>3640500</v>
      </c>
      <c r="M435" s="21">
        <f>K435/L435</f>
        <v>0.7111644004944376</v>
      </c>
    </row>
    <row r="436">
      <c r="A436" s="19" t="inlineStr">
        <is>
          <t>TECK</t>
        </is>
      </c>
      <c r="B436" s="14" t="inlineStr">
        <is>
          <t>—</t>
        </is>
      </c>
      <c r="C436" s="14" t="inlineStr">
        <is>
          <t>—</t>
        </is>
      </c>
      <c r="D436" s="6" t="inlineStr">
        <is>
          <t>銅與基本金屬</t>
        </is>
      </c>
      <c r="E436" s="61" t="n">
        <v>67</v>
      </c>
      <c r="F436" s="20" t="n">
        <v>64.25</v>
      </c>
      <c r="G436" s="20" t="n">
        <v>64.65000000000001</v>
      </c>
      <c r="H436" s="20" t="n">
        <v>70.34</v>
      </c>
      <c r="I436" s="11">
        <f>F436/G436-1</f>
        <v>-0.006187161639597871</v>
      </c>
      <c r="J436" s="11">
        <f>F436/H436-1</f>
        <v>-0.08657947114017628</v>
      </c>
      <c r="K436" s="13" t="n">
        <v>2024881</v>
      </c>
      <c r="L436" s="13" t="n">
        <v>3075350</v>
      </c>
      <c r="M436" s="21">
        <f>K436/L436</f>
        <v>0.658422943729982</v>
      </c>
    </row>
    <row r="437">
      <c r="A437" s="19" t="inlineStr">
        <is>
          <t>TEL</t>
        </is>
      </c>
      <c r="B437" s="14" t="inlineStr">
        <is>
          <t>—</t>
        </is>
      </c>
      <c r="C437" s="14" t="inlineStr">
        <is>
          <t>—</t>
        </is>
      </c>
      <c r="D437" s="6" t="inlineStr">
        <is>
          <t>電子硬件與EMS/連接器</t>
        </is>
      </c>
      <c r="E437" s="61" t="n">
        <v>5</v>
      </c>
      <c r="F437" s="20" t="n">
        <v>202.2</v>
      </c>
      <c r="G437" s="20" t="n">
        <v>201.42</v>
      </c>
      <c r="H437" s="20" t="n">
        <v>204.68</v>
      </c>
      <c r="I437" s="11">
        <f>F437/G437-1</f>
        <v>0.0038725052129877646</v>
      </c>
      <c r="J437" s="11">
        <f>F437/H437-1</f>
        <v>-0.012116474496775553</v>
      </c>
      <c r="K437" s="13" t="n">
        <v>1754731</v>
      </c>
      <c r="L437" s="13" t="n">
        <v>1830900</v>
      </c>
      <c r="M437" s="21">
        <f>K437/L437</f>
        <v>0.9583980556010705</v>
      </c>
    </row>
    <row r="438">
      <c r="A438" s="19" t="inlineStr">
        <is>
          <t>TER</t>
        </is>
      </c>
      <c r="B438" s="14" t="inlineStr">
        <is>
          <t>—</t>
        </is>
      </c>
      <c r="C438" s="14" t="inlineStr">
        <is>
          <t>—</t>
        </is>
      </c>
      <c r="D438" s="6" t="inlineStr">
        <is>
          <t>工業自動化與機器人、半導體設備</t>
        </is>
      </c>
      <c r="E438" s="61" t="n">
        <v>25</v>
      </c>
      <c r="F438" s="20" t="n">
        <v>341.15</v>
      </c>
      <c r="G438" s="20" t="n">
        <v>332.85</v>
      </c>
      <c r="H438" s="20" t="n">
        <v>383.69</v>
      </c>
      <c r="I438" s="11">
        <f>F438/G438-1</f>
        <v>0.024936157428270933</v>
      </c>
      <c r="J438" s="11">
        <f>F438/H438-1</f>
        <v>-0.11087075503661814</v>
      </c>
      <c r="K438" s="13" t="n">
        <v>2538156</v>
      </c>
      <c r="L438" s="13" t="n">
        <v>2351700</v>
      </c>
      <c r="M438" s="21">
        <f>K438/L438</f>
        <v>1.0792856231662202</v>
      </c>
    </row>
    <row r="439">
      <c r="A439" s="19" t="inlineStr">
        <is>
          <t>TFC</t>
        </is>
      </c>
      <c r="B439" s="14" t="inlineStr">
        <is>
          <t>—</t>
        </is>
      </c>
      <c r="C439" s="14" t="inlineStr">
        <is>
          <t>—</t>
        </is>
      </c>
      <c r="D439" s="6" t="inlineStr">
        <is>
          <t>區域與社區銀行</t>
        </is>
      </c>
      <c r="E439" s="61" t="n">
        <v>89</v>
      </c>
      <c r="F439" s="20" t="n">
        <v>48.44</v>
      </c>
      <c r="G439" s="20" t="n">
        <v>50.46</v>
      </c>
      <c r="H439" s="20" t="n">
        <v>50.15</v>
      </c>
      <c r="I439" s="11">
        <f>F439/G439-1</f>
        <v>-0.040031708283789214</v>
      </c>
      <c r="J439" s="11">
        <f>F439/H439-1</f>
        <v>-0.03409770687936198</v>
      </c>
      <c r="K439" s="13" t="n">
        <v>11697791</v>
      </c>
      <c r="L439" s="13" t="n">
        <v>5417600</v>
      </c>
      <c r="M439" s="21">
        <f>K439/L439</f>
        <v>2.159220134376846</v>
      </c>
    </row>
    <row r="440">
      <c r="A440" s="58" t="inlineStr">
        <is>
          <t>THC</t>
        </is>
      </c>
      <c r="B440" s="88" t="inlineStr">
        <is>
          <t>②</t>
        </is>
      </c>
      <c r="C440" s="89" t="inlineStr">
        <is>
          <t>—</t>
        </is>
      </c>
      <c r="D440" s="60" t="inlineStr">
        <is>
          <t>醫院與醫療服務</t>
        </is>
      </c>
      <c r="E440" s="49" t="n">
        <v>3</v>
      </c>
      <c r="F440" s="90" t="n">
        <v>265.78</v>
      </c>
      <c r="G440" s="90" t="n">
        <v>260.85</v>
      </c>
      <c r="H440" s="90" t="n">
        <v>269.08</v>
      </c>
      <c r="I440" s="53">
        <f>F440/G440-1</f>
        <v>0.018899750814644234</v>
      </c>
      <c r="J440" s="53">
        <f>F440/H440-1</f>
        <v>-0.012264010703136652</v>
      </c>
      <c r="K440" s="91" t="n">
        <v>628980</v>
      </c>
      <c r="L440" s="91" t="n">
        <v>713550</v>
      </c>
      <c r="M440" s="92">
        <f>K440/L440</f>
        <v>0.8814799243220517</v>
      </c>
    </row>
    <row r="441">
      <c r="A441" s="19" t="inlineStr">
        <is>
          <t>TJX</t>
        </is>
      </c>
      <c r="B441" s="14" t="inlineStr">
        <is>
          <t>—</t>
        </is>
      </c>
      <c r="C441" s="14" t="inlineStr">
        <is>
          <t>—</t>
        </is>
      </c>
      <c r="D441" s="6" t="inlineStr">
        <is>
          <t>專門零售</t>
        </is>
      </c>
      <c r="E441" s="61" t="n">
        <v>74</v>
      </c>
      <c r="F441" s="20" t="n">
        <v>122.84</v>
      </c>
      <c r="G441" s="20" t="n">
        <v>124.6</v>
      </c>
      <c r="H441" s="20" t="n">
        <v>126.12</v>
      </c>
      <c r="I441" s="11">
        <f>F441/G441-1</f>
        <v>-0.01412520064205447</v>
      </c>
      <c r="J441" s="11">
        <f>F441/H441-1</f>
        <v>-0.026006977481763394</v>
      </c>
      <c r="K441" s="13" t="n">
        <v>10334469</v>
      </c>
      <c r="L441" s="13" t="n">
        <v>7451100</v>
      </c>
      <c r="M441" s="21">
        <f>K441/L441</f>
        <v>1.3869722591295246</v>
      </c>
    </row>
    <row r="442">
      <c r="A442" s="19" t="inlineStr">
        <is>
          <t>TLN</t>
        </is>
      </c>
      <c r="B442" s="14" t="inlineStr">
        <is>
          <t>—</t>
        </is>
      </c>
      <c r="C442" s="14" t="inlineStr">
        <is>
          <t>—</t>
        </is>
      </c>
      <c r="D442" s="6" t="inlineStr">
        <is>
          <t>IPP與電力交易商</t>
        </is>
      </c>
      <c r="E442" s="61" t="n">
        <v>96</v>
      </c>
      <c r="F442" s="20" t="n">
        <v>287.6</v>
      </c>
      <c r="G442" s="20" t="n">
        <v>282.15</v>
      </c>
      <c r="H442" s="20" t="n">
        <v>319.67</v>
      </c>
      <c r="I442" s="11">
        <f>F442/G442-1</f>
        <v>0.019315966684387842</v>
      </c>
      <c r="J442" s="11">
        <f>F442/H442-1</f>
        <v>-0.10032220727625363</v>
      </c>
      <c r="K442" s="13" t="n">
        <v>808950</v>
      </c>
      <c r="L442" s="13" t="n">
        <v>834650</v>
      </c>
      <c r="M442" s="21">
        <f>K442/L442</f>
        <v>0.9692086503324747</v>
      </c>
    </row>
    <row r="443">
      <c r="A443" s="19" t="inlineStr">
        <is>
          <t>TMC</t>
        </is>
      </c>
      <c r="B443" s="14" t="inlineStr">
        <is>
          <t>—</t>
        </is>
      </c>
      <c r="C443" s="14" t="inlineStr">
        <is>
          <t>—</t>
        </is>
      </c>
      <c r="D443" s="6" t="inlineStr">
        <is>
          <t>稀土與關鍵礦產</t>
        </is>
      </c>
      <c r="E443" s="61" t="n">
        <v>109</v>
      </c>
      <c r="F443" s="20" t="n">
        <v>3.63</v>
      </c>
      <c r="G443" s="20" t="n">
        <v>3.75</v>
      </c>
      <c r="H443" s="20" t="n">
        <v>4.28</v>
      </c>
      <c r="I443" s="11">
        <f>F443/G443-1</f>
        <v>-0.03200000000000003</v>
      </c>
      <c r="J443" s="11">
        <f>F443/H443-1</f>
        <v>-0.15186915887850472</v>
      </c>
      <c r="K443" s="13" t="n">
        <v>5479263</v>
      </c>
      <c r="L443" s="13" t="n">
        <v>6031450</v>
      </c>
      <c r="M443" s="21">
        <f>K443/L443</f>
        <v>0.9084487146540219</v>
      </c>
    </row>
    <row r="444">
      <c r="A444" s="58" t="inlineStr">
        <is>
          <t>TMO</t>
        </is>
      </c>
      <c r="B444" s="88" t="inlineStr">
        <is>
          <t>②</t>
        </is>
      </c>
      <c r="C444" s="89" t="inlineStr">
        <is>
          <t>—</t>
        </is>
      </c>
      <c r="D444" s="60" t="inlineStr">
        <is>
          <t>診斷與生命科學工具</t>
        </is>
      </c>
      <c r="E444" s="49" t="n">
        <v>1</v>
      </c>
      <c r="F444" s="90" t="n">
        <v>648.4299999999999</v>
      </c>
      <c r="G444" s="90" t="n">
        <v>641.39</v>
      </c>
      <c r="H444" s="90" t="n">
        <v>605.6900000000001</v>
      </c>
      <c r="I444" s="53">
        <f>F444/G444-1</f>
        <v>0.010976161150002328</v>
      </c>
      <c r="J444" s="53">
        <f>F444/H444-1</f>
        <v>0.07056414997771121</v>
      </c>
      <c r="K444" s="91" t="n">
        <v>2879941</v>
      </c>
      <c r="L444" s="91" t="n">
        <v>1669300</v>
      </c>
      <c r="M444" s="92">
        <f>K444/L444</f>
        <v>1.7252387228179475</v>
      </c>
    </row>
    <row r="445">
      <c r="A445" s="19" t="inlineStr">
        <is>
          <t>TMUS</t>
        </is>
      </c>
      <c r="B445" s="14" t="inlineStr">
        <is>
          <t>—</t>
        </is>
      </c>
      <c r="C445" s="14" t="inlineStr">
        <is>
          <t>—</t>
        </is>
      </c>
      <c r="D445" s="6" t="inlineStr">
        <is>
          <t>電信營運商</t>
        </is>
      </c>
      <c r="E445" s="61" t="n">
        <v>33</v>
      </c>
      <c r="F445" s="20" t="n">
        <v>176.26</v>
      </c>
      <c r="G445" s="20" t="n">
        <v>180.47</v>
      </c>
      <c r="H445" s="20" t="n">
        <v>177.34</v>
      </c>
      <c r="I445" s="11">
        <f>F445/G445-1</f>
        <v>-0.0233279769490774</v>
      </c>
      <c r="J445" s="11">
        <f>F445/H445-1</f>
        <v>-0.006089996616668647</v>
      </c>
      <c r="K445" s="13" t="n">
        <v>5301043</v>
      </c>
      <c r="L445" s="13" t="n">
        <v>3942450</v>
      </c>
      <c r="M445" s="21">
        <f>K445/L445</f>
        <v>1.3446062727491788</v>
      </c>
    </row>
    <row r="446">
      <c r="A446" s="19" t="inlineStr">
        <is>
          <t>TOL</t>
        </is>
      </c>
      <c r="B446" s="14" t="inlineStr">
        <is>
          <t>—</t>
        </is>
      </c>
      <c r="C446" s="14" t="inlineStr">
        <is>
          <t>—</t>
        </is>
      </c>
      <c r="D446" s="6" t="inlineStr">
        <is>
          <t>住宅建築商</t>
        </is>
      </c>
      <c r="E446" s="61" t="n">
        <v>44</v>
      </c>
      <c r="F446" s="20" t="n">
        <v>132.64</v>
      </c>
      <c r="G446" s="20" t="n">
        <v>134.2</v>
      </c>
      <c r="H446" s="20" t="n">
        <v>135.05</v>
      </c>
      <c r="I446" s="11">
        <f>F446/G446-1</f>
        <v>-0.01162444113263783</v>
      </c>
      <c r="J446" s="11">
        <f>F446/H446-1</f>
        <v>-0.01784524250277697</v>
      </c>
      <c r="K446" s="13" t="n">
        <v>890384</v>
      </c>
      <c r="L446" s="13" t="n">
        <v>861400</v>
      </c>
      <c r="M446" s="21">
        <f>K446/L446</f>
        <v>1.0336475504991873</v>
      </c>
    </row>
    <row r="447">
      <c r="A447" s="19" t="inlineStr">
        <is>
          <t>TOST</t>
        </is>
      </c>
      <c r="B447" s="14" t="inlineStr">
        <is>
          <t>—</t>
        </is>
      </c>
      <c r="C447" s="14" t="inlineStr">
        <is>
          <t>—</t>
        </is>
      </c>
      <c r="D447" s="6" t="inlineStr">
        <is>
          <t>支付與收單</t>
        </is>
      </c>
      <c r="E447" s="61" t="n">
        <v>24</v>
      </c>
      <c r="F447" s="20" t="n">
        <v>31.12</v>
      </c>
      <c r="G447" s="20" t="n">
        <v>31.84</v>
      </c>
      <c r="H447" s="20" t="n">
        <v>32.45</v>
      </c>
      <c r="I447" s="11">
        <f>F447/G447-1</f>
        <v>-0.022613065326633097</v>
      </c>
      <c r="J447" s="11">
        <f>F447/H447-1</f>
        <v>-0.04098613251155625</v>
      </c>
      <c r="K447" s="13" t="n">
        <v>8048473</v>
      </c>
      <c r="L447" s="13" t="n">
        <v>7490850</v>
      </c>
      <c r="M447" s="21">
        <f>K447/L447</f>
        <v>1.0744405508053159</v>
      </c>
    </row>
    <row r="448">
      <c r="A448" s="19" t="inlineStr">
        <is>
          <t>TPB</t>
        </is>
      </c>
      <c r="B448" s="14" t="inlineStr">
        <is>
          <t>—</t>
        </is>
      </c>
      <c r="C448" s="14" t="inlineStr">
        <is>
          <t>—</t>
        </is>
      </c>
      <c r="D448" s="6" t="inlineStr">
        <is>
          <t>煙草與尼古丁</t>
        </is>
      </c>
      <c r="E448" s="61" t="n">
        <v>31</v>
      </c>
      <c r="F448" s="20" t="n">
        <v>70.12</v>
      </c>
      <c r="G448" s="20" t="n">
        <v>70.02</v>
      </c>
      <c r="H448" s="20" t="n">
        <v>73.20999999999999</v>
      </c>
      <c r="I448" s="11">
        <f>F448/G448-1</f>
        <v>0.0014281633818911121</v>
      </c>
      <c r="J448" s="11">
        <f>F448/H448-1</f>
        <v>-0.04220734872285192</v>
      </c>
      <c r="K448" s="13" t="n">
        <v>216988</v>
      </c>
      <c r="L448" s="13" t="n">
        <v>246300</v>
      </c>
      <c r="M448" s="21">
        <f>K448/L448</f>
        <v>0.8809906617945594</v>
      </c>
    </row>
    <row r="449">
      <c r="A449" s="19" t="inlineStr">
        <is>
          <t>TROW</t>
        </is>
      </c>
      <c r="B449" s="14" t="inlineStr">
        <is>
          <t>—</t>
        </is>
      </c>
      <c r="C449" s="14" t="inlineStr">
        <is>
          <t>—</t>
        </is>
      </c>
      <c r="D449" s="6" t="inlineStr">
        <is>
          <t>資產管理</t>
        </is>
      </c>
      <c r="E449" s="61" t="n">
        <v>91</v>
      </c>
      <c r="F449" s="20" t="n">
        <v>102.4</v>
      </c>
      <c r="G449" s="20" t="n">
        <v>104.23</v>
      </c>
      <c r="H449" s="20" t="n">
        <v>107.74</v>
      </c>
      <c r="I449" s="11">
        <f>F449/G449-1</f>
        <v>-0.01755732514631103</v>
      </c>
      <c r="J449" s="11">
        <f>F449/H449-1</f>
        <v>-0.04956376461852596</v>
      </c>
      <c r="K449" s="13" t="n">
        <v>1530809</v>
      </c>
      <c r="L449" s="13" t="n">
        <v>1201250</v>
      </c>
      <c r="M449" s="21">
        <f>K449/L449</f>
        <v>1.274346722164412</v>
      </c>
    </row>
    <row r="450">
      <c r="A450" s="58" t="inlineStr">
        <is>
          <t>TRV</t>
        </is>
      </c>
      <c r="B450" s="88" t="inlineStr">
        <is>
          <t>④</t>
        </is>
      </c>
      <c r="C450" s="89" t="inlineStr">
        <is>
          <t>—</t>
        </is>
      </c>
      <c r="D450" s="60" t="inlineStr">
        <is>
          <t>產險與再保</t>
        </is>
      </c>
      <c r="E450" s="49" t="n">
        <v>6</v>
      </c>
      <c r="F450" s="90" t="n">
        <v>378.92</v>
      </c>
      <c r="G450" s="90" t="n">
        <v>377.97</v>
      </c>
      <c r="H450" s="90" t="n">
        <v>366.85</v>
      </c>
      <c r="I450" s="53">
        <f>F450/G450-1</f>
        <v>0.002513426991560097</v>
      </c>
      <c r="J450" s="53">
        <f>F450/H450-1</f>
        <v>0.032901730952705543</v>
      </c>
      <c r="K450" s="91" t="n">
        <v>1602008</v>
      </c>
      <c r="L450" s="91" t="n">
        <v>1474800</v>
      </c>
      <c r="M450" s="92">
        <f>K450/L450</f>
        <v>1.0862544073772715</v>
      </c>
    </row>
    <row r="451">
      <c r="A451" s="19" t="inlineStr">
        <is>
          <t>TSLA</t>
        </is>
      </c>
      <c r="B451" s="14" t="inlineStr">
        <is>
          <t>—</t>
        </is>
      </c>
      <c r="C451" s="14" t="inlineStr">
        <is>
          <t>—</t>
        </is>
      </c>
      <c r="D451" s="6" t="inlineStr">
        <is>
          <t>電動車與新能源車</t>
        </is>
      </c>
      <c r="E451" s="61" t="n">
        <v>87</v>
      </c>
      <c r="F451" s="20" t="n">
        <v>358.08</v>
      </c>
      <c r="G451" s="20" t="n">
        <v>356.58</v>
      </c>
      <c r="H451" s="20" t="n">
        <v>367.81</v>
      </c>
      <c r="I451" s="11">
        <f>F451/G451-1</f>
        <v>0.004206629648325855</v>
      </c>
      <c r="J451" s="11">
        <f>F451/H451-1</f>
        <v>-0.026453875642315383</v>
      </c>
      <c r="K451" s="13" t="n">
        <v>31978905</v>
      </c>
      <c r="L451" s="13" t="n">
        <v>32768250</v>
      </c>
      <c r="M451" s="21">
        <f>K451/L451</f>
        <v>0.9759112860772241</v>
      </c>
    </row>
    <row r="452">
      <c r="A452" s="19" t="inlineStr">
        <is>
          <t>TSM</t>
        </is>
      </c>
      <c r="B452" s="14" t="inlineStr">
        <is>
          <t>—</t>
        </is>
      </c>
      <c r="C452" s="14" t="inlineStr">
        <is>
          <t>—</t>
        </is>
      </c>
      <c r="D452" s="6" t="inlineStr">
        <is>
          <t>晶圓代工/IDM</t>
        </is>
      </c>
      <c r="E452" s="61" t="n">
        <v>38</v>
      </c>
      <c r="F452" s="20" t="n">
        <v>417.72</v>
      </c>
      <c r="G452" s="20" t="n">
        <v>413.75</v>
      </c>
      <c r="H452" s="20" t="n">
        <v>435.36</v>
      </c>
      <c r="I452" s="11">
        <f>F452/G452-1</f>
        <v>0.009595166163142155</v>
      </c>
      <c r="J452" s="11">
        <f>F452/H452-1</f>
        <v>-0.04051819184123484</v>
      </c>
      <c r="K452" s="13" t="n">
        <v>10452257</v>
      </c>
      <c r="L452" s="13" t="n">
        <v>8922050</v>
      </c>
      <c r="M452" s="21">
        <f>K452/L452</f>
        <v>1.171508453774637</v>
      </c>
    </row>
    <row r="453">
      <c r="A453" s="19" t="inlineStr">
        <is>
          <t>TSN</t>
        </is>
      </c>
      <c r="B453" s="14" t="inlineStr">
        <is>
          <t>—</t>
        </is>
      </c>
      <c r="C453" s="14" t="inlineStr">
        <is>
          <t>—</t>
        </is>
      </c>
      <c r="D453" s="6" t="inlineStr">
        <is>
          <t>農產品與農業投入</t>
        </is>
      </c>
      <c r="E453" s="61" t="n">
        <v>85</v>
      </c>
      <c r="F453" s="20" t="n">
        <v>52.12</v>
      </c>
      <c r="G453" s="20" t="n">
        <v>52.55</v>
      </c>
      <c r="H453" s="20" t="n">
        <v>51.74</v>
      </c>
      <c r="I453" s="11">
        <f>F453/G453-1</f>
        <v>-0.008182683158896253</v>
      </c>
      <c r="J453" s="11">
        <f>F453/H453-1</f>
        <v>0.007344414379590214</v>
      </c>
      <c r="K453" s="13" t="n">
        <v>2692147</v>
      </c>
      <c r="L453" s="13" t="n">
        <v>3187650</v>
      </c>
      <c r="M453" s="21">
        <f>K453/L453</f>
        <v>0.8445553934716797</v>
      </c>
    </row>
    <row r="454">
      <c r="A454" s="19" t="inlineStr">
        <is>
          <t>TT</t>
        </is>
      </c>
      <c r="B454" s="14" t="inlineStr">
        <is>
          <t>—</t>
        </is>
      </c>
      <c r="C454" s="14" t="inlineStr">
        <is>
          <t>—</t>
        </is>
      </c>
      <c r="D454" s="6" t="inlineStr">
        <is>
          <t>樓宇產品與HVAC</t>
        </is>
      </c>
      <c r="E454" s="61" t="n">
        <v>64</v>
      </c>
      <c r="F454" s="20" t="n">
        <v>421.68</v>
      </c>
      <c r="G454" s="20" t="n">
        <v>422.73</v>
      </c>
      <c r="H454" s="20" t="n">
        <v>444.17</v>
      </c>
      <c r="I454" s="11">
        <f>F454/G454-1</f>
        <v>-0.0024838549428713996</v>
      </c>
      <c r="J454" s="11">
        <f>F454/H454-1</f>
        <v>-0.05063376635072159</v>
      </c>
      <c r="K454" s="13" t="n">
        <v>944566</v>
      </c>
      <c r="L454" s="13" t="n">
        <v>907200</v>
      </c>
      <c r="M454" s="21">
        <f>K454/L454</f>
        <v>1.0411882716049383</v>
      </c>
    </row>
    <row r="455">
      <c r="A455" s="19" t="inlineStr">
        <is>
          <t>TTWO</t>
        </is>
      </c>
      <c r="B455" s="14" t="inlineStr">
        <is>
          <t>—</t>
        </is>
      </c>
      <c r="C455" s="14" t="inlineStr">
        <is>
          <t>—</t>
        </is>
      </c>
      <c r="D455" s="6" t="inlineStr">
        <is>
          <t>互動遊戲</t>
        </is>
      </c>
      <c r="E455" s="61" t="n">
        <v>54</v>
      </c>
      <c r="F455" s="20" t="n">
        <v>211.81</v>
      </c>
      <c r="G455" s="20" t="n">
        <v>211.91</v>
      </c>
      <c r="H455" s="20" t="n">
        <v>211.14</v>
      </c>
      <c r="I455" s="11">
        <f>F455/G455-1</f>
        <v>-0.0004718984474540999</v>
      </c>
      <c r="J455" s="11">
        <f>F455/H455-1</f>
        <v>0.0031732499763190702</v>
      </c>
      <c r="K455" s="13" t="n">
        <v>2155813</v>
      </c>
      <c r="L455" s="13" t="n">
        <v>2478850</v>
      </c>
      <c r="M455" s="21">
        <f>K455/L455</f>
        <v>0.8696827157754604</v>
      </c>
    </row>
    <row r="456">
      <c r="A456" s="19" t="inlineStr">
        <is>
          <t>TXN</t>
        </is>
      </c>
      <c r="B456" s="14" t="inlineStr">
        <is>
          <t>—</t>
        </is>
      </c>
      <c r="C456" s="14" t="inlineStr">
        <is>
          <t>—</t>
        </is>
      </c>
      <c r="D456" s="6" t="inlineStr">
        <is>
          <t>類比/功率半導體</t>
        </is>
      </c>
      <c r="E456" s="61" t="n">
        <v>52</v>
      </c>
      <c r="F456" s="20" t="n">
        <v>260.67</v>
      </c>
      <c r="G456" s="20" t="n">
        <v>263.43</v>
      </c>
      <c r="H456" s="20" t="n">
        <v>261.59</v>
      </c>
      <c r="I456" s="11">
        <f>F456/G456-1</f>
        <v>-0.01047716660972553</v>
      </c>
      <c r="J456" s="11">
        <f>F456/H456-1</f>
        <v>-0.0035169540120033593</v>
      </c>
      <c r="K456" s="13" t="n">
        <v>3637331</v>
      </c>
      <c r="L456" s="13" t="n">
        <v>5475650</v>
      </c>
      <c r="M456" s="21">
        <f>K456/L456</f>
        <v>0.664273830504141</v>
      </c>
    </row>
    <row r="457">
      <c r="A457" s="19" t="inlineStr">
        <is>
          <t>UAL</t>
        </is>
      </c>
      <c r="B457" s="14" t="inlineStr">
        <is>
          <t>—</t>
        </is>
      </c>
      <c r="C457" s="14" t="inlineStr">
        <is>
          <t>—</t>
        </is>
      </c>
      <c r="D457" s="6" t="inlineStr">
        <is>
          <t>航空公司</t>
        </is>
      </c>
      <c r="E457" s="61" t="n">
        <v>49</v>
      </c>
      <c r="F457" s="20" t="n">
        <v>106.3</v>
      </c>
      <c r="G457" s="20" t="n">
        <v>106.92</v>
      </c>
      <c r="H457" s="20" t="n">
        <v>107.12</v>
      </c>
      <c r="I457" s="11">
        <f>F457/G457-1</f>
        <v>-0.005798728020950272</v>
      </c>
      <c r="J457" s="11">
        <f>F457/H457-1</f>
        <v>-0.007654966392830587</v>
      </c>
      <c r="K457" s="13" t="n">
        <v>4140844</v>
      </c>
      <c r="L457" s="13" t="n">
        <v>3204100</v>
      </c>
      <c r="M457" s="21">
        <f>K457/L457</f>
        <v>1.2923579164195873</v>
      </c>
    </row>
    <row r="458">
      <c r="A458" s="19" t="inlineStr">
        <is>
          <t>UEC</t>
        </is>
      </c>
      <c r="B458" s="14" t="inlineStr">
        <is>
          <t>—</t>
        </is>
      </c>
      <c r="C458" s="14" t="inlineStr">
        <is>
          <t>—</t>
        </is>
      </c>
      <c r="D458" s="6" t="inlineStr">
        <is>
          <t>鈾與核燃料</t>
        </is>
      </c>
      <c r="E458" s="61" t="n">
        <v>111</v>
      </c>
      <c r="F458" s="20" t="n">
        <v>10.08</v>
      </c>
      <c r="G458" s="20" t="n">
        <v>10.18</v>
      </c>
      <c r="H458" s="20" t="n">
        <v>11.6</v>
      </c>
      <c r="I458" s="11">
        <f>F458/G458-1</f>
        <v>-0.00982318271119842</v>
      </c>
      <c r="J458" s="11">
        <f>F458/H458-1</f>
        <v>-0.13103448275862062</v>
      </c>
      <c r="K458" s="13" t="n">
        <v>9079552</v>
      </c>
      <c r="L458" s="13" t="n">
        <v>8644950</v>
      </c>
      <c r="M458" s="21">
        <f>K458/L458</f>
        <v>1.0502723555370477</v>
      </c>
    </row>
    <row r="459">
      <c r="A459" s="58" t="inlineStr">
        <is>
          <t>UHS</t>
        </is>
      </c>
      <c r="B459" s="88" t="inlineStr">
        <is>
          <t>②</t>
        </is>
      </c>
      <c r="C459" s="89" t="inlineStr">
        <is>
          <t>—</t>
        </is>
      </c>
      <c r="D459" s="60" t="inlineStr">
        <is>
          <t>醫院與醫療服務</t>
        </is>
      </c>
      <c r="E459" s="49" t="n">
        <v>3</v>
      </c>
      <c r="F459" s="90" t="n">
        <v>181.21</v>
      </c>
      <c r="G459" s="90" t="n">
        <v>176.85</v>
      </c>
      <c r="H459" s="90" t="n">
        <v>175.78</v>
      </c>
      <c r="I459" s="53">
        <f>F459/G459-1</f>
        <v>0.024653661294882667</v>
      </c>
      <c r="J459" s="53">
        <f>F459/H459-1</f>
        <v>0.03089088633519177</v>
      </c>
      <c r="K459" s="91" t="n">
        <v>881541</v>
      </c>
      <c r="L459" s="91" t="n">
        <v>621000</v>
      </c>
      <c r="M459" s="92">
        <f>K459/L459</f>
        <v>1.419550724637681</v>
      </c>
    </row>
    <row r="460">
      <c r="A460" s="19" t="inlineStr">
        <is>
          <t>UMC</t>
        </is>
      </c>
      <c r="B460" s="14" t="inlineStr">
        <is>
          <t>—</t>
        </is>
      </c>
      <c r="C460" s="14" t="inlineStr">
        <is>
          <t>—</t>
        </is>
      </c>
      <c r="D460" s="6" t="inlineStr">
        <is>
          <t>晶圓代工/IDM</t>
        </is>
      </c>
      <c r="E460" s="61" t="n">
        <v>38</v>
      </c>
      <c r="F460" s="20" t="n">
        <v>22.53</v>
      </c>
      <c r="G460" s="20" t="n">
        <v>21.61</v>
      </c>
      <c r="H460" s="20" t="n">
        <v>22.69</v>
      </c>
      <c r="I460" s="11">
        <f>F460/G460-1</f>
        <v>0.04257288292457195</v>
      </c>
      <c r="J460" s="11">
        <f>F460/H460-1</f>
        <v>-0.007051564565888069</v>
      </c>
      <c r="K460" s="13" t="n">
        <v>11202742</v>
      </c>
      <c r="L460" s="13" t="n">
        <v>10115050</v>
      </c>
      <c r="M460" s="21">
        <f>K460/L460</f>
        <v>1.1075320438356706</v>
      </c>
    </row>
    <row r="461">
      <c r="A461" s="19" t="inlineStr">
        <is>
          <t>UNH</t>
        </is>
      </c>
      <c r="B461" s="14" t="inlineStr">
        <is>
          <t>—</t>
        </is>
      </c>
      <c r="C461" s="14" t="inlineStr">
        <is>
          <t>—</t>
        </is>
      </c>
      <c r="D461" s="6" t="inlineStr">
        <is>
          <t>醫療保險與管理式醫療</t>
        </is>
      </c>
      <c r="E461" s="61" t="n">
        <v>76</v>
      </c>
      <c r="F461" s="20" t="n">
        <v>375.26</v>
      </c>
      <c r="G461" s="20" t="n">
        <v>375.93</v>
      </c>
      <c r="H461" s="20" t="n">
        <v>393.06</v>
      </c>
      <c r="I461" s="11">
        <f>F461/G461-1</f>
        <v>-0.0017822466948634874</v>
      </c>
      <c r="J461" s="11">
        <f>F461/H461-1</f>
        <v>-0.045285707016740506</v>
      </c>
      <c r="K461" s="13" t="n">
        <v>4414451</v>
      </c>
      <c r="L461" s="13" t="n">
        <v>4485600</v>
      </c>
      <c r="M461" s="21">
        <f>K461/L461</f>
        <v>0.98413835384341</v>
      </c>
    </row>
    <row r="462">
      <c r="A462" s="19" t="inlineStr">
        <is>
          <t>UNP</t>
        </is>
      </c>
      <c r="B462" s="14" t="inlineStr">
        <is>
          <t>—</t>
        </is>
      </c>
      <c r="C462" s="14" t="inlineStr">
        <is>
          <t>—</t>
        </is>
      </c>
      <c r="D462" s="6" t="inlineStr">
        <is>
          <t>鐵路運輸</t>
        </is>
      </c>
      <c r="E462" s="61" t="n">
        <v>62</v>
      </c>
      <c r="F462" s="20" t="n">
        <v>280.92</v>
      </c>
      <c r="G462" s="20" t="n">
        <v>283.99</v>
      </c>
      <c r="H462" s="20" t="n">
        <v>284.74</v>
      </c>
      <c r="I462" s="11">
        <f>F462/G462-1</f>
        <v>-0.01081023979717588</v>
      </c>
      <c r="J462" s="11">
        <f>F462/H462-1</f>
        <v>-0.013415747699655811</v>
      </c>
      <c r="K462" s="13" t="n">
        <v>2643973</v>
      </c>
      <c r="L462" s="13" t="n">
        <v>2094350</v>
      </c>
      <c r="M462" s="21">
        <f>K462/L462</f>
        <v>1.2624313032683172</v>
      </c>
    </row>
    <row r="463">
      <c r="A463" s="39" t="inlineStr">
        <is>
          <t>UPS</t>
        </is>
      </c>
      <c r="B463" s="93" t="inlineStr">
        <is>
          <t>—</t>
        </is>
      </c>
      <c r="C463" s="94" t="inlineStr">
        <is>
          <t>貨運與物流</t>
        </is>
      </c>
      <c r="D463" s="40" t="inlineStr">
        <is>
          <t>貨運與物流</t>
        </is>
      </c>
      <c r="E463" s="67" t="n">
        <v>81</v>
      </c>
      <c r="F463" s="41" t="n">
        <v>98.77</v>
      </c>
      <c r="G463" s="41" t="n">
        <v>102.35</v>
      </c>
      <c r="H463" s="41" t="n">
        <v>99.22</v>
      </c>
      <c r="I463" s="42">
        <f>F463/G463-1</f>
        <v>-0.0349780166096727</v>
      </c>
      <c r="J463" s="42">
        <f>F463/H463-1</f>
        <v>-0.004535375932271712</v>
      </c>
      <c r="K463" s="43" t="n">
        <v>4943050</v>
      </c>
      <c r="L463" s="43" t="n">
        <v>3717400</v>
      </c>
      <c r="M463" s="44">
        <f>K463/L463</f>
        <v>1.3297062463011782</v>
      </c>
    </row>
    <row r="464">
      <c r="A464" s="19" t="inlineStr">
        <is>
          <t>USAR</t>
        </is>
      </c>
      <c r="B464" s="14" t="inlineStr">
        <is>
          <t>—</t>
        </is>
      </c>
      <c r="C464" s="14" t="inlineStr">
        <is>
          <t>—</t>
        </is>
      </c>
      <c r="D464" s="6" t="inlineStr">
        <is>
          <t>稀土與關鍵礦產</t>
        </is>
      </c>
      <c r="E464" s="61" t="n">
        <v>109</v>
      </c>
      <c r="F464" s="20" t="n">
        <v>15.1</v>
      </c>
      <c r="G464" s="20" t="n">
        <v>15.4</v>
      </c>
      <c r="H464" s="20" t="n">
        <v>17.06</v>
      </c>
      <c r="I464" s="11">
        <f>F464/G464-1</f>
        <v>-0.019480519480519543</v>
      </c>
      <c r="J464" s="11">
        <f>F464/H464-1</f>
        <v>-0.11488862837045721</v>
      </c>
      <c r="K464" s="13" t="n">
        <v>15171969</v>
      </c>
      <c r="L464" s="13" t="n">
        <v>13074850</v>
      </c>
      <c r="M464" s="21">
        <f>K464/L464</f>
        <v>1.1603933505929322</v>
      </c>
    </row>
    <row r="465">
      <c r="A465" s="39" t="inlineStr">
        <is>
          <t>USB</t>
        </is>
      </c>
      <c r="B465" s="93" t="inlineStr">
        <is>
          <t>—</t>
        </is>
      </c>
      <c r="C465" s="94" t="inlineStr">
        <is>
          <t>區域銀行</t>
        </is>
      </c>
      <c r="D465" s="40" t="inlineStr">
        <is>
          <t>區域與社區銀行</t>
        </is>
      </c>
      <c r="E465" s="67" t="n">
        <v>89</v>
      </c>
      <c r="F465" s="41" t="n">
        <v>59.73</v>
      </c>
      <c r="G465" s="41" t="n">
        <v>62.22</v>
      </c>
      <c r="H465" s="41" t="n">
        <v>62.11</v>
      </c>
      <c r="I465" s="42">
        <f>F465/G465-1</f>
        <v>-0.04001928640308583</v>
      </c>
      <c r="J465" s="42">
        <f>F465/H465-1</f>
        <v>-0.03831911125422638</v>
      </c>
      <c r="K465" s="43" t="n">
        <v>17454429</v>
      </c>
      <c r="L465" s="43" t="n">
        <v>6283850</v>
      </c>
      <c r="M465" s="44">
        <f>K465/L465</f>
        <v>2.777664807403105</v>
      </c>
    </row>
    <row r="466">
      <c r="A466" s="19" t="inlineStr">
        <is>
          <t>USFD</t>
        </is>
      </c>
      <c r="B466" s="14" t="inlineStr">
        <is>
          <t>—</t>
        </is>
      </c>
      <c r="C466" s="14" t="inlineStr">
        <is>
          <t>—</t>
        </is>
      </c>
      <c r="D466" s="6" t="inlineStr">
        <is>
          <t>必需品分銷</t>
        </is>
      </c>
      <c r="E466" s="61" t="n">
        <v>92</v>
      </c>
      <c r="F466" s="20" t="n">
        <v>92.51000000000001</v>
      </c>
      <c r="G466" s="20" t="n">
        <v>92.01000000000001</v>
      </c>
      <c r="H466" s="20" t="n">
        <v>97.45</v>
      </c>
      <c r="I466" s="11">
        <f>F466/G466-1</f>
        <v>0.005434191935659083</v>
      </c>
      <c r="J466" s="11">
        <f>F466/H466-1</f>
        <v>-0.05069266290405339</v>
      </c>
      <c r="K466" s="13" t="n">
        <v>3719871</v>
      </c>
      <c r="L466" s="13" t="n">
        <v>1671250</v>
      </c>
      <c r="M466" s="21">
        <f>K466/L466</f>
        <v>2.225801645474944</v>
      </c>
    </row>
    <row r="467">
      <c r="A467" s="19" t="inlineStr">
        <is>
          <t>UUUU</t>
        </is>
      </c>
      <c r="B467" s="14" t="inlineStr">
        <is>
          <t>—</t>
        </is>
      </c>
      <c r="C467" s="14" t="inlineStr">
        <is>
          <t>—</t>
        </is>
      </c>
      <c r="D467" s="6" t="inlineStr">
        <is>
          <t>稀土與關鍵礦產、鈾與核燃料</t>
        </is>
      </c>
      <c r="E467" s="61" t="n">
        <v>109</v>
      </c>
      <c r="F467" s="20" t="n">
        <v>11.73</v>
      </c>
      <c r="G467" s="20" t="n">
        <v>11.86</v>
      </c>
      <c r="H467" s="20" t="n">
        <v>14.55</v>
      </c>
      <c r="I467" s="11">
        <f>F467/G467-1</f>
        <v>-0.010961214165261302</v>
      </c>
      <c r="J467" s="11">
        <f>F467/H467-1</f>
        <v>-0.1938144329896907</v>
      </c>
      <c r="K467" s="13" t="n">
        <v>7156380</v>
      </c>
      <c r="L467" s="13" t="n">
        <v>6406500</v>
      </c>
      <c r="M467" s="21">
        <f>K467/L467</f>
        <v>1.1170498712245376</v>
      </c>
    </row>
    <row r="468">
      <c r="A468" s="19" t="inlineStr">
        <is>
          <t>V</t>
        </is>
      </c>
      <c r="B468" s="14" t="inlineStr">
        <is>
          <t>—</t>
        </is>
      </c>
      <c r="C468" s="14" t="inlineStr">
        <is>
          <t>—</t>
        </is>
      </c>
      <c r="D468" s="6" t="inlineStr">
        <is>
          <t>支付與收單</t>
        </is>
      </c>
      <c r="E468" s="61" t="n">
        <v>24</v>
      </c>
      <c r="F468" s="20" t="n">
        <v>370.93</v>
      </c>
      <c r="G468" s="20" t="n">
        <v>375.62</v>
      </c>
      <c r="H468" s="20" t="n">
        <v>367.39</v>
      </c>
      <c r="I468" s="11">
        <f>F468/G468-1</f>
        <v>-0.012486023108460698</v>
      </c>
      <c r="J468" s="11">
        <f>F468/H468-1</f>
        <v>0.009635537167587582</v>
      </c>
      <c r="K468" s="13" t="n">
        <v>7202002</v>
      </c>
      <c r="L468" s="13" t="n">
        <v>5861900</v>
      </c>
      <c r="M468" s="21">
        <f>K468/L468</f>
        <v>1.2286122247053004</v>
      </c>
    </row>
    <row r="469">
      <c r="A469" s="19" t="inlineStr">
        <is>
          <t>VAL</t>
        </is>
      </c>
      <c r="B469" s="14" t="inlineStr">
        <is>
          <t>—</t>
        </is>
      </c>
      <c r="C469" s="14" t="inlineStr">
        <is>
          <t>—</t>
        </is>
      </c>
      <c r="D469" s="6" t="inlineStr">
        <is>
          <t>海上鑽井與設備</t>
        </is>
      </c>
      <c r="E469" s="61" t="n">
        <v>73</v>
      </c>
      <c r="F469" s="20" t="n">
        <v>82.52</v>
      </c>
      <c r="G469" s="20" t="n">
        <v>88.23</v>
      </c>
      <c r="H469" s="20" t="n">
        <v>84.95999999999999</v>
      </c>
      <c r="I469" s="11">
        <f>F469/G469-1</f>
        <v>-0.06471721636631544</v>
      </c>
      <c r="J469" s="11">
        <f>F469/H469-1</f>
        <v>-0.028719397363465182</v>
      </c>
      <c r="K469" s="13" t="n">
        <v>1248780</v>
      </c>
      <c r="L469" s="13" t="n">
        <v>1139350</v>
      </c>
      <c r="M469" s="21">
        <f>K469/L469</f>
        <v>1.0960459911352964</v>
      </c>
    </row>
    <row r="470">
      <c r="A470" s="19" t="inlineStr">
        <is>
          <t>VG</t>
        </is>
      </c>
      <c r="B470" s="14" t="inlineStr">
        <is>
          <t>—</t>
        </is>
      </c>
      <c r="C470" s="14" t="inlineStr">
        <is>
          <t>—</t>
        </is>
      </c>
      <c r="D470" s="6" t="inlineStr">
        <is>
          <t>LNG液化天然氣</t>
        </is>
      </c>
      <c r="E470" s="61" t="n">
        <v>72</v>
      </c>
      <c r="F470" s="20" t="n">
        <v>14.65</v>
      </c>
      <c r="G470" s="20" t="n">
        <v>15.29</v>
      </c>
      <c r="H470" s="20" t="n">
        <v>15.29</v>
      </c>
      <c r="I470" s="11">
        <f>F470/G470-1</f>
        <v>-0.04185742315238705</v>
      </c>
      <c r="J470" s="11">
        <f>F470/H470-1</f>
        <v>-0.04185742315238705</v>
      </c>
      <c r="K470" s="13" t="n">
        <v>12203986</v>
      </c>
      <c r="L470" s="13" t="n">
        <v>13539650</v>
      </c>
      <c r="M470" s="21">
        <f>K470/L470</f>
        <v>0.9013516597548681</v>
      </c>
    </row>
    <row r="471">
      <c r="A471" s="19" t="inlineStr">
        <is>
          <t>VICI</t>
        </is>
      </c>
      <c r="B471" s="14" t="inlineStr">
        <is>
          <t>—</t>
        </is>
      </c>
      <c r="C471" s="14" t="inlineStr">
        <is>
          <t>—</t>
        </is>
      </c>
      <c r="D471" s="6" t="inlineStr">
        <is>
          <t>特殊型REIT（自存倉/賭場/廣告牌）</t>
        </is>
      </c>
      <c r="E471" s="61" t="n">
        <v>55</v>
      </c>
      <c r="F471" s="20" t="n">
        <v>24.53</v>
      </c>
      <c r="G471" s="20" t="n">
        <v>24.76</v>
      </c>
      <c r="H471" s="20" t="n">
        <v>25.21</v>
      </c>
      <c r="I471" s="11">
        <f>F471/G471-1</f>
        <v>-0.009289176090468532</v>
      </c>
      <c r="J471" s="11">
        <f>F471/H471-1</f>
        <v>-0.026973423244744166</v>
      </c>
      <c r="K471" s="13" t="n">
        <v>9709354</v>
      </c>
      <c r="L471" s="13" t="n">
        <v>9094250</v>
      </c>
      <c r="M471" s="21">
        <f>K471/L471</f>
        <v>1.0676365835555433</v>
      </c>
    </row>
    <row r="472">
      <c r="A472" s="19" t="inlineStr">
        <is>
          <t>VKTX</t>
        </is>
      </c>
      <c r="B472" s="14" t="inlineStr">
        <is>
          <t>—</t>
        </is>
      </c>
      <c r="C472" s="14" t="inlineStr">
        <is>
          <t>—</t>
        </is>
      </c>
      <c r="D472" s="6" t="inlineStr">
        <is>
          <t>GLP-1減重與代謝、臨床期中小型生技</t>
        </is>
      </c>
      <c r="E472" s="61" t="n">
        <v>94</v>
      </c>
      <c r="F472" s="20" t="n">
        <v>29.52</v>
      </c>
      <c r="G472" s="20" t="n">
        <v>29.95</v>
      </c>
      <c r="H472" s="20" t="n">
        <v>32.7</v>
      </c>
      <c r="I472" s="11">
        <f>F472/G472-1</f>
        <v>-0.014357262103505852</v>
      </c>
      <c r="J472" s="11">
        <f>F472/H472-1</f>
        <v>-0.09724770642201841</v>
      </c>
      <c r="K472" s="13" t="n">
        <v>2995296</v>
      </c>
      <c r="L472" s="13" t="n">
        <v>1762850</v>
      </c>
      <c r="M472" s="21">
        <f>K472/L472</f>
        <v>1.6991213092435544</v>
      </c>
    </row>
    <row r="473">
      <c r="A473" s="58" t="inlineStr">
        <is>
          <t>VLO</t>
        </is>
      </c>
      <c r="B473" s="88" t="inlineStr">
        <is>
          <t>①</t>
        </is>
      </c>
      <c r="C473" s="89" t="inlineStr">
        <is>
          <t>—</t>
        </is>
      </c>
      <c r="D473" s="60" t="inlineStr">
        <is>
          <t>煉油與成品油</t>
        </is>
      </c>
      <c r="E473" s="49" t="n">
        <v>4</v>
      </c>
      <c r="F473" s="90" t="n">
        <v>403.28</v>
      </c>
      <c r="G473" s="90" t="n">
        <v>397.04</v>
      </c>
      <c r="H473" s="90" t="n">
        <v>388.95</v>
      </c>
      <c r="I473" s="53">
        <f>F473/G473-1</f>
        <v>0.015716300624622148</v>
      </c>
      <c r="J473" s="53">
        <f>F473/H473-1</f>
        <v>0.0368427818485666</v>
      </c>
      <c r="K473" s="91" t="n">
        <v>3522494</v>
      </c>
      <c r="L473" s="91" t="n">
        <v>2629700</v>
      </c>
      <c r="M473" s="92">
        <f>K473/L473</f>
        <v>1.3395041259459255</v>
      </c>
    </row>
    <row r="474">
      <c r="A474" s="19" t="inlineStr">
        <is>
          <t>VMC</t>
        </is>
      </c>
      <c r="B474" s="14" t="inlineStr">
        <is>
          <t>—</t>
        </is>
      </c>
      <c r="C474" s="14" t="inlineStr">
        <is>
          <t>—</t>
        </is>
      </c>
      <c r="D474" s="6" t="inlineStr">
        <is>
          <t>包裝與建材</t>
        </is>
      </c>
      <c r="E474" s="61" t="n">
        <v>59</v>
      </c>
      <c r="F474" s="20" t="n">
        <v>244.3</v>
      </c>
      <c r="G474" s="20" t="n">
        <v>249.2</v>
      </c>
      <c r="H474" s="20" t="n">
        <v>249.89</v>
      </c>
      <c r="I474" s="11">
        <f>F474/G474-1</f>
        <v>-0.019662921348314488</v>
      </c>
      <c r="J474" s="11">
        <f>F474/H474-1</f>
        <v>-0.022369842730801448</v>
      </c>
      <c r="K474" s="13" t="n">
        <v>1230682</v>
      </c>
      <c r="L474" s="13" t="n">
        <v>957000</v>
      </c>
      <c r="M474" s="21">
        <f>K474/L474</f>
        <v>1.2859791013584116</v>
      </c>
    </row>
    <row r="475">
      <c r="A475" s="19" t="inlineStr">
        <is>
          <t>VNO</t>
        </is>
      </c>
      <c r="B475" s="14" t="inlineStr">
        <is>
          <t>—</t>
        </is>
      </c>
      <c r="C475" s="14" t="inlineStr">
        <is>
          <t>—</t>
        </is>
      </c>
      <c r="D475" s="6" t="inlineStr">
        <is>
          <t>辦公樓REIT</t>
        </is>
      </c>
      <c r="E475" s="61" t="n">
        <v>16</v>
      </c>
      <c r="F475" s="20" t="n">
        <v>34.82</v>
      </c>
      <c r="G475" s="20" t="n">
        <v>34.53</v>
      </c>
      <c r="H475" s="20" t="n">
        <v>34.68</v>
      </c>
      <c r="I475" s="11">
        <f>F475/G475-1</f>
        <v>0.008398494063133422</v>
      </c>
      <c r="J475" s="11">
        <f>F475/H475-1</f>
        <v>0.0040369088811995635</v>
      </c>
      <c r="K475" s="13" t="n">
        <v>1948441</v>
      </c>
      <c r="L475" s="13" t="n">
        <v>1165800</v>
      </c>
      <c r="M475" s="21">
        <f>K475/L475</f>
        <v>1.6713338480013724</v>
      </c>
    </row>
    <row r="476">
      <c r="A476" s="19" t="inlineStr">
        <is>
          <t>VRT</t>
        </is>
      </c>
      <c r="B476" s="14" t="inlineStr">
        <is>
          <t>—</t>
        </is>
      </c>
      <c r="C476" s="14" t="inlineStr">
        <is>
          <t>—</t>
        </is>
      </c>
      <c r="D476" s="6" t="inlineStr">
        <is>
          <t>AI資料中心建設</t>
        </is>
      </c>
      <c r="E476" s="61" t="n">
        <v>17</v>
      </c>
      <c r="F476" s="20" t="n">
        <v>239.41</v>
      </c>
      <c r="G476" s="20" t="n">
        <v>234.61</v>
      </c>
      <c r="H476" s="20" t="n">
        <v>262.89</v>
      </c>
      <c r="I476" s="11">
        <f>F476/G476-1</f>
        <v>0.020459485955415246</v>
      </c>
      <c r="J476" s="11">
        <f>F476/H476-1</f>
        <v>-0.08931492259119778</v>
      </c>
      <c r="K476" s="13" t="n">
        <v>5495407</v>
      </c>
      <c r="L476" s="13" t="n">
        <v>4442000</v>
      </c>
      <c r="M476" s="21">
        <f>K476/L476</f>
        <v>1.2371470058532192</v>
      </c>
    </row>
    <row r="477">
      <c r="A477" s="19" t="inlineStr">
        <is>
          <t>VRTX</t>
        </is>
      </c>
      <c r="B477" s="14" t="inlineStr">
        <is>
          <t>—</t>
        </is>
      </c>
      <c r="C477" s="14" t="inlineStr">
        <is>
          <t>—</t>
        </is>
      </c>
      <c r="D477" s="6" t="inlineStr">
        <is>
          <t>大型生物科技</t>
        </is>
      </c>
      <c r="E477" s="61" t="n">
        <v>56</v>
      </c>
      <c r="F477" s="20" t="n">
        <v>513.26</v>
      </c>
      <c r="G477" s="20" t="n">
        <v>514.63</v>
      </c>
      <c r="H477" s="20" t="n">
        <v>521.12</v>
      </c>
      <c r="I477" s="11">
        <f>F477/G477-1</f>
        <v>-0.0026621067563104006</v>
      </c>
      <c r="J477" s="11">
        <f>F477/H477-1</f>
        <v>-0.015082898372735687</v>
      </c>
      <c r="K477" s="13" t="n">
        <v>637473</v>
      </c>
      <c r="L477" s="13" t="n">
        <v>859700</v>
      </c>
      <c r="M477" s="21">
        <f>K477/L477</f>
        <v>0.7415063394207282</v>
      </c>
    </row>
    <row r="478">
      <c r="A478" s="19" t="inlineStr">
        <is>
          <t>VST</t>
        </is>
      </c>
      <c r="B478" s="14" t="inlineStr">
        <is>
          <t>—</t>
        </is>
      </c>
      <c r="C478" s="14" t="inlineStr">
        <is>
          <t>—</t>
        </is>
      </c>
      <c r="D478" s="6" t="inlineStr">
        <is>
          <t>IPP與電力交易商</t>
        </is>
      </c>
      <c r="E478" s="61" t="n">
        <v>96</v>
      </c>
      <c r="F478" s="20" t="n">
        <v>140.39</v>
      </c>
      <c r="G478" s="20" t="n">
        <v>141.53</v>
      </c>
      <c r="H478" s="20" t="n">
        <v>151.1</v>
      </c>
      <c r="I478" s="11">
        <f>F478/G478-1</f>
        <v>-0.008054829364799065</v>
      </c>
      <c r="J478" s="11">
        <f>F478/H478-1</f>
        <v>-0.07088021178027804</v>
      </c>
      <c r="K478" s="13" t="n">
        <v>3820077</v>
      </c>
      <c r="L478" s="13" t="n">
        <v>4316350</v>
      </c>
      <c r="M478" s="21">
        <f>K478/L478</f>
        <v>0.8850248473826265</v>
      </c>
    </row>
    <row r="479">
      <c r="A479" s="19" t="inlineStr">
        <is>
          <t>VTR</t>
        </is>
      </c>
      <c r="B479" s="14" t="inlineStr">
        <is>
          <t>—</t>
        </is>
      </c>
      <c r="C479" s="14" t="inlineStr">
        <is>
          <t>—</t>
        </is>
      </c>
      <c r="D479" s="6" t="inlineStr">
        <is>
          <t>醫療與長者住宅REIT</t>
        </is>
      </c>
      <c r="E479" s="61" t="n">
        <v>42</v>
      </c>
      <c r="F479" s="20" t="n">
        <v>88.20999999999999</v>
      </c>
      <c r="G479" s="20" t="n">
        <v>88.56</v>
      </c>
      <c r="H479" s="20" t="n">
        <v>89.38</v>
      </c>
      <c r="I479" s="11">
        <f>F479/G479-1</f>
        <v>-0.003952122854561924</v>
      </c>
      <c r="J479" s="11">
        <f>F479/H479-1</f>
        <v>-0.013090176773327356</v>
      </c>
      <c r="K479" s="13" t="n">
        <v>2907186</v>
      </c>
      <c r="L479" s="13" t="n">
        <v>2871750</v>
      </c>
      <c r="M479" s="21">
        <f>K479/L479</f>
        <v>1.0123395142334812</v>
      </c>
    </row>
    <row r="480">
      <c r="A480" s="39" t="inlineStr">
        <is>
          <t>VZ</t>
        </is>
      </c>
      <c r="B480" s="93" t="inlineStr">
        <is>
          <t>—</t>
        </is>
      </c>
      <c r="C480" s="94" t="inlineStr">
        <is>
          <t>電信／債券代理</t>
        </is>
      </c>
      <c r="D480" s="40" t="inlineStr">
        <is>
          <t>電信營運商</t>
        </is>
      </c>
      <c r="E480" s="67" t="n">
        <v>33</v>
      </c>
      <c r="F480" s="41" t="n">
        <v>49.76</v>
      </c>
      <c r="G480" s="41" t="n">
        <v>51.45</v>
      </c>
      <c r="H480" s="41" t="n">
        <v>49.74</v>
      </c>
      <c r="I480" s="42">
        <f>F480/G480-1</f>
        <v>-0.032847424684159465</v>
      </c>
      <c r="J480" s="42">
        <f>F480/H480-1</f>
        <v>0.0004020908725370642</v>
      </c>
      <c r="K480" s="43" t="n">
        <v>24326001</v>
      </c>
      <c r="L480" s="43" t="n">
        <v>18057600</v>
      </c>
      <c r="M480" s="44">
        <f>K480/L480</f>
        <v>1.3471336722488039</v>
      </c>
    </row>
    <row r="481">
      <c r="A481" s="19" t="inlineStr">
        <is>
          <t>W</t>
        </is>
      </c>
      <c r="B481" s="14" t="inlineStr">
        <is>
          <t>—</t>
        </is>
      </c>
      <c r="C481" s="14" t="inlineStr">
        <is>
          <t>—</t>
        </is>
      </c>
      <c r="D481" s="6" t="inlineStr">
        <is>
          <t>電商平台</t>
        </is>
      </c>
      <c r="E481" s="61" t="n">
        <v>35</v>
      </c>
      <c r="F481" s="20" t="n">
        <v>103.24</v>
      </c>
      <c r="G481" s="20" t="n">
        <v>103.69</v>
      </c>
      <c r="H481" s="20" t="n">
        <v>100.12</v>
      </c>
      <c r="I481" s="11">
        <f>F481/G481-1</f>
        <v>-0.004339859195679474</v>
      </c>
      <c r="J481" s="11">
        <f>F481/H481-1</f>
        <v>0.0311626048741509</v>
      </c>
      <c r="K481" s="13" t="n">
        <v>2546644</v>
      </c>
      <c r="L481" s="13" t="n">
        <v>2306650</v>
      </c>
      <c r="M481" s="21">
        <f>K481/L481</f>
        <v>1.1040443933843453</v>
      </c>
    </row>
    <row r="482">
      <c r="A482" s="19" t="inlineStr">
        <is>
          <t>WBD</t>
        </is>
      </c>
      <c r="B482" s="14" t="inlineStr">
        <is>
          <t>—</t>
        </is>
      </c>
      <c r="C482" s="14" t="inlineStr">
        <is>
          <t>—</t>
        </is>
      </c>
      <c r="D482" s="6" t="inlineStr">
        <is>
          <t>串流影音</t>
        </is>
      </c>
      <c r="E482" s="61" t="n">
        <v>20</v>
      </c>
      <c r="F482" s="20" t="n">
        <v>28.07</v>
      </c>
      <c r="G482" s="20" t="n">
        <v>28.03</v>
      </c>
      <c r="H482" s="20" t="n">
        <v>27.91</v>
      </c>
      <c r="I482" s="11">
        <f>F482/G482-1</f>
        <v>0.0014270424545130833</v>
      </c>
      <c r="J482" s="11">
        <f>F482/H482-1</f>
        <v>0.005732712289501896</v>
      </c>
      <c r="K482" s="13" t="n">
        <v>20192218</v>
      </c>
      <c r="L482" s="13" t="n">
        <v>14921800</v>
      </c>
      <c r="M482" s="21">
        <f>K482/L482</f>
        <v>1.353202562693509</v>
      </c>
    </row>
    <row r="483">
      <c r="A483" s="19" t="inlineStr">
        <is>
          <t>WCN</t>
        </is>
      </c>
      <c r="B483" s="14" t="inlineStr">
        <is>
          <t>—</t>
        </is>
      </c>
      <c r="C483" s="14" t="inlineStr">
        <is>
          <t>—</t>
        </is>
      </c>
      <c r="D483" s="6" t="inlineStr">
        <is>
          <t>廢物管理與環境服務</t>
        </is>
      </c>
      <c r="E483" s="61" t="n">
        <v>70</v>
      </c>
      <c r="F483" s="20" t="n">
        <v>156.5</v>
      </c>
      <c r="G483" s="20" t="n">
        <v>159.47</v>
      </c>
      <c r="H483" s="20" t="n">
        <v>161.25</v>
      </c>
      <c r="I483" s="11">
        <f>F483/G483-1</f>
        <v>-0.018624192638113768</v>
      </c>
      <c r="J483" s="11">
        <f>F483/H483-1</f>
        <v>-0.029457364341085257</v>
      </c>
      <c r="K483" s="13" t="n">
        <v>996568</v>
      </c>
      <c r="L483" s="13" t="n">
        <v>879300</v>
      </c>
      <c r="M483" s="21">
        <f>K483/L483</f>
        <v>1.1333651768452178</v>
      </c>
    </row>
    <row r="484">
      <c r="A484" s="19" t="inlineStr">
        <is>
          <t>WDAY</t>
        </is>
      </c>
      <c r="B484" s="14" t="inlineStr">
        <is>
          <t>—</t>
        </is>
      </c>
      <c r="C484" s="14" t="inlineStr">
        <is>
          <t>—</t>
        </is>
      </c>
      <c r="D484" s="6" t="inlineStr">
        <is>
          <t>企業軟體/SaaS</t>
        </is>
      </c>
      <c r="E484" s="61" t="n">
        <v>43</v>
      </c>
      <c r="F484" s="20" t="n">
        <v>187.76</v>
      </c>
      <c r="G484" s="20" t="n">
        <v>190.67</v>
      </c>
      <c r="H484" s="20" t="n">
        <v>186.05</v>
      </c>
      <c r="I484" s="11">
        <f>F484/G484-1</f>
        <v>-0.01526197094456394</v>
      </c>
      <c r="J484" s="11">
        <f>F484/H484-1</f>
        <v>0.009191077667293657</v>
      </c>
      <c r="K484" s="13" t="n">
        <v>1926284</v>
      </c>
      <c r="L484" s="13" t="n">
        <v>3115000</v>
      </c>
      <c r="M484" s="21">
        <f>K484/L484</f>
        <v>0.6183897271268057</v>
      </c>
    </row>
    <row r="485">
      <c r="A485" s="19" t="inlineStr">
        <is>
          <t>WDC</t>
        </is>
      </c>
      <c r="B485" s="14" t="inlineStr">
        <is>
          <t>—</t>
        </is>
      </c>
      <c r="C485" s="14" t="inlineStr">
        <is>
          <t>—</t>
        </is>
      </c>
      <c r="D485" s="6" t="inlineStr">
        <is>
          <t>記憶體/HBM</t>
        </is>
      </c>
      <c r="E485" s="61" t="n">
        <v>99</v>
      </c>
      <c r="F485" s="20" t="n">
        <v>416.97</v>
      </c>
      <c r="G485" s="20" t="n">
        <v>411.96</v>
      </c>
      <c r="H485" s="20" t="n">
        <v>482.28</v>
      </c>
      <c r="I485" s="11">
        <f>F485/G485-1</f>
        <v>0.012161374890766297</v>
      </c>
      <c r="J485" s="11">
        <f>F485/H485-1</f>
        <v>-0.1354192585220203</v>
      </c>
      <c r="K485" s="13" t="n">
        <v>7235751</v>
      </c>
      <c r="L485" s="13" t="n">
        <v>5506100</v>
      </c>
      <c r="M485" s="21">
        <f>K485/L485</f>
        <v>1.3141335972830135</v>
      </c>
    </row>
    <row r="486">
      <c r="A486" s="19" t="inlineStr">
        <is>
          <t>WELL</t>
        </is>
      </c>
      <c r="B486" s="14" t="inlineStr">
        <is>
          <t>—</t>
        </is>
      </c>
      <c r="C486" s="14" t="inlineStr">
        <is>
          <t>—</t>
        </is>
      </c>
      <c r="D486" s="6" t="inlineStr">
        <is>
          <t>醫療與長者住宅REIT</t>
        </is>
      </c>
      <c r="E486" s="61" t="n">
        <v>42</v>
      </c>
      <c r="F486" s="20" t="n">
        <v>234.5</v>
      </c>
      <c r="G486" s="20" t="n">
        <v>232.76</v>
      </c>
      <c r="H486" s="20" t="n">
        <v>235.9</v>
      </c>
      <c r="I486" s="11">
        <f>F486/G486-1</f>
        <v>0.007475511256229694</v>
      </c>
      <c r="J486" s="11">
        <f>F486/H486-1</f>
        <v>-0.005934718100890191</v>
      </c>
      <c r="K486" s="13" t="n">
        <v>2135969</v>
      </c>
      <c r="L486" s="13" t="n">
        <v>2281150</v>
      </c>
      <c r="M486" s="21">
        <f>K486/L486</f>
        <v>0.9363562238344695</v>
      </c>
    </row>
    <row r="487">
      <c r="A487" s="19" t="inlineStr">
        <is>
          <t>WFC</t>
        </is>
      </c>
      <c r="B487" s="14" t="inlineStr">
        <is>
          <t>—</t>
        </is>
      </c>
      <c r="C487" s="14" t="inlineStr">
        <is>
          <t>—</t>
        </is>
      </c>
      <c r="D487" s="6" t="inlineStr">
        <is>
          <t>大型全能銀行</t>
        </is>
      </c>
      <c r="E487" s="61" t="n">
        <v>68</v>
      </c>
      <c r="F487" s="20" t="n">
        <v>87.05</v>
      </c>
      <c r="G487" s="20" t="n">
        <v>89.72</v>
      </c>
      <c r="H487" s="20" t="n">
        <v>89.67</v>
      </c>
      <c r="I487" s="11">
        <f>F487/G487-1</f>
        <v>-0.029759251003120823</v>
      </c>
      <c r="J487" s="11">
        <f>F487/H487-1</f>
        <v>-0.02921824467491918</v>
      </c>
      <c r="K487" s="13" t="n">
        <v>13539760</v>
      </c>
      <c r="L487" s="13" t="n">
        <v>13008450</v>
      </c>
      <c r="M487" s="21">
        <f>K487/L487</f>
        <v>1.0408434517563583</v>
      </c>
    </row>
    <row r="488">
      <c r="A488" s="19" t="inlineStr">
        <is>
          <t>WFRD</t>
        </is>
      </c>
      <c r="B488" s="14" t="inlineStr">
        <is>
          <t>—</t>
        </is>
      </c>
      <c r="C488" s="14" t="inlineStr">
        <is>
          <t>—</t>
        </is>
      </c>
      <c r="D488" s="6" t="inlineStr">
        <is>
          <t>油田服務</t>
        </is>
      </c>
      <c r="E488" s="61" t="n">
        <v>101</v>
      </c>
      <c r="F488" s="20" t="n">
        <v>82.3</v>
      </c>
      <c r="G488" s="20" t="n">
        <v>85.39</v>
      </c>
      <c r="H488" s="20" t="n">
        <v>93.06</v>
      </c>
      <c r="I488" s="11">
        <f>F488/G488-1</f>
        <v>-0.03618690713198269</v>
      </c>
      <c r="J488" s="11">
        <f>F488/H488-1</f>
        <v>-0.11562432839028591</v>
      </c>
      <c r="K488" s="13" t="n">
        <v>791922</v>
      </c>
      <c r="L488" s="13" t="n">
        <v>847500</v>
      </c>
      <c r="M488" s="21">
        <f>K488/L488</f>
        <v>0.9344212389380531</v>
      </c>
    </row>
    <row r="489">
      <c r="A489" s="19" t="inlineStr">
        <is>
          <t>WHR</t>
        </is>
      </c>
      <c r="B489" s="14" t="inlineStr">
        <is>
          <t>—</t>
        </is>
      </c>
      <c r="C489" s="14" t="inlineStr">
        <is>
          <t>—</t>
        </is>
      </c>
      <c r="D489" s="6" t="inlineStr">
        <is>
          <t>家居耐用與休閒用品</t>
        </is>
      </c>
      <c r="E489" s="61" t="n">
        <v>103</v>
      </c>
      <c r="F489" s="20" t="n">
        <v>32.42</v>
      </c>
      <c r="G489" s="20" t="n">
        <v>33.03</v>
      </c>
      <c r="H489" s="20" t="n">
        <v>36.83</v>
      </c>
      <c r="I489" s="11">
        <f>F489/G489-1</f>
        <v>-0.01846805933999396</v>
      </c>
      <c r="J489" s="11">
        <f>F489/H489-1</f>
        <v>-0.11973934292696164</v>
      </c>
      <c r="K489" s="13" t="n">
        <v>3029833</v>
      </c>
      <c r="L489" s="13" t="n">
        <v>2106400</v>
      </c>
      <c r="M489" s="21">
        <f>K489/L489</f>
        <v>1.4383939422711736</v>
      </c>
    </row>
    <row r="490">
      <c r="A490" s="19" t="inlineStr">
        <is>
          <t>WM</t>
        </is>
      </c>
      <c r="B490" s="14" t="inlineStr">
        <is>
          <t>—</t>
        </is>
      </c>
      <c r="C490" s="14" t="inlineStr">
        <is>
          <t>—</t>
        </is>
      </c>
      <c r="D490" s="6" t="inlineStr">
        <is>
          <t>廢物管理與環境服務</t>
        </is>
      </c>
      <c r="E490" s="61" t="n">
        <v>70</v>
      </c>
      <c r="F490" s="20" t="n">
        <v>214</v>
      </c>
      <c r="G490" s="20" t="n">
        <v>217.25</v>
      </c>
      <c r="H490" s="20" t="n">
        <v>216.44</v>
      </c>
      <c r="I490" s="11">
        <f>F490/G490-1</f>
        <v>-0.014959723820483273</v>
      </c>
      <c r="J490" s="11">
        <f>F490/H490-1</f>
        <v>-0.011273332101275124</v>
      </c>
      <c r="K490" s="13" t="n">
        <v>1762432</v>
      </c>
      <c r="L490" s="13" t="n">
        <v>2185100</v>
      </c>
      <c r="M490" s="21">
        <f>K490/L490</f>
        <v>0.8065681204521532</v>
      </c>
    </row>
    <row r="491">
      <c r="A491" s="19" t="inlineStr">
        <is>
          <t>WMB</t>
        </is>
      </c>
      <c r="B491" s="14" t="inlineStr">
        <is>
          <t>—</t>
        </is>
      </c>
      <c r="C491" s="14" t="inlineStr">
        <is>
          <t>—</t>
        </is>
      </c>
      <c r="D491" s="6" t="inlineStr">
        <is>
          <t>中游與管道</t>
        </is>
      </c>
      <c r="E491" s="61" t="n">
        <v>86</v>
      </c>
      <c r="F491" s="20" t="n">
        <v>70.90000000000001</v>
      </c>
      <c r="G491" s="20" t="n">
        <v>71.63</v>
      </c>
      <c r="H491" s="20" t="n">
        <v>75.15000000000001</v>
      </c>
      <c r="I491" s="11">
        <f>F491/G491-1</f>
        <v>-0.010191260644980993</v>
      </c>
      <c r="J491" s="11">
        <f>F491/H491-1</f>
        <v>-0.056553559547571575</v>
      </c>
      <c r="K491" s="13" t="n">
        <v>9240844</v>
      </c>
      <c r="L491" s="13" t="n">
        <v>7167650</v>
      </c>
      <c r="M491" s="21">
        <f>K491/L491</f>
        <v>1.2892431968636862</v>
      </c>
    </row>
    <row r="492">
      <c r="A492" s="19" t="inlineStr">
        <is>
          <t>WMT</t>
        </is>
      </c>
      <c r="B492" s="14" t="inlineStr">
        <is>
          <t>—</t>
        </is>
      </c>
      <c r="C492" s="14" t="inlineStr">
        <is>
          <t>—</t>
        </is>
      </c>
      <c r="D492" s="6" t="inlineStr">
        <is>
          <t>大賣場與超巿</t>
        </is>
      </c>
      <c r="E492" s="61" t="n">
        <v>36</v>
      </c>
      <c r="F492" s="20" t="n">
        <v>107.5</v>
      </c>
      <c r="G492" s="20" t="n">
        <v>108.09</v>
      </c>
      <c r="H492" s="20" t="n">
        <v>105.83</v>
      </c>
      <c r="I492" s="11">
        <f>F492/G492-1</f>
        <v>-0.005458414284392643</v>
      </c>
      <c r="J492" s="11">
        <f>F492/H492-1</f>
        <v>0.01578002456770289</v>
      </c>
      <c r="K492" s="13" t="n">
        <v>15099498</v>
      </c>
      <c r="L492" s="13" t="n">
        <v>24529600</v>
      </c>
      <c r="M492" s="21">
        <f>K492/L492</f>
        <v>0.6155623410084143</v>
      </c>
    </row>
    <row r="493">
      <c r="A493" s="19" t="inlineStr">
        <is>
          <t>WTRG</t>
        </is>
      </c>
      <c r="B493" s="14" t="inlineStr">
        <is>
          <t>—</t>
        </is>
      </c>
      <c r="C493" s="14" t="inlineStr">
        <is>
          <t>—</t>
        </is>
      </c>
      <c r="D493" s="6" t="inlineStr">
        <is>
          <t>水務公用</t>
        </is>
      </c>
      <c r="E493" s="61" t="n">
        <v>60</v>
      </c>
      <c r="F493" s="20" t="n">
        <v>41.37</v>
      </c>
      <c r="G493" s="20" t="n">
        <v>41.48</v>
      </c>
      <c r="H493" s="20" t="n">
        <v>42</v>
      </c>
      <c r="I493" s="11">
        <f>F493/G493-1</f>
        <v>-0.0026518804243008676</v>
      </c>
      <c r="J493" s="11">
        <f>F493/H493-1</f>
        <v>-0.015000000000000013</v>
      </c>
      <c r="K493" s="13" t="n">
        <v>1794299</v>
      </c>
      <c r="L493" s="13" t="n">
        <v>2296500</v>
      </c>
      <c r="M493" s="21">
        <f>K493/L493</f>
        <v>0.7813189636403223</v>
      </c>
    </row>
    <row r="494">
      <c r="A494" s="19" t="inlineStr">
        <is>
          <t>WTW</t>
        </is>
      </c>
      <c r="B494" s="14" t="inlineStr">
        <is>
          <t>—</t>
        </is>
      </c>
      <c r="C494" s="14" t="inlineStr">
        <is>
          <t>—</t>
        </is>
      </c>
      <c r="D494" s="6" t="inlineStr">
        <is>
          <t>保險經紀</t>
        </is>
      </c>
      <c r="E494" s="61" t="n">
        <v>84</v>
      </c>
      <c r="F494" s="20" t="n">
        <v>312.91</v>
      </c>
      <c r="G494" s="20" t="n">
        <v>321.97</v>
      </c>
      <c r="H494" s="20" t="n">
        <v>313.72</v>
      </c>
      <c r="I494" s="11">
        <f>F494/G494-1</f>
        <v>-0.028139267633630505</v>
      </c>
      <c r="J494" s="11">
        <f>F494/H494-1</f>
        <v>-0.002581920183603259</v>
      </c>
      <c r="K494" s="13" t="n">
        <v>529449</v>
      </c>
      <c r="L494" s="13" t="n">
        <v>424900</v>
      </c>
      <c r="M494" s="21">
        <f>K494/L494</f>
        <v>1.2460555424805837</v>
      </c>
    </row>
    <row r="495">
      <c r="A495" s="19" t="inlineStr">
        <is>
          <t>XEL</t>
        </is>
      </c>
      <c r="B495" s="14" t="inlineStr">
        <is>
          <t>—</t>
        </is>
      </c>
      <c r="C495" s="14" t="inlineStr">
        <is>
          <t>—</t>
        </is>
      </c>
      <c r="D495" s="6" t="inlineStr">
        <is>
          <t>受監管電力公用</t>
        </is>
      </c>
      <c r="E495" s="61" t="n">
        <v>93</v>
      </c>
      <c r="F495" s="20" t="n">
        <v>72.70999999999999</v>
      </c>
      <c r="G495" s="20" t="n">
        <v>72.48999999999999</v>
      </c>
      <c r="H495" s="20" t="n">
        <v>76.19</v>
      </c>
      <c r="I495" s="11">
        <f>F495/G495-1</f>
        <v>0.003034901365705611</v>
      </c>
      <c r="J495" s="11">
        <f>F495/H495-1</f>
        <v>-0.04567528547053423</v>
      </c>
      <c r="K495" s="13" t="n">
        <v>7659040</v>
      </c>
      <c r="L495" s="13" t="n">
        <v>5439450</v>
      </c>
      <c r="M495" s="21">
        <f>K495/L495</f>
        <v>1.4080541231190653</v>
      </c>
    </row>
    <row r="496">
      <c r="A496" s="39" t="inlineStr">
        <is>
          <t>XOM</t>
        </is>
      </c>
      <c r="B496" s="93" t="inlineStr">
        <is>
          <t>—</t>
        </is>
      </c>
      <c r="C496" s="94" t="inlineStr">
        <is>
          <t>綜合油氣巨頭</t>
        </is>
      </c>
      <c r="D496" s="40" t="inlineStr">
        <is>
          <t>綜合油氣巨頭</t>
        </is>
      </c>
      <c r="E496" s="67" t="n">
        <v>53</v>
      </c>
      <c r="F496" s="41" t="n">
        <v>163.32</v>
      </c>
      <c r="G496" s="41" t="n">
        <v>169.32</v>
      </c>
      <c r="H496" s="41" t="n">
        <v>164.23</v>
      </c>
      <c r="I496" s="42">
        <f>F496/G496-1</f>
        <v>-0.03543586109142449</v>
      </c>
      <c r="J496" s="42">
        <f>F496/H496-1</f>
        <v>-0.0055410095597637765</v>
      </c>
      <c r="K496" s="43" t="n">
        <v>13428810</v>
      </c>
      <c r="L496" s="43" t="n">
        <v>13779050</v>
      </c>
      <c r="M496" s="44">
        <f>K496/L496</f>
        <v>0.9745817019315555</v>
      </c>
    </row>
    <row r="497">
      <c r="A497" s="19" t="inlineStr">
        <is>
          <t>XPO</t>
        </is>
      </c>
      <c r="B497" s="14" t="inlineStr">
        <is>
          <t>—</t>
        </is>
      </c>
      <c r="C497" s="14" t="inlineStr">
        <is>
          <t>—</t>
        </is>
      </c>
      <c r="D497" s="6" t="inlineStr">
        <is>
          <t>貨運與物流</t>
        </is>
      </c>
      <c r="E497" s="61" t="n">
        <v>81</v>
      </c>
      <c r="F497" s="20" t="n">
        <v>174.41</v>
      </c>
      <c r="G497" s="20" t="n">
        <v>178.24</v>
      </c>
      <c r="H497" s="20" t="n">
        <v>184.25</v>
      </c>
      <c r="I497" s="11">
        <f>F497/G497-1</f>
        <v>-0.02148788150807901</v>
      </c>
      <c r="J497" s="11">
        <f>F497/H497-1</f>
        <v>-0.053405698778833166</v>
      </c>
      <c r="K497" s="13" t="n">
        <v>1438556</v>
      </c>
      <c r="L497" s="13" t="n">
        <v>955050</v>
      </c>
      <c r="M497" s="21">
        <f>K497/L497</f>
        <v>1.506262499345584</v>
      </c>
    </row>
    <row r="498">
      <c r="A498" s="19" t="inlineStr">
        <is>
          <t>YUM</t>
        </is>
      </c>
      <c r="B498" s="14" t="inlineStr">
        <is>
          <t>—</t>
        </is>
      </c>
      <c r="C498" s="14" t="inlineStr">
        <is>
          <t>—</t>
        </is>
      </c>
      <c r="D498" s="6" t="inlineStr">
        <is>
          <t>餐飲連鎖</t>
        </is>
      </c>
      <c r="E498" s="61" t="n">
        <v>90</v>
      </c>
      <c r="F498" s="20" t="n">
        <v>137.96</v>
      </c>
      <c r="G498" s="20" t="n">
        <v>140.77</v>
      </c>
      <c r="H498" s="20" t="n">
        <v>145.16</v>
      </c>
      <c r="I498" s="11">
        <f>F498/G498-1</f>
        <v>-0.019961639553882193</v>
      </c>
      <c r="J498" s="11">
        <f>F498/H498-1</f>
        <v>-0.04960044089280791</v>
      </c>
      <c r="K498" s="13" t="n">
        <v>2357676</v>
      </c>
      <c r="L498" s="13" t="n">
        <v>2034600</v>
      </c>
      <c r="M498" s="21">
        <f>K498/L498</f>
        <v>1.1587909171335888</v>
      </c>
    </row>
    <row r="499">
      <c r="A499" s="19" t="inlineStr">
        <is>
          <t>Z</t>
        </is>
      </c>
      <c r="B499" s="14" t="inlineStr">
        <is>
          <t>—</t>
        </is>
      </c>
      <c r="C499" s="14" t="inlineStr">
        <is>
          <t>—</t>
        </is>
      </c>
      <c r="D499" s="6" t="inlineStr">
        <is>
          <t>地產開發與服務</t>
        </is>
      </c>
      <c r="E499" s="61" t="n">
        <v>75</v>
      </c>
      <c r="F499" s="20" t="n">
        <v>31.31</v>
      </c>
      <c r="G499" s="20" t="n">
        <v>32.52</v>
      </c>
      <c r="H499" s="20" t="n">
        <v>32.14</v>
      </c>
      <c r="I499" s="11">
        <f>F499/G499-1</f>
        <v>-0.037207872078720894</v>
      </c>
      <c r="J499" s="11">
        <f>F499/H499-1</f>
        <v>-0.02582451773490979</v>
      </c>
      <c r="K499" s="13" t="n">
        <v>3848240</v>
      </c>
      <c r="L499" s="13" t="n">
        <v>2999000</v>
      </c>
      <c r="M499" s="21">
        <f>K499/L499</f>
        <v>1.2831743914638212</v>
      </c>
    </row>
    <row r="500">
      <c r="A500" s="39" t="inlineStr">
        <is>
          <t>ZION</t>
        </is>
      </c>
      <c r="B500" s="93" t="inlineStr">
        <is>
          <t>—</t>
        </is>
      </c>
      <c r="C500" s="94" t="inlineStr">
        <is>
          <t>區域銀行</t>
        </is>
      </c>
      <c r="D500" s="40" t="inlineStr">
        <is>
          <t>區域與社區銀行</t>
        </is>
      </c>
      <c r="E500" s="67" t="n">
        <v>89</v>
      </c>
      <c r="F500" s="41" t="n">
        <v>65.47</v>
      </c>
      <c r="G500" s="41" t="n">
        <v>67.98999999999999</v>
      </c>
      <c r="H500" s="41" t="n">
        <v>68.11</v>
      </c>
      <c r="I500" s="42">
        <f>F500/G500-1</f>
        <v>-0.037064274157964316</v>
      </c>
      <c r="J500" s="42">
        <f>F500/H500-1</f>
        <v>-0.03876082807223613</v>
      </c>
      <c r="K500" s="43" t="n">
        <v>2312683</v>
      </c>
      <c r="L500" s="43" t="n">
        <v>1298600</v>
      </c>
      <c r="M500" s="44">
        <f>K500/L500</f>
        <v>1.780904820576005</v>
      </c>
    </row>
    <row r="501">
      <c r="A501" s="19" t="inlineStr">
        <is>
          <t>ZS</t>
        </is>
      </c>
      <c r="B501" s="14" t="inlineStr">
        <is>
          <t>—</t>
        </is>
      </c>
      <c r="C501" s="14" t="inlineStr">
        <is>
          <t>—</t>
        </is>
      </c>
      <c r="D501" s="6" t="inlineStr">
        <is>
          <t>網絡安全</t>
        </is>
      </c>
      <c r="E501" s="61" t="n">
        <v>2</v>
      </c>
      <c r="F501" s="20" t="n">
        <v>191.58</v>
      </c>
      <c r="G501" s="20" t="n">
        <v>193.89</v>
      </c>
      <c r="H501" s="20" t="n">
        <v>166.1</v>
      </c>
      <c r="I501" s="11">
        <f>F501/G501-1</f>
        <v>-0.011913971839702775</v>
      </c>
      <c r="J501" s="11">
        <f>F501/H501-1</f>
        <v>0.15340156532209526</v>
      </c>
      <c r="K501" s="13" t="n">
        <v>3301569</v>
      </c>
      <c r="L501" s="13" t="n">
        <v>2421400</v>
      </c>
      <c r="M501" s="21">
        <f>K501/L501</f>
        <v>1.3634959114561824</v>
      </c>
    </row>
    <row r="503">
      <c r="A503" s="9" t="inlineStr">
        <is>
          <t>綠底＝在「3日受惠清單」內（25 檔）　紅底＝在「迴避清單」內（26 檔）　其餘為 111 個子板塊籃子的成分股。子板塊排名為該代號所屬板塊中 5 日綜合分最高者的名次（1 = 最強）。</t>
        </is>
      </c>
    </row>
  </sheetData>
  <autoFilter ref="A8:M501"/>
  <mergeCells count="3">
    <mergeCell ref="A2:M2"/>
    <mergeCell ref="A503:M503"/>
    <mergeCell ref="A1:M1"/>
  </mergeCells>
  <hyperlinks>
    <hyperlink ref="A9" r:id="rId1"/>
    <hyperlink ref="A10" r:id="rId2"/>
    <hyperlink ref="A11" r:id="rId3"/>
    <hyperlink ref="A12" r:id="rId4"/>
    <hyperlink ref="A13" r:id="rId5"/>
    <hyperlink ref="A14" r:id="rId6"/>
    <hyperlink ref="A15" r:id="rId7"/>
    <hyperlink ref="A16" r:id="rId8"/>
    <hyperlink ref="A17" r:id="rId9"/>
    <hyperlink ref="A18" r:id="rId10"/>
    <hyperlink ref="A19" r:id="rId11"/>
    <hyperlink ref="A20" r:id="rId12"/>
    <hyperlink ref="A21" r:id="rId13"/>
    <hyperlink ref="A22" r:id="rId14"/>
    <hyperlink ref="A23" r:id="rId15"/>
    <hyperlink ref="A24" r:id="rId16"/>
    <hyperlink ref="A25" r:id="rId17"/>
    <hyperlink ref="A26" r:id="rId18"/>
    <hyperlink ref="A27" r:id="rId19"/>
    <hyperlink ref="A28" r:id="rId20"/>
    <hyperlink ref="A29" r:id="rId21"/>
    <hyperlink ref="A30" r:id="rId22"/>
    <hyperlink ref="A31" r:id="rId23"/>
    <hyperlink ref="A32" r:id="rId24"/>
    <hyperlink ref="A33" r:id="rId25"/>
    <hyperlink ref="A34" r:id="rId26"/>
    <hyperlink ref="A35" r:id="rId27"/>
    <hyperlink ref="A36" r:id="rId28"/>
    <hyperlink ref="A37" r:id="rId29"/>
    <hyperlink ref="A38" r:id="rId30"/>
    <hyperlink ref="A39" r:id="rId31"/>
    <hyperlink ref="A40" r:id="rId32"/>
    <hyperlink ref="A41" r:id="rId33"/>
    <hyperlink ref="A42" r:id="rId34"/>
    <hyperlink ref="A43" r:id="rId35"/>
    <hyperlink ref="A44" r:id="rId36"/>
    <hyperlink ref="A45" r:id="rId37"/>
    <hyperlink ref="A46" r:id="rId38"/>
    <hyperlink ref="A47" r:id="rId39"/>
    <hyperlink ref="A48" r:id="rId40"/>
    <hyperlink ref="A49" r:id="rId41"/>
    <hyperlink ref="A50" r:id="rId42"/>
    <hyperlink ref="A51" r:id="rId43"/>
    <hyperlink ref="A52" r:id="rId44"/>
    <hyperlink ref="A53" r:id="rId45"/>
    <hyperlink ref="A54" r:id="rId46"/>
    <hyperlink ref="A55" r:id="rId47"/>
    <hyperlink ref="A56" r:id="rId48"/>
    <hyperlink ref="A57" r:id="rId49"/>
    <hyperlink ref="A58" r:id="rId50"/>
    <hyperlink ref="A59" r:id="rId51"/>
    <hyperlink ref="A60" r:id="rId52"/>
    <hyperlink ref="A61" r:id="rId53"/>
    <hyperlink ref="A62" r:id="rId54"/>
    <hyperlink ref="A63" r:id="rId55"/>
    <hyperlink ref="A64" r:id="rId56"/>
    <hyperlink ref="A65" r:id="rId57"/>
    <hyperlink ref="A66" r:id="rId58"/>
    <hyperlink ref="A67" r:id="rId59"/>
    <hyperlink ref="A68" r:id="rId60"/>
    <hyperlink ref="A69" r:id="rId61"/>
    <hyperlink ref="A70" r:id="rId62"/>
    <hyperlink ref="A71" r:id="rId63"/>
    <hyperlink ref="A72" r:id="rId64"/>
    <hyperlink ref="A73" r:id="rId65"/>
    <hyperlink ref="A74" r:id="rId66"/>
    <hyperlink ref="A75" r:id="rId67"/>
    <hyperlink ref="A76" r:id="rId68"/>
    <hyperlink ref="A77" r:id="rId69"/>
    <hyperlink ref="A78" r:id="rId70"/>
    <hyperlink ref="A79" r:id="rId71"/>
    <hyperlink ref="A80" r:id="rId72"/>
    <hyperlink ref="A81" r:id="rId73"/>
    <hyperlink ref="A82" r:id="rId74"/>
    <hyperlink ref="A83" r:id="rId75"/>
    <hyperlink ref="A84" r:id="rId76"/>
    <hyperlink ref="A85" r:id="rId77"/>
    <hyperlink ref="A86" r:id="rId78"/>
    <hyperlink ref="A87" r:id="rId79"/>
    <hyperlink ref="A88" r:id="rId80"/>
    <hyperlink ref="A89" r:id="rId81"/>
    <hyperlink ref="A90" r:id="rId82"/>
    <hyperlink ref="A91" r:id="rId83"/>
    <hyperlink ref="A92" r:id="rId84"/>
    <hyperlink ref="A93" r:id="rId85"/>
    <hyperlink ref="A94" r:id="rId86"/>
    <hyperlink ref="A95" r:id="rId87"/>
    <hyperlink ref="A96" r:id="rId88"/>
    <hyperlink ref="A97" r:id="rId89"/>
    <hyperlink ref="A98" r:id="rId90"/>
    <hyperlink ref="A99" r:id="rId91"/>
    <hyperlink ref="A100" r:id="rId92"/>
    <hyperlink ref="A101" r:id="rId93"/>
    <hyperlink ref="A102" r:id="rId94"/>
    <hyperlink ref="A103" r:id="rId95"/>
    <hyperlink ref="A104" r:id="rId96"/>
    <hyperlink ref="A105" r:id="rId97"/>
    <hyperlink ref="A106" r:id="rId98"/>
    <hyperlink ref="A107" r:id="rId99"/>
    <hyperlink ref="A108" r:id="rId100"/>
    <hyperlink ref="A109" r:id="rId101"/>
    <hyperlink ref="A110" r:id="rId102"/>
    <hyperlink ref="A111" r:id="rId103"/>
    <hyperlink ref="A112" r:id="rId104"/>
    <hyperlink ref="A113" r:id="rId105"/>
    <hyperlink ref="A114" r:id="rId106"/>
    <hyperlink ref="A115" r:id="rId107"/>
    <hyperlink ref="A116" r:id="rId108"/>
    <hyperlink ref="A117" r:id="rId109"/>
    <hyperlink ref="A118" r:id="rId110"/>
    <hyperlink ref="A119" r:id="rId111"/>
    <hyperlink ref="A120" r:id="rId112"/>
    <hyperlink ref="A121" r:id="rId113"/>
    <hyperlink ref="A122" r:id="rId114"/>
    <hyperlink ref="A123" r:id="rId115"/>
    <hyperlink ref="A124" r:id="rId116"/>
    <hyperlink ref="A125" r:id="rId117"/>
    <hyperlink ref="A126" r:id="rId118"/>
    <hyperlink ref="A127" r:id="rId119"/>
    <hyperlink ref="A128" r:id="rId120"/>
    <hyperlink ref="A129" r:id="rId121"/>
    <hyperlink ref="A130" r:id="rId122"/>
    <hyperlink ref="A131" r:id="rId123"/>
    <hyperlink ref="A132" r:id="rId124"/>
    <hyperlink ref="A133" r:id="rId125"/>
    <hyperlink ref="A134" r:id="rId126"/>
    <hyperlink ref="A135" r:id="rId127"/>
    <hyperlink ref="A136" r:id="rId128"/>
    <hyperlink ref="A137" r:id="rId129"/>
    <hyperlink ref="A138" r:id="rId130"/>
    <hyperlink ref="A139" r:id="rId131"/>
    <hyperlink ref="A140" r:id="rId132"/>
    <hyperlink ref="A141" r:id="rId133"/>
    <hyperlink ref="A142" r:id="rId134"/>
    <hyperlink ref="A143" r:id="rId135"/>
    <hyperlink ref="A144" r:id="rId136"/>
    <hyperlink ref="A145" r:id="rId137"/>
    <hyperlink ref="A146" r:id="rId138"/>
    <hyperlink ref="A147" r:id="rId139"/>
    <hyperlink ref="A148" r:id="rId140"/>
    <hyperlink ref="A149" r:id="rId141"/>
    <hyperlink ref="A150" r:id="rId142"/>
    <hyperlink ref="A151" r:id="rId143"/>
    <hyperlink ref="A152" r:id="rId144"/>
    <hyperlink ref="A153" r:id="rId145"/>
    <hyperlink ref="A154" r:id="rId146"/>
    <hyperlink ref="A155" r:id="rId147"/>
    <hyperlink ref="A156" r:id="rId148"/>
    <hyperlink ref="A157" r:id="rId149"/>
    <hyperlink ref="A158" r:id="rId150"/>
    <hyperlink ref="A159" r:id="rId151"/>
    <hyperlink ref="A160" r:id="rId152"/>
    <hyperlink ref="A161" r:id="rId153"/>
    <hyperlink ref="A162" r:id="rId154"/>
    <hyperlink ref="A163" r:id="rId155"/>
    <hyperlink ref="A164" r:id="rId156"/>
    <hyperlink ref="A165" r:id="rId157"/>
    <hyperlink ref="A166" r:id="rId158"/>
    <hyperlink ref="A167" r:id="rId159"/>
    <hyperlink ref="A168" r:id="rId160"/>
    <hyperlink ref="A169" r:id="rId161"/>
    <hyperlink ref="A170" r:id="rId162"/>
    <hyperlink ref="A171" r:id="rId163"/>
    <hyperlink ref="A172" r:id="rId164"/>
    <hyperlink ref="A173" r:id="rId165"/>
    <hyperlink ref="A174" r:id="rId166"/>
    <hyperlink ref="A175" r:id="rId167"/>
    <hyperlink ref="A176" r:id="rId168"/>
    <hyperlink ref="A177" r:id="rId169"/>
    <hyperlink ref="A178" r:id="rId170"/>
    <hyperlink ref="A179" r:id="rId171"/>
    <hyperlink ref="A180" r:id="rId172"/>
    <hyperlink ref="A181" r:id="rId173"/>
    <hyperlink ref="A182" r:id="rId174"/>
    <hyperlink ref="A183" r:id="rId175"/>
    <hyperlink ref="A184" r:id="rId176"/>
    <hyperlink ref="A185" r:id="rId177"/>
    <hyperlink ref="A186" r:id="rId178"/>
    <hyperlink ref="A187" r:id="rId179"/>
    <hyperlink ref="A188" r:id="rId180"/>
    <hyperlink ref="A189" r:id="rId181"/>
    <hyperlink ref="A190" r:id="rId182"/>
    <hyperlink ref="A191" r:id="rId183"/>
    <hyperlink ref="A192" r:id="rId184"/>
    <hyperlink ref="A193" r:id="rId185"/>
    <hyperlink ref="A194" r:id="rId186"/>
    <hyperlink ref="A195" r:id="rId187"/>
    <hyperlink ref="A196" r:id="rId188"/>
    <hyperlink ref="A197" r:id="rId189"/>
    <hyperlink ref="A198" r:id="rId190"/>
    <hyperlink ref="A199" r:id="rId191"/>
    <hyperlink ref="A200" r:id="rId192"/>
    <hyperlink ref="A201" r:id="rId193"/>
    <hyperlink ref="A202" r:id="rId194"/>
    <hyperlink ref="A203" r:id="rId195"/>
    <hyperlink ref="A204" r:id="rId196"/>
    <hyperlink ref="A205" r:id="rId197"/>
    <hyperlink ref="A206" r:id="rId198"/>
    <hyperlink ref="A207" r:id="rId199"/>
    <hyperlink ref="A208" r:id="rId200"/>
    <hyperlink ref="A209" r:id="rId201"/>
    <hyperlink ref="A210" r:id="rId202"/>
    <hyperlink ref="A211" r:id="rId203"/>
    <hyperlink ref="A212" r:id="rId204"/>
    <hyperlink ref="A213" r:id="rId205"/>
    <hyperlink ref="A214" r:id="rId206"/>
    <hyperlink ref="A215" r:id="rId207"/>
    <hyperlink ref="A216" r:id="rId208"/>
    <hyperlink ref="A217" r:id="rId209"/>
    <hyperlink ref="A218" r:id="rId210"/>
    <hyperlink ref="A219" r:id="rId211"/>
    <hyperlink ref="A220" r:id="rId212"/>
    <hyperlink ref="A221" r:id="rId213"/>
    <hyperlink ref="A222" r:id="rId214"/>
    <hyperlink ref="A223" r:id="rId215"/>
    <hyperlink ref="A224" r:id="rId216"/>
    <hyperlink ref="A225" r:id="rId217"/>
    <hyperlink ref="A226" r:id="rId218"/>
    <hyperlink ref="A227" r:id="rId219"/>
    <hyperlink ref="A228" r:id="rId220"/>
    <hyperlink ref="A229" r:id="rId221"/>
    <hyperlink ref="A230" r:id="rId222"/>
    <hyperlink ref="A231" r:id="rId223"/>
    <hyperlink ref="A232" r:id="rId224"/>
    <hyperlink ref="A233" r:id="rId225"/>
    <hyperlink ref="A234" r:id="rId226"/>
    <hyperlink ref="A235" r:id="rId227"/>
    <hyperlink ref="A236" r:id="rId228"/>
    <hyperlink ref="A237" r:id="rId229"/>
    <hyperlink ref="A238" r:id="rId230"/>
    <hyperlink ref="A239" r:id="rId231"/>
    <hyperlink ref="A240" r:id="rId232"/>
    <hyperlink ref="A241" r:id="rId233"/>
    <hyperlink ref="A242" r:id="rId234"/>
    <hyperlink ref="A243" r:id="rId235"/>
    <hyperlink ref="A244" r:id="rId236"/>
    <hyperlink ref="A245" r:id="rId237"/>
    <hyperlink ref="A246" r:id="rId238"/>
    <hyperlink ref="A247" r:id="rId239"/>
    <hyperlink ref="A248" r:id="rId240"/>
    <hyperlink ref="A249" r:id="rId241"/>
    <hyperlink ref="A250" r:id="rId242"/>
    <hyperlink ref="A251" r:id="rId243"/>
    <hyperlink ref="A252" r:id="rId244"/>
    <hyperlink ref="A253" r:id="rId245"/>
    <hyperlink ref="A254" r:id="rId246"/>
    <hyperlink ref="A255" r:id="rId247"/>
    <hyperlink ref="A256" r:id="rId248"/>
    <hyperlink ref="A257" r:id="rId249"/>
    <hyperlink ref="A258" r:id="rId250"/>
    <hyperlink ref="A259" r:id="rId251"/>
    <hyperlink ref="A260" r:id="rId252"/>
    <hyperlink ref="A261" r:id="rId253"/>
    <hyperlink ref="A262" r:id="rId254"/>
    <hyperlink ref="A263" r:id="rId255"/>
    <hyperlink ref="A264" r:id="rId256"/>
    <hyperlink ref="A265" r:id="rId257"/>
    <hyperlink ref="A266" r:id="rId258"/>
    <hyperlink ref="A267" r:id="rId259"/>
    <hyperlink ref="A268" r:id="rId260"/>
    <hyperlink ref="A269" r:id="rId261"/>
    <hyperlink ref="A270" r:id="rId262"/>
    <hyperlink ref="A271" r:id="rId263"/>
    <hyperlink ref="A272" r:id="rId264"/>
    <hyperlink ref="A273" r:id="rId265"/>
    <hyperlink ref="A274" r:id="rId266"/>
    <hyperlink ref="A275" r:id="rId267"/>
    <hyperlink ref="A276" r:id="rId268"/>
    <hyperlink ref="A277" r:id="rId269"/>
    <hyperlink ref="A278" r:id="rId270"/>
    <hyperlink ref="A279" r:id="rId271"/>
    <hyperlink ref="A280" r:id="rId272"/>
    <hyperlink ref="A281" r:id="rId273"/>
    <hyperlink ref="A282" r:id="rId274"/>
    <hyperlink ref="A283" r:id="rId275"/>
    <hyperlink ref="A284" r:id="rId276"/>
    <hyperlink ref="A285" r:id="rId277"/>
    <hyperlink ref="A286" r:id="rId278"/>
    <hyperlink ref="A287" r:id="rId279"/>
    <hyperlink ref="A288" r:id="rId280"/>
    <hyperlink ref="A289" r:id="rId281"/>
    <hyperlink ref="A290" r:id="rId282"/>
    <hyperlink ref="A291" r:id="rId283"/>
    <hyperlink ref="A292" r:id="rId284"/>
    <hyperlink ref="A293" r:id="rId285"/>
    <hyperlink ref="A294" r:id="rId286"/>
    <hyperlink ref="A295" r:id="rId287"/>
    <hyperlink ref="A296" r:id="rId288"/>
    <hyperlink ref="A297" r:id="rId289"/>
    <hyperlink ref="A298" r:id="rId290"/>
    <hyperlink ref="A299" r:id="rId291"/>
    <hyperlink ref="A300" r:id="rId292"/>
    <hyperlink ref="A301" r:id="rId293"/>
    <hyperlink ref="A302" r:id="rId294"/>
    <hyperlink ref="A303" r:id="rId295"/>
    <hyperlink ref="A304" r:id="rId296"/>
    <hyperlink ref="A305" r:id="rId297"/>
    <hyperlink ref="A306" r:id="rId298"/>
    <hyperlink ref="A307" r:id="rId299"/>
    <hyperlink ref="A308" r:id="rId300"/>
    <hyperlink ref="A309" r:id="rId301"/>
    <hyperlink ref="A310" r:id="rId302"/>
    <hyperlink ref="A311" r:id="rId303"/>
    <hyperlink ref="A312" r:id="rId304"/>
    <hyperlink ref="A313" r:id="rId305"/>
    <hyperlink ref="A314" r:id="rId306"/>
    <hyperlink ref="A315" r:id="rId307"/>
    <hyperlink ref="A316" r:id="rId308"/>
    <hyperlink ref="A317" r:id="rId309"/>
    <hyperlink ref="A318" r:id="rId310"/>
    <hyperlink ref="A319" r:id="rId311"/>
    <hyperlink ref="A320" r:id="rId312"/>
    <hyperlink ref="A321" r:id="rId313"/>
    <hyperlink ref="A322" r:id="rId314"/>
    <hyperlink ref="A323" r:id="rId315"/>
    <hyperlink ref="A324" r:id="rId316"/>
    <hyperlink ref="A325" r:id="rId317"/>
    <hyperlink ref="A326" r:id="rId318"/>
    <hyperlink ref="A327" r:id="rId319"/>
    <hyperlink ref="A328" r:id="rId320"/>
    <hyperlink ref="A329" r:id="rId321"/>
    <hyperlink ref="A330" r:id="rId322"/>
    <hyperlink ref="A331" r:id="rId323"/>
    <hyperlink ref="A332" r:id="rId324"/>
    <hyperlink ref="A333" r:id="rId325"/>
    <hyperlink ref="A334" r:id="rId326"/>
    <hyperlink ref="A335" r:id="rId327"/>
    <hyperlink ref="A336" r:id="rId328"/>
    <hyperlink ref="A337" r:id="rId329"/>
    <hyperlink ref="A338" r:id="rId330"/>
    <hyperlink ref="A339" r:id="rId331"/>
    <hyperlink ref="A340" r:id="rId332"/>
    <hyperlink ref="A341" r:id="rId333"/>
    <hyperlink ref="A342" r:id="rId334"/>
    <hyperlink ref="A343" r:id="rId335"/>
    <hyperlink ref="A344" r:id="rId336"/>
    <hyperlink ref="A345" r:id="rId337"/>
    <hyperlink ref="A346" r:id="rId338"/>
    <hyperlink ref="A347" r:id="rId339"/>
    <hyperlink ref="A348" r:id="rId340"/>
    <hyperlink ref="A349" r:id="rId341"/>
    <hyperlink ref="A350" r:id="rId342"/>
    <hyperlink ref="A351" r:id="rId343"/>
    <hyperlink ref="A352" r:id="rId344"/>
    <hyperlink ref="A353" r:id="rId345"/>
    <hyperlink ref="A354" r:id="rId346"/>
    <hyperlink ref="A355" r:id="rId347"/>
    <hyperlink ref="A356" r:id="rId348"/>
    <hyperlink ref="A357" r:id="rId349"/>
    <hyperlink ref="A358" r:id="rId350"/>
    <hyperlink ref="A359" r:id="rId351"/>
    <hyperlink ref="A360" r:id="rId352"/>
    <hyperlink ref="A361" r:id="rId353"/>
    <hyperlink ref="A362" r:id="rId354"/>
    <hyperlink ref="A363" r:id="rId355"/>
    <hyperlink ref="A364" r:id="rId356"/>
    <hyperlink ref="A365" r:id="rId357"/>
    <hyperlink ref="A366" r:id="rId358"/>
    <hyperlink ref="A367" r:id="rId359"/>
    <hyperlink ref="A368" r:id="rId360"/>
    <hyperlink ref="A369" r:id="rId361"/>
    <hyperlink ref="A370" r:id="rId362"/>
    <hyperlink ref="A371" r:id="rId363"/>
    <hyperlink ref="A372" r:id="rId364"/>
    <hyperlink ref="A373" r:id="rId365"/>
    <hyperlink ref="A374" r:id="rId366"/>
    <hyperlink ref="A375" r:id="rId367"/>
    <hyperlink ref="A376" r:id="rId368"/>
    <hyperlink ref="A377" r:id="rId369"/>
    <hyperlink ref="A378" r:id="rId370"/>
    <hyperlink ref="A379" r:id="rId371"/>
    <hyperlink ref="A380" r:id="rId372"/>
    <hyperlink ref="A381" r:id="rId373"/>
    <hyperlink ref="A382" r:id="rId374"/>
    <hyperlink ref="A383" r:id="rId375"/>
    <hyperlink ref="A384" r:id="rId376"/>
    <hyperlink ref="A385" r:id="rId377"/>
    <hyperlink ref="A386" r:id="rId378"/>
    <hyperlink ref="A387" r:id="rId379"/>
    <hyperlink ref="A388" r:id="rId380"/>
    <hyperlink ref="A389" r:id="rId381"/>
    <hyperlink ref="A390" r:id="rId382"/>
    <hyperlink ref="A391" r:id="rId383"/>
    <hyperlink ref="A392" r:id="rId384"/>
    <hyperlink ref="A393" r:id="rId385"/>
    <hyperlink ref="A394" r:id="rId386"/>
    <hyperlink ref="A395" r:id="rId387"/>
    <hyperlink ref="A396" r:id="rId388"/>
    <hyperlink ref="A397" r:id="rId389"/>
    <hyperlink ref="A398" r:id="rId390"/>
    <hyperlink ref="A399" r:id="rId391"/>
    <hyperlink ref="A400" r:id="rId392"/>
    <hyperlink ref="A401" r:id="rId393"/>
    <hyperlink ref="A402" r:id="rId394"/>
    <hyperlink ref="A403" r:id="rId395"/>
    <hyperlink ref="A404" r:id="rId396"/>
    <hyperlink ref="A405" r:id="rId397"/>
    <hyperlink ref="A406" r:id="rId398"/>
    <hyperlink ref="A407" r:id="rId399"/>
    <hyperlink ref="A408" r:id="rId400"/>
    <hyperlink ref="A409" r:id="rId401"/>
    <hyperlink ref="A410" r:id="rId402"/>
    <hyperlink ref="A411" r:id="rId403"/>
    <hyperlink ref="A412" r:id="rId404"/>
    <hyperlink ref="A413" r:id="rId405"/>
    <hyperlink ref="A414" r:id="rId406"/>
    <hyperlink ref="A415" r:id="rId407"/>
    <hyperlink ref="A416" r:id="rId408"/>
    <hyperlink ref="A417" r:id="rId409"/>
    <hyperlink ref="A418" r:id="rId410"/>
    <hyperlink ref="A419" r:id="rId411"/>
    <hyperlink ref="A420" r:id="rId412"/>
    <hyperlink ref="A421" r:id="rId413"/>
    <hyperlink ref="A422" r:id="rId414"/>
    <hyperlink ref="A423" r:id="rId415"/>
    <hyperlink ref="A424" r:id="rId416"/>
    <hyperlink ref="A425" r:id="rId417"/>
    <hyperlink ref="A426" r:id="rId418"/>
    <hyperlink ref="A427" r:id="rId419"/>
    <hyperlink ref="A428" r:id="rId420"/>
    <hyperlink ref="A429" r:id="rId421"/>
    <hyperlink ref="A430" r:id="rId422"/>
    <hyperlink ref="A431" r:id="rId423"/>
    <hyperlink ref="A432" r:id="rId424"/>
    <hyperlink ref="A433" r:id="rId425"/>
    <hyperlink ref="A434" r:id="rId426"/>
    <hyperlink ref="A435" r:id="rId427"/>
    <hyperlink ref="A436" r:id="rId428"/>
    <hyperlink ref="A437" r:id="rId429"/>
    <hyperlink ref="A438" r:id="rId430"/>
    <hyperlink ref="A439" r:id="rId431"/>
    <hyperlink ref="A440" r:id="rId432"/>
    <hyperlink ref="A441" r:id="rId433"/>
    <hyperlink ref="A442" r:id="rId434"/>
    <hyperlink ref="A443" r:id="rId435"/>
    <hyperlink ref="A444" r:id="rId436"/>
    <hyperlink ref="A445" r:id="rId437"/>
    <hyperlink ref="A446" r:id="rId438"/>
    <hyperlink ref="A447" r:id="rId439"/>
    <hyperlink ref="A448" r:id="rId440"/>
    <hyperlink ref="A449" r:id="rId441"/>
    <hyperlink ref="A450" r:id="rId442"/>
    <hyperlink ref="A451" r:id="rId443"/>
    <hyperlink ref="A452" r:id="rId444"/>
    <hyperlink ref="A453" r:id="rId445"/>
    <hyperlink ref="A454" r:id="rId446"/>
    <hyperlink ref="A455" r:id="rId447"/>
    <hyperlink ref="A456" r:id="rId448"/>
    <hyperlink ref="A457" r:id="rId449"/>
    <hyperlink ref="A458" r:id="rId450"/>
    <hyperlink ref="A459" r:id="rId451"/>
    <hyperlink ref="A460" r:id="rId452"/>
    <hyperlink ref="A461" r:id="rId453"/>
    <hyperlink ref="A462" r:id="rId454"/>
    <hyperlink ref="A463" r:id="rId455"/>
    <hyperlink ref="A464" r:id="rId456"/>
    <hyperlink ref="A465" r:id="rId457"/>
    <hyperlink ref="A466" r:id="rId458"/>
    <hyperlink ref="A467" r:id="rId459"/>
    <hyperlink ref="A468" r:id="rId460"/>
    <hyperlink ref="A469" r:id="rId461"/>
    <hyperlink ref="A470" r:id="rId462"/>
    <hyperlink ref="A471" r:id="rId463"/>
    <hyperlink ref="A472" r:id="rId464"/>
    <hyperlink ref="A473" r:id="rId465"/>
    <hyperlink ref="A474" r:id="rId466"/>
    <hyperlink ref="A475" r:id="rId467"/>
    <hyperlink ref="A476" r:id="rId468"/>
    <hyperlink ref="A477" r:id="rId469"/>
    <hyperlink ref="A478" r:id="rId470"/>
    <hyperlink ref="A479" r:id="rId471"/>
    <hyperlink ref="A480" r:id="rId472"/>
    <hyperlink ref="A481" r:id="rId473"/>
    <hyperlink ref="A482" r:id="rId474"/>
    <hyperlink ref="A483" r:id="rId475"/>
    <hyperlink ref="A484" r:id="rId476"/>
    <hyperlink ref="A485" r:id="rId477"/>
    <hyperlink ref="A486" r:id="rId478"/>
    <hyperlink ref="A487" r:id="rId479"/>
    <hyperlink ref="A488" r:id="rId480"/>
    <hyperlink ref="A489" r:id="rId481"/>
    <hyperlink ref="A490" r:id="rId482"/>
    <hyperlink ref="A491" r:id="rId483"/>
    <hyperlink ref="A492" r:id="rId484"/>
    <hyperlink ref="A493" r:id="rId485"/>
    <hyperlink ref="A494" r:id="rId486"/>
    <hyperlink ref="A495" r:id="rId487"/>
    <hyperlink ref="A496" r:id="rId488"/>
    <hyperlink ref="A497" r:id="rId489"/>
    <hyperlink ref="A498" r:id="rId490"/>
    <hyperlink ref="A499" r:id="rId491"/>
    <hyperlink ref="A500" r:id="rId492"/>
    <hyperlink ref="A501" r:id="rId49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B4F9D"/>
    <outlinePr summaryBelow="1" summaryRight="1"/>
    <pageSetUpPr/>
  </sheetPr>
  <dimension ref="A1:N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0" customWidth="1" min="3" max="3"/>
    <col width="13" customWidth="1" min="4" max="4"/>
    <col width="52" customWidth="1" min="5" max="5"/>
    <col width="34" customWidth="1" min="6" max="6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2" customHeight="1">
      <c r="A1" s="1" t="inlineStr">
        <is>
          <t>未來 3 個交易日催化劑日程</t>
        </is>
      </c>
    </row>
    <row r="2">
      <c r="A2" s="2" t="inlineStr">
        <is>
          <t>基準 2026-09-16 美東收市　·　時間為美東時間　·　「相關代號」欄的代號可點擊開 TradingView 圖表</t>
        </is>
      </c>
    </row>
    <row r="8" ht="30" customHeight="1">
      <c r="A8" s="17" t="inlineStr">
        <is>
          <t>日期</t>
        </is>
      </c>
      <c r="B8" s="17" t="inlineStr">
        <is>
          <t>星期</t>
        </is>
      </c>
      <c r="C8" s="17" t="inlineStr">
        <is>
          <t>事件</t>
        </is>
      </c>
      <c r="D8" s="17" t="inlineStr">
        <is>
          <t>時間 (ET)</t>
        </is>
      </c>
      <c r="E8" s="17" t="inlineStr">
        <is>
          <t>為何重要</t>
        </is>
      </c>
      <c r="F8" s="17" t="inlineStr">
        <is>
          <t>衝擊哪些清單項目</t>
        </is>
      </c>
      <c r="G8" s="17" t="inlineStr">
        <is>
          <t>方向偏好</t>
        </is>
      </c>
      <c r="H8" s="17" t="inlineStr">
        <is>
          <t>相關代號
1</t>
        </is>
      </c>
      <c r="I8" s="17" t="inlineStr">
        <is>
          <t>相關代號
2</t>
        </is>
      </c>
      <c r="J8" s="17" t="inlineStr">
        <is>
          <t>相關代號
3</t>
        </is>
      </c>
      <c r="K8" s="17" t="inlineStr">
        <is>
          <t>相關代號
4</t>
        </is>
      </c>
      <c r="L8" s="17" t="inlineStr">
        <is>
          <t>相關代號
5</t>
        </is>
      </c>
      <c r="M8" s="17" t="inlineStr">
        <is>
          <t>相關代號
6</t>
        </is>
      </c>
      <c r="N8" s="17" t="inlineStr">
        <is>
          <t>相關代號
7</t>
        </is>
      </c>
    </row>
    <row r="9" ht="44" customHeight="1">
      <c r="A9" s="7" t="inlineStr">
        <is>
          <t>2026-09-17</t>
        </is>
      </c>
      <c r="B9" s="95" t="inlineStr">
        <is>
          <t>四</t>
        </is>
      </c>
      <c r="C9" s="5" t="inlineStr">
        <is>
          <t>8 月新屋開工 + 營建許可</t>
        </is>
      </c>
      <c r="D9" s="95" t="inlineStr">
        <is>
          <t>08:30</t>
        </is>
      </c>
      <c r="E9" s="6" t="inlineStr">
        <is>
          <t>10Y 在 5% ＝ 30 年按揭跟升。這是本週唯一直接針對利率敏感板塊的數據</t>
        </is>
      </c>
      <c r="F9" s="6" t="inlineStr">
        <is>
          <t>迴避：DHI、LEN（已在 2.0–2.5x 量能下跌）</t>
        </is>
      </c>
      <c r="G9" s="6" t="inlineStr">
        <is>
          <t>利空建商</t>
        </is>
      </c>
      <c r="H9" s="19" t="inlineStr">
        <is>
          <t>DHI</t>
        </is>
      </c>
      <c r="I9" s="19" t="inlineStr">
        <is>
          <t>LEN</t>
        </is>
      </c>
    </row>
    <row r="10" ht="44" customHeight="1">
      <c r="A10" s="7" t="inlineStr">
        <is>
          <t>2026-09-17</t>
        </is>
      </c>
      <c r="B10" s="95" t="inlineStr">
        <is>
          <t>四</t>
        </is>
      </c>
      <c r="C10" s="5" t="inlineStr">
        <is>
          <t>初領失業救濟金</t>
        </is>
      </c>
      <c r="D10" s="95" t="inlineStr">
        <is>
          <t>08:30</t>
        </is>
      </c>
      <c r="E10" s="6" t="inlineStr">
        <is>
          <t>Warsh 稱經濟「正在走強」並以就業數據佐證。強數據 ＝ 再加息機率上升 ＝ 孳息再上</t>
        </is>
      </c>
      <c r="F10" s="6" t="inlineStr">
        <is>
          <t>受惠：TRV、RNR、AIG、CB（息差）／迴避：OKLO、CCJ、MP</t>
        </is>
      </c>
      <c r="G10" s="6" t="inlineStr">
        <is>
          <t>強數據利好保險、利空長久期</t>
        </is>
      </c>
      <c r="H10" s="19" t="inlineStr">
        <is>
          <t>TRV</t>
        </is>
      </c>
      <c r="I10" s="19" t="inlineStr">
        <is>
          <t>RNR</t>
        </is>
      </c>
      <c r="J10" s="19" t="inlineStr">
        <is>
          <t>AIG</t>
        </is>
      </c>
      <c r="K10" s="19" t="inlineStr">
        <is>
          <t>CB</t>
        </is>
      </c>
      <c r="L10" s="19" t="inlineStr">
        <is>
          <t>OKLO</t>
        </is>
      </c>
      <c r="M10" s="19" t="inlineStr">
        <is>
          <t>CCJ</t>
        </is>
      </c>
      <c r="N10" s="19" t="inlineStr">
        <is>
          <t>MP</t>
        </is>
      </c>
    </row>
    <row r="11" ht="44" customHeight="1">
      <c r="A11" s="7" t="inlineStr">
        <is>
          <t>2026-09-17</t>
        </is>
      </c>
      <c r="B11" s="95" t="inlineStr">
        <is>
          <t>四</t>
        </is>
      </c>
      <c r="C11" s="5" t="inlineStr">
        <is>
          <t>FOMC 靜默期結束，官員開始發言</t>
        </is>
      </c>
      <c r="D11" s="95" t="inlineStr">
        <is>
          <t>全日</t>
        </is>
      </c>
      <c r="E11" s="6" t="inlineStr">
        <is>
          <t>點陣圖顯示 16/18 預期年內再加一次——官員措辭將決定市場如何定價「下一次」</t>
        </is>
      </c>
      <c r="F11" s="6" t="inlineStr">
        <is>
          <t>全表；尤其第④組保險與所有迴避項目</t>
        </is>
      </c>
      <c r="G11" s="6" t="inlineStr">
        <is>
          <t>偏鷹 → 強化本清單配置</t>
        </is>
      </c>
    </row>
    <row r="12" ht="44" customHeight="1">
      <c r="A12" s="96" t="inlineStr">
        <is>
          <t>2026-09-17</t>
        </is>
      </c>
      <c r="B12" s="97" t="inlineStr">
        <is>
          <t>四</t>
        </is>
      </c>
      <c r="C12" s="76" t="inlineStr">
        <is>
          <t>沙特 East–West 輸油管修復進展／衛星影像</t>
        </is>
      </c>
      <c r="D12" s="97" t="inlineStr">
        <is>
          <t>不定</t>
        </is>
      </c>
      <c r="E12" s="98" t="inlineStr">
        <is>
          <t>★ 本清單最大單一變數。能源部長稱「數日」vs 業界估計 5–6 週，兩者矛盾</t>
        </is>
      </c>
      <c r="F12" s="98" t="inlineStr">
        <is>
          <t>全表：決定狀態 A 或狀態 B</t>
        </is>
      </c>
      <c r="G12" s="98" t="inlineStr">
        <is>
          <t>見「情境矩陣」頁</t>
        </is>
      </c>
      <c r="H12" s="86" t="n"/>
      <c r="I12" s="86" t="n"/>
      <c r="J12" s="86" t="n"/>
      <c r="K12" s="86" t="n"/>
      <c r="L12" s="86" t="n"/>
      <c r="M12" s="86" t="n"/>
      <c r="N12" s="86" t="n"/>
    </row>
    <row r="13" ht="44" customHeight="1">
      <c r="A13" s="7" t="inlineStr">
        <is>
          <t>2026-09-18</t>
        </is>
      </c>
      <c r="B13" s="95" t="inlineStr">
        <is>
          <t>五</t>
        </is>
      </c>
      <c r="C13" s="5" t="inlineStr">
        <is>
          <t>日本央行議息</t>
        </is>
      </c>
      <c r="D13" s="95" t="inlineStr">
        <is>
          <t>日本時間上午，美股盤前</t>
        </is>
      </c>
      <c r="E13" s="6" t="inlineStr">
        <is>
          <t>美 10Y 在 5% 之際若 BOJ 轉鷹 → 日圓套息平倉 → 全球久期衝擊</t>
        </is>
      </c>
      <c r="F13" s="6" t="inlineStr">
        <is>
          <t>第③組 GEV／ETN、第⑤組 AI 半導體（高 beta 最先被拋）</t>
        </is>
      </c>
      <c r="G13" s="6" t="inlineStr">
        <is>
          <t>風險事件，非方向事件</t>
        </is>
      </c>
      <c r="H13" s="19" t="inlineStr">
        <is>
          <t>GEV</t>
        </is>
      </c>
      <c r="I13" s="19" t="inlineStr">
        <is>
          <t>ETN</t>
        </is>
      </c>
    </row>
    <row r="14" ht="44" customHeight="1">
      <c r="A14" s="7" t="inlineStr">
        <is>
          <t>2026-09-18</t>
        </is>
      </c>
      <c r="B14" s="95" t="inlineStr">
        <is>
          <t>五</t>
        </is>
      </c>
      <c r="C14" s="5" t="inlineStr">
        <is>
          <t>四巫日（季度期權期指同時到期）+ 標普季度再平衡</t>
        </is>
      </c>
      <c r="D14" s="95" t="inlineStr">
        <is>
          <t>收市</t>
        </is>
      </c>
      <c r="E14" s="6" t="inlineStr">
        <is>
          <t>9 月第三個週五。巨額 gamma 到期 → 當日走勢多由倉位而非基本面決定</t>
        </is>
      </c>
      <c r="F14" s="6" t="inlineStr">
        <is>
          <t>第⑤組 AI 半導體（單日彈 5–9% 最易被打回）；低 beta 高廣度項目相對安全</t>
        </is>
      </c>
      <c r="G14" s="6" t="inlineStr">
        <is>
          <t>波動放大；宜避免追高</t>
        </is>
      </c>
      <c r="H14" s="19" t="inlineStr">
        <is>
          <t>COHR</t>
        </is>
      </c>
      <c r="I14" s="19" t="inlineStr">
        <is>
          <t>LITE</t>
        </is>
      </c>
      <c r="J14" s="19" t="inlineStr">
        <is>
          <t>CRDO</t>
        </is>
      </c>
      <c r="K14" s="19" t="inlineStr">
        <is>
          <t>SNPS</t>
        </is>
      </c>
      <c r="L14" s="19" t="inlineStr">
        <is>
          <t>CDNS</t>
        </is>
      </c>
    </row>
    <row r="15" ht="44" customHeight="1">
      <c r="A15" s="7" t="inlineStr">
        <is>
          <t>2026-09-18</t>
        </is>
      </c>
      <c r="B15" s="95" t="inlineStr">
        <is>
          <t>五</t>
        </is>
      </c>
      <c r="C15" s="5" t="inlineStr">
        <is>
          <t>8 月工業生產、經濟諮商局領先指標</t>
        </is>
      </c>
      <c r="D15" s="95" t="inlineStr">
        <is>
          <t>09:15 / 10:00</t>
        </is>
      </c>
      <c r="E15" s="6" t="inlineStr">
        <is>
          <t>若領先指標走弱而 Fed 仍鷹 → 滯脹定價，利好防守性醫療</t>
        </is>
      </c>
      <c r="F15" s="6" t="inlineStr">
        <is>
          <t>第②組 THC、UHS、HCA、EHC</t>
        </is>
      </c>
      <c r="G15" s="6" t="inlineStr">
        <is>
          <t>弱數據利好醫療服務</t>
        </is>
      </c>
      <c r="H15" s="19" t="inlineStr">
        <is>
          <t>THC</t>
        </is>
      </c>
      <c r="I15" s="19" t="inlineStr">
        <is>
          <t>UHS</t>
        </is>
      </c>
      <c r="J15" s="19" t="inlineStr">
        <is>
          <t>HCA</t>
        </is>
      </c>
      <c r="K15" s="19" t="inlineStr">
        <is>
          <t>EHC</t>
        </is>
      </c>
    </row>
    <row r="16" ht="44" customHeight="1">
      <c r="A16" s="7" t="inlineStr">
        <is>
          <t>2026-09-21</t>
        </is>
      </c>
      <c r="B16" s="95" t="inlineStr">
        <is>
          <t>一</t>
        </is>
      </c>
      <c r="C16" s="5" t="inlineStr">
        <is>
          <t>到期後倉位重置</t>
        </is>
      </c>
      <c r="D16" s="95" t="inlineStr">
        <is>
          <t>開市</t>
        </is>
      </c>
      <c r="E16" s="6" t="inlineStr">
        <is>
          <t>四巫日後的第一個交易日，被 gamma 壓抑的走勢通常於此釋放</t>
        </is>
      </c>
      <c r="F16" s="6" t="inlineStr">
        <is>
          <t>全表</t>
        </is>
      </c>
      <c r="G16" s="6" t="inlineStr">
        <is>
          <t>趨勢確認日</t>
        </is>
      </c>
    </row>
    <row r="17" ht="44" customHeight="1">
      <c r="A17" s="7" t="inlineStr">
        <is>
          <t>2026-09-21</t>
        </is>
      </c>
      <c r="B17" s="95" t="inlineStr">
        <is>
          <t>一</t>
        </is>
      </c>
      <c r="C17" s="5" t="inlineStr">
        <is>
          <t>Hormuz 航運事件／戰爭險費率更新</t>
        </is>
      </c>
      <c r="D17" s="95" t="inlineStr">
        <is>
          <t>不定</t>
        </is>
      </c>
      <c r="E17" s="6" t="inlineStr">
        <is>
          <t>自上週六起已有至少兩艘船隻在 Hormuz 遇襲。費率已由船體價值 0.25% 升至 7.5–10%</t>
        </is>
      </c>
      <c r="F17" s="6" t="inlineStr">
        <is>
          <t>第④組 RNR（戰爭再保）／第①組煉油</t>
        </is>
      </c>
      <c r="G17" s="6" t="inlineStr">
        <is>
          <t>再有襲擊 → 狀態 B</t>
        </is>
      </c>
      <c r="H17" s="19" t="inlineStr">
        <is>
          <t>RNR</t>
        </is>
      </c>
      <c r="I17" s="19" t="inlineStr">
        <is>
          <t>VLO</t>
        </is>
      </c>
      <c r="J17" s="19" t="inlineStr">
        <is>
          <t>MPC</t>
        </is>
      </c>
      <c r="K17" s="19" t="inlineStr">
        <is>
          <t>PBF</t>
        </is>
      </c>
      <c r="L17" s="19" t="inlineStr">
        <is>
          <t>DINO</t>
        </is>
      </c>
      <c r="M17" s="19" t="inlineStr">
        <is>
          <t>PSX</t>
        </is>
      </c>
    </row>
    <row r="18" ht="44" customHeight="1">
      <c r="A18" s="7" t="inlineStr">
        <is>
          <t>2026-09-30</t>
        </is>
      </c>
      <c r="B18" s="95" t="inlineStr">
        <is>
          <t>（參考）</t>
        </is>
      </c>
      <c r="C18" s="5" t="inlineStr">
        <is>
          <t>俄羅斯柴油出口禁令到期日</t>
        </is>
      </c>
      <c r="D18" s="95" t="inlineStr">
        <is>
          <t>—</t>
        </is>
      </c>
      <c r="E18" s="6" t="inlineStr">
        <is>
          <t>禁令已延長至 9/30。俄佔全球柴油約 10%，8 月煉油量 380 萬桶/日為二十年最低</t>
        </is>
      </c>
      <c r="F18" s="6" t="inlineStr">
        <is>
          <t>第①組全部：若不續期，柴油裂解可能回落</t>
        </is>
      </c>
      <c r="G18" s="6" t="inlineStr">
        <is>
          <t>本清單 3 日窗口外，但屬第①組主要失效條件</t>
        </is>
      </c>
      <c r="H18" s="19" t="inlineStr">
        <is>
          <t>VLO</t>
        </is>
      </c>
      <c r="I18" s="19" t="inlineStr">
        <is>
          <t>MPC</t>
        </is>
      </c>
      <c r="J18" s="19" t="inlineStr">
        <is>
          <t>PBF</t>
        </is>
      </c>
      <c r="K18" s="19" t="inlineStr">
        <is>
          <t>DINO</t>
        </is>
      </c>
      <c r="L18" s="19" t="inlineStr">
        <is>
          <t>PSX</t>
        </is>
      </c>
    </row>
  </sheetData>
  <mergeCells count="2">
    <mergeCell ref="A2:N2"/>
    <mergeCell ref="A1:N1"/>
  </mergeCells>
  <hyperlinks>
    <hyperlink xmlns:r="http://schemas.openxmlformats.org/officeDocument/2006/relationships" ref="H9" r:id="rId1"/>
    <hyperlink xmlns:r="http://schemas.openxmlformats.org/officeDocument/2006/relationships" ref="I9" r:id="rId2"/>
    <hyperlink xmlns:r="http://schemas.openxmlformats.org/officeDocument/2006/relationships" ref="H10" r:id="rId3"/>
    <hyperlink xmlns:r="http://schemas.openxmlformats.org/officeDocument/2006/relationships" ref="I10" r:id="rId4"/>
    <hyperlink xmlns:r="http://schemas.openxmlformats.org/officeDocument/2006/relationships" ref="J10" r:id="rId5"/>
    <hyperlink xmlns:r="http://schemas.openxmlformats.org/officeDocument/2006/relationships" ref="K10" r:id="rId6"/>
    <hyperlink xmlns:r="http://schemas.openxmlformats.org/officeDocument/2006/relationships" ref="L10" r:id="rId7"/>
    <hyperlink xmlns:r="http://schemas.openxmlformats.org/officeDocument/2006/relationships" ref="M10" r:id="rId8"/>
    <hyperlink xmlns:r="http://schemas.openxmlformats.org/officeDocument/2006/relationships" ref="N10" r:id="rId9"/>
    <hyperlink xmlns:r="http://schemas.openxmlformats.org/officeDocument/2006/relationships" ref="H13" r:id="rId10"/>
    <hyperlink xmlns:r="http://schemas.openxmlformats.org/officeDocument/2006/relationships" ref="I13" r:id="rId11"/>
    <hyperlink xmlns:r="http://schemas.openxmlformats.org/officeDocument/2006/relationships" ref="H14" r:id="rId12"/>
    <hyperlink xmlns:r="http://schemas.openxmlformats.org/officeDocument/2006/relationships" ref="I14" r:id="rId13"/>
    <hyperlink xmlns:r="http://schemas.openxmlformats.org/officeDocument/2006/relationships" ref="J14" r:id="rId14"/>
    <hyperlink xmlns:r="http://schemas.openxmlformats.org/officeDocument/2006/relationships" ref="K14" r:id="rId15"/>
    <hyperlink xmlns:r="http://schemas.openxmlformats.org/officeDocument/2006/relationships" ref="L14" r:id="rId16"/>
    <hyperlink xmlns:r="http://schemas.openxmlformats.org/officeDocument/2006/relationships" ref="H15" r:id="rId17"/>
    <hyperlink xmlns:r="http://schemas.openxmlformats.org/officeDocument/2006/relationships" ref="I15" r:id="rId18"/>
    <hyperlink xmlns:r="http://schemas.openxmlformats.org/officeDocument/2006/relationships" ref="J15" r:id="rId19"/>
    <hyperlink xmlns:r="http://schemas.openxmlformats.org/officeDocument/2006/relationships" ref="K15" r:id="rId20"/>
    <hyperlink xmlns:r="http://schemas.openxmlformats.org/officeDocument/2006/relationships" ref="H17" r:id="rId21"/>
    <hyperlink xmlns:r="http://schemas.openxmlformats.org/officeDocument/2006/relationships" ref="I17" r:id="rId22"/>
    <hyperlink xmlns:r="http://schemas.openxmlformats.org/officeDocument/2006/relationships" ref="J17" r:id="rId23"/>
    <hyperlink xmlns:r="http://schemas.openxmlformats.org/officeDocument/2006/relationships" ref="K17" r:id="rId24"/>
    <hyperlink xmlns:r="http://schemas.openxmlformats.org/officeDocument/2006/relationships" ref="L17" r:id="rId25"/>
    <hyperlink xmlns:r="http://schemas.openxmlformats.org/officeDocument/2006/relationships" ref="M17" r:id="rId26"/>
    <hyperlink xmlns:r="http://schemas.openxmlformats.org/officeDocument/2006/relationships" ref="H18" r:id="rId27"/>
    <hyperlink xmlns:r="http://schemas.openxmlformats.org/officeDocument/2006/relationships" ref="I18" r:id="rId28"/>
    <hyperlink xmlns:r="http://schemas.openxmlformats.org/officeDocument/2006/relationships" ref="J18" r:id="rId29"/>
    <hyperlink xmlns:r="http://schemas.openxmlformats.org/officeDocument/2006/relationships" ref="K18" r:id="rId30"/>
    <hyperlink xmlns:r="http://schemas.openxmlformats.org/officeDocument/2006/relationships" ref="L18" r:id="rId3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8860B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6" customWidth="1" min="3" max="3"/>
    <col width="11" customWidth="1" min="4" max="4"/>
    <col width="11" customWidth="1" min="5" max="5"/>
    <col width="13" customWidth="1" min="6" max="6"/>
    <col width="46" customWidth="1" min="7" max="7"/>
  </cols>
  <sheetData>
    <row r="1" ht="22" customHeight="1">
      <c r="A1" s="1" t="inlineStr">
        <is>
          <t>兩態情境矩陣　Scenario Matrix</t>
        </is>
      </c>
    </row>
    <row r="2">
      <c r="A2" s="2" t="inlineStr">
        <is>
          <t>狀態機率為可調整輸入（黃底藍字）；期望值 ＝ P(A)×A 報酬 + P(B)×B 報酬，報酬分 −2 至 +2</t>
        </is>
      </c>
    </row>
    <row r="4" ht="32" customHeight="1">
      <c r="B4" s="3" t="inlineStr">
        <is>
          <t>狀態 A：輸油管如期重啟、油續回落</t>
        </is>
      </c>
      <c r="C4" s="6" t="inlineStr">
        <is>
          <t>美國能源部長 Chris Wright 稱沙特 East–West 管「數日內」恢復；油價自 $105.83 / $102.43 進一步回落，通脹預期降溫，長端孳息喘定</t>
        </is>
      </c>
      <c r="D4" s="14" t="inlineStr">
        <is>
          <t>P(A)</t>
        </is>
      </c>
      <c r="E4" s="15" t="n">
        <v>0.55</v>
      </c>
    </row>
    <row r="5" ht="32" customHeight="1">
      <c r="B5" s="3" t="inlineStr">
        <is>
          <t>狀態 B：修復需 5–6 週或再有襲擊、油再爆</t>
        </is>
      </c>
      <c r="C5" s="6" t="inlineStr">
        <is>
          <t>業界估計修復需 5–6 週，與官方說法矛盾；或 Hormuz 再有船隻遇襲（上週六以來已至少兩艘）。油再破頂，孳息續升</t>
        </is>
      </c>
      <c r="D5" s="14" t="inlineStr">
        <is>
          <t>P(B)</t>
        </is>
      </c>
      <c r="E5" s="16">
        <f>1-E4</f>
        <v>0.44999999999999996</v>
      </c>
    </row>
    <row r="7">
      <c r="A7" s="9" t="inlineStr">
        <is>
          <t>機率為分析員主觀設定：能源部長的公開表態具體且可證偽，但業界修復估計與之矛盾，故未給予壓倒性權重。改動 E4 即可重算下表。</t>
        </is>
      </c>
    </row>
    <row r="9" ht="30" customHeight="1">
      <c r="A9" s="17" t="inlineStr">
        <is>
          <t>組別</t>
        </is>
      </c>
      <c r="B9" s="17" t="inlineStr">
        <is>
          <t>主題</t>
        </is>
      </c>
      <c r="C9" s="17" t="inlineStr">
        <is>
          <t>在狀態 A 下的機制</t>
        </is>
      </c>
      <c r="D9" s="17" t="inlineStr">
        <is>
          <t>A 報酬
−2~+2</t>
        </is>
      </c>
      <c r="E9" s="17" t="inlineStr">
        <is>
          <t>B 報酬
−2~+2</t>
        </is>
      </c>
      <c r="F9" s="17" t="inlineStr">
        <is>
          <t>期望值</t>
        </is>
      </c>
      <c r="G9" s="17" t="inlineStr">
        <is>
          <t>在狀態 B 下的機制</t>
        </is>
      </c>
    </row>
    <row r="10" ht="46" customHeight="1">
      <c r="A10" s="88" t="inlineStr">
        <is>
          <t>①</t>
        </is>
      </c>
      <c r="B10" s="50" t="inlineStr">
        <is>
          <t>煉油與成品油</t>
        </is>
      </c>
      <c r="C10" s="60" t="inlineStr">
        <is>
          <t>原料成本下降而中東逾 20% 煉油產能實體損毀未復 → 裂解價差維持 → 毛利擴張</t>
        </is>
      </c>
      <c r="D10" s="99" t="n">
        <v>2</v>
      </c>
      <c r="E10" s="99" t="n">
        <v>2</v>
      </c>
      <c r="F10" s="100">
        <f>$E$4*D10+(1-$E$4)*E10</f>
        <v>2.0</v>
      </c>
      <c r="G10" s="60" t="inlineStr">
        <is>
          <t>成品油價領先原油上漲，裂解再擴；俄羅斯柴油禁令疊加 → 毛利同樣擴張</t>
        </is>
      </c>
    </row>
    <row r="11" ht="46" customHeight="1">
      <c r="A11" s="88" t="inlineStr">
        <is>
          <t>②</t>
        </is>
      </c>
      <c r="B11" s="50" t="inlineStr">
        <is>
          <t>醫療服務／工具</t>
        </is>
      </c>
      <c r="C11" s="60" t="inlineStr">
        <is>
          <t>無油品投入、本土收入；資金自能源與銀行流入的主要去處</t>
        </is>
      </c>
      <c r="D11" s="99" t="n">
        <v>2</v>
      </c>
      <c r="E11" s="99" t="n">
        <v>2</v>
      </c>
      <c r="F11" s="100">
        <f>$E$4*D11+(1-$E$4)*E11</f>
        <v>2.0</v>
      </c>
      <c r="G11" s="60" t="inlineStr">
        <is>
          <t>唯一完全不受油價傳導的板塊；滯脹環境下的防守核心</t>
        </is>
      </c>
    </row>
    <row r="12" ht="46" customHeight="1">
      <c r="A12" s="88" t="inlineStr">
        <is>
          <t>③</t>
        </is>
      </c>
      <c r="B12" s="50" t="inlineStr">
        <is>
          <t>電氣設備與電網</t>
        </is>
      </c>
      <c r="C12" s="60" t="inlineStr">
        <is>
          <t>AI 資本開支不受利率影響（Warsh 親自點名為通脹來源），訂單與定價權俱在</t>
        </is>
      </c>
      <c r="D12" s="99" t="n">
        <v>2</v>
      </c>
      <c r="E12" s="99" t="n">
        <v>0</v>
      </c>
      <c r="F12" s="100">
        <f>$E$4*D12+(1-$E$4)*E12</f>
        <v>1.1</v>
      </c>
      <c r="G12" s="60" t="inlineStr">
        <is>
          <t>高 beta 工業股，全面去風險時同跌；但訂單不受油價直接影響</t>
        </is>
      </c>
    </row>
    <row r="13" ht="46" customHeight="1">
      <c r="A13" s="88" t="inlineStr">
        <is>
          <t>④</t>
        </is>
      </c>
      <c r="B13" s="50" t="inlineStr">
        <is>
          <t>產險與再保</t>
        </is>
      </c>
      <c r="C13" s="60" t="inlineStr">
        <is>
          <t>浮存金以 5% 再投資，無存款 beta、無持債虧損</t>
        </is>
      </c>
      <c r="D13" s="99" t="n">
        <v>1</v>
      </c>
      <c r="E13" s="99" t="n">
        <v>2</v>
      </c>
      <c r="F13" s="100">
        <f>$E$4*D13+(1-$E$4)*E13</f>
        <v>1.45</v>
      </c>
      <c r="G13" s="60" t="inlineStr">
        <is>
          <t>戰爭險保費由船體價值 0.25% 升至 7.5–10%，硬市場加碼；息差收益不變</t>
        </is>
      </c>
    </row>
    <row r="14" ht="46" customHeight="1">
      <c r="A14" s="88" t="inlineStr">
        <is>
          <t>⑤</t>
        </is>
      </c>
      <c r="B14" s="50" t="inlineStr">
        <is>
          <t>AI 半導體（戰術）</t>
        </is>
      </c>
      <c r="C14" s="60" t="inlineStr">
        <is>
          <t>利率免疫敘事延續，但 5 日仍為負 → 屬反彈非趨勢</t>
        </is>
      </c>
      <c r="D14" s="99" t="n">
        <v>1</v>
      </c>
      <c r="E14" s="99" t="n">
        <v>0</v>
      </c>
      <c r="F14" s="100">
        <f>$E$4*D14+(1-$E$4)*E14</f>
        <v>0.55</v>
      </c>
      <c r="G14" s="60" t="inlineStr">
        <is>
          <t>四巫日 + BOJ 疊加時最先被拋；單日 5–9% 漲幅最易回吐</t>
        </is>
      </c>
    </row>
    <row r="15" ht="46" customHeight="1">
      <c r="A15" s="88" t="inlineStr">
        <is>
          <t>⑥</t>
        </is>
      </c>
      <c r="B15" s="50" t="inlineStr">
        <is>
          <t>鋼鐵（觀察）</t>
        </is>
      </c>
      <c r="C15" s="60" t="inlineStr">
        <is>
          <t>本土、關稅保護，對利率不如建商敏感；但 5 日僅 +0.10%，方向未確立</t>
        </is>
      </c>
      <c r="D15" s="99" t="n">
        <v>0</v>
      </c>
      <c r="E15" s="99" t="n">
        <v>1</v>
      </c>
      <c r="F15" s="100">
        <f>$E$4*D15+(1-$E$4)*E15</f>
        <v>0.44999999999999996</v>
      </c>
      <c r="G15" s="60" t="inlineStr">
        <is>
          <t>戰爭與基建需求支撐；能源成本上升則侵蝕電爐煉鋼毛利</t>
        </is>
      </c>
    </row>
    <row r="16" ht="46" customHeight="1">
      <c r="A16" s="94" t="inlineStr">
        <is>
          <t>✕</t>
        </is>
      </c>
      <c r="B16" s="38" t="inlineStr">
        <is>
          <t>頁岩 E&amp;P／油服</t>
        </is>
      </c>
      <c r="C16" s="40" t="inlineStr">
        <is>
          <t>供應恢復直擊多頭核心，擁擠倉位續解</t>
        </is>
      </c>
      <c r="D16" s="101" t="n">
        <v>-2</v>
      </c>
      <c r="E16" s="101" t="n">
        <v>2</v>
      </c>
      <c r="F16" s="102">
        <f>$E$4*D16+(1-$E$4)*E16</f>
        <v>-0.20000000000000018</v>
      </c>
      <c r="G16" s="40" t="inlineStr">
        <is>
          <t>油再爆則大幅反彈——這是本清單最大的反向風險</t>
        </is>
      </c>
    </row>
    <row r="17" ht="46" customHeight="1">
      <c r="A17" s="94" t="inlineStr">
        <is>
          <t>✕</t>
        </is>
      </c>
      <c r="B17" s="38" t="inlineStr">
        <is>
          <t>區域銀行／投行</t>
        </is>
      </c>
      <c r="C17" s="40" t="inlineStr">
        <is>
          <t>長端孳息喘定可帶來技術反彈，但存款成本與 CRE 問題不變</t>
        </is>
      </c>
      <c r="D17" s="101" t="n">
        <v>-1</v>
      </c>
      <c r="E17" s="101" t="n">
        <v>-2</v>
      </c>
      <c r="F17" s="102">
        <f>$E$4*D17+(1-$E$4)*E17</f>
        <v>-1.45</v>
      </c>
      <c r="G17" s="40" t="inlineStr">
        <is>
          <t>孳息再升 → 持債虧損擴大、deal flow 續凍</t>
        </is>
      </c>
    </row>
    <row r="18" ht="46" customHeight="1">
      <c r="A18" s="94" t="inlineStr">
        <is>
          <t>✕</t>
        </is>
      </c>
      <c r="B18" s="38" t="inlineStr">
        <is>
          <t>鈾／SMR／稀土</t>
        </is>
      </c>
      <c r="C18" s="40" t="inlineStr">
        <is>
          <t>孳息喘定可帶來超跌反彈，但無現金流的估值問題不變</t>
        </is>
      </c>
      <c r="D18" s="101" t="n">
        <v>-1</v>
      </c>
      <c r="E18" s="101" t="n">
        <v>-2</v>
      </c>
      <c r="F18" s="102">
        <f>$E$4*D18+(1-$E$4)*E18</f>
        <v>-1.45</v>
      </c>
      <c r="G18" s="40" t="inlineStr">
        <is>
          <t>實質利率再升 → 長久期無盈利資產續殺</t>
        </is>
      </c>
    </row>
    <row r="19" ht="46" customHeight="1">
      <c r="A19" s="94" t="inlineStr">
        <is>
          <t>✕</t>
        </is>
      </c>
      <c r="B19" s="38" t="inlineStr">
        <is>
          <t>住宅建商／債券代理</t>
        </is>
      </c>
      <c r="C19" s="40" t="inlineStr">
        <is>
          <t>孳息回落是唯一救贖，但 9/17 新屋開工先行</t>
        </is>
      </c>
      <c r="D19" s="101" t="n">
        <v>-1</v>
      </c>
      <c r="E19" s="101" t="n">
        <v>-2</v>
      </c>
      <c r="F19" s="102">
        <f>$E$4*D19+(1-$E$4)*E19</f>
        <v>-1.45</v>
      </c>
      <c r="G19" s="40" t="inlineStr">
        <is>
          <t>按揭利率續升 → 需求與估值雙殺</t>
        </is>
      </c>
    </row>
    <row r="20">
      <c r="B20" s="7" t="inlineStr">
        <is>
          <t>受惠組期望值平均</t>
        </is>
      </c>
      <c r="F20" s="103">
        <f>AVERAGE(F10:F15)</f>
        <v>1.2583333333333333</v>
      </c>
    </row>
    <row r="21">
      <c r="B21" s="7" t="inlineStr">
        <is>
          <t>迴避組期望值平均</t>
        </is>
      </c>
      <c r="F21" s="103">
        <f>AVERAGE(F16:F19)</f>
        <v>-1.1375</v>
      </c>
    </row>
    <row r="23" ht="42" customHeight="1">
      <c r="A23" s="9" t="inlineStr">
        <is>
          <t>讀法：只有第①組與第②組在兩態下都是 +2 ——這就是「不賭油價方向」的具體意思。第③、⑤組在狀態 B 下歸零，故列為次級與戰術倉。頁岩 E&amp;P 的 A/B 報酬為 −2/+2，是本清單最大的單一反向風險：若輸油管修復證實需 5–6 週，該組會強勢反彈。</t>
        </is>
      </c>
    </row>
  </sheetData>
  <mergeCells count="4">
    <mergeCell ref="A2:G2"/>
    <mergeCell ref="A1:G1"/>
    <mergeCell ref="A7:G7"/>
    <mergeCell ref="A23:G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95959"/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66" customWidth="1" min="3" max="3"/>
    <col width="34" customWidth="1" min="4" max="4"/>
  </cols>
  <sheetData>
    <row r="1" ht="22" customHeight="1">
      <c r="A1" s="1" t="inlineStr">
        <is>
          <t>數據來源、方法與已知限制</t>
        </is>
      </c>
    </row>
    <row r="2">
      <c r="A2" s="2" t="inlineStr">
        <is>
          <t>R1.01　·　生成 2026-09-17 15:16 HKT　·　模型 claude-opus-5（high effort）</t>
        </is>
      </c>
    </row>
    <row r="4">
      <c r="A4" s="3" t="inlineStr">
        <is>
          <t>一、價格與成交量</t>
        </is>
      </c>
    </row>
    <row r="5" ht="30" customHeight="1">
      <c r="A5" s="4" t="inlineStr">
        <is>
          <t>項目</t>
        </is>
      </c>
      <c r="B5" s="4" t="inlineStr">
        <is>
          <t>內容</t>
        </is>
      </c>
      <c r="C5" s="4" t="inlineStr">
        <is>
          <t>說明</t>
        </is>
      </c>
      <c r="D5" s="4" t="inlineStr">
        <is>
          <t>欄位</t>
        </is>
      </c>
    </row>
    <row r="6" ht="44" customHeight="1">
      <c r="A6" s="5" t="inlineStr">
        <is>
          <t>來源</t>
        </is>
      </c>
      <c r="B6" s="6" t="inlineStr">
        <is>
          <t>Yahoo Finance 每日 OHLCV，經 GitHub Actions runner 以 yfinance 抓取後提交回倉庫</t>
        </is>
      </c>
      <c r="C6" s="6" t="inlineStr">
        <is>
          <t>本環境的出口代理封鎖所有財經網站，直接抓取不可行；故於 runner 上執行後將資料提交回 repo</t>
        </is>
      </c>
      <c r="D6" s="9" t="inlineStr">
        <is>
          <t>data/yahoo/broad_2026-09-18.csv.gz</t>
        </is>
      </c>
    </row>
    <row r="7" ht="44" customHeight="1">
      <c r="A7" s="5" t="inlineStr">
        <is>
          <t>基準日</t>
        </is>
      </c>
      <c r="B7" s="6" t="inlineStr">
        <is>
          <t>2026-09-16（美東週三，FOMC 決議日）收市</t>
        </is>
      </c>
      <c r="C7" s="6" t="inlineStr">
        <is>
          <t>前收＝2026-09-15；5 日前收＝2026-09-09（5 個交易日）</t>
        </is>
      </c>
      <c r="D7" s="9" t="inlineStr">
        <is>
          <t>清單頁 E/F/G 欄</t>
        </is>
      </c>
    </row>
    <row r="8" ht="44" customHeight="1">
      <c r="A8" s="5" t="inlineStr">
        <is>
          <t>成交量基準</t>
        </is>
      </c>
      <c r="B8" s="6" t="inlineStr">
        <is>
          <t>該股自身前 20 個交易日的成交量中位數</t>
        </is>
      </c>
      <c r="C8" s="6" t="inlineStr">
        <is>
          <t>相對量 ＝ 9/16 成交量 ÷ 該中位數。1.0 ＝ 正常</t>
        </is>
      </c>
      <c r="D8" s="9" t="inlineStr">
        <is>
          <t>清單頁 K/L 欄</t>
        </is>
      </c>
    </row>
    <row r="9" ht="44" customHeight="1">
      <c r="A9" s="5" t="inlineStr">
        <is>
          <t>代號連結</t>
        </is>
      </c>
      <c r="B9" s="6" t="inlineStr">
        <is>
          <t>工作簿內每一個代號都連結到 TradingView 圖表版面 chart/Q1c5VWwD，與本項目的 HTML 報告同一個版面</t>
        </is>
      </c>
      <c r="C9" s="6" t="inlineStr">
        <is>
          <t>共 1,073 個可點擊儲存格：受惠清單 25、迴避清單 26、板塊成分股 498、代號索引 493、催化劑日程 31。「催化劑日程」的敘述欄仍以文字提及代號（Excel 每格只容許一個連結），該行右側的「相關代號」欄提供可點擊版本</t>
        </is>
      </c>
      <c r="D9" s="9" t="inlineStr">
        <is>
          <t>全部工作表</t>
        </is>
      </c>
    </row>
    <row r="10" ht="44" customHeight="1">
      <c r="A10" s="5" t="inlineStr">
        <is>
          <t>9/16 結算狀態</t>
        </is>
      </c>
      <c r="B10" s="6" t="inlineStr">
        <is>
          <t>9/16 由 Yahoo 收市後日線提供；日線鏡像當日 14:15 ET（收市前）提交，經跨來源裁決剔除</t>
        </is>
      </c>
      <c r="C10" s="6" t="inlineStr">
        <is>
          <t>9/16 成交量尚未結算（結算印記佔比 1.8%）。實測：收盤價誤差中位/p95 皆為 0.0000%；成交量 p95 約 15%</t>
        </is>
      </c>
      <c r="D10" s="9" t="inlineStr">
        <is>
          <t>影響淨額，不影響收盤價</t>
        </is>
      </c>
    </row>
    <row r="12">
      <c r="A12" s="3" t="inlineStr">
        <is>
          <t>二、資金流分數方法（「板塊資金流證據」頁）</t>
        </is>
      </c>
    </row>
    <row r="13" ht="26" customHeight="1">
      <c r="A13" s="6" t="inlineStr">
        <is>
          <t>• 方向 A ＝ tanh((個股回報 − 全市中位回報) / 0.02)；量能 B ＝ clip(log2(clip(成交量/20日中位量, 0.25, 4))/2, −1, 1)；收位 C ＝ ((收−低)−(高−收))/(高−低)</t>
        </is>
      </c>
    </row>
    <row r="14" ht="26" customHeight="1">
      <c r="A14" s="6" t="inlineStr">
        <is>
          <t>• 單股強度 f ＝ (0.70A + 0.30C) × (1 + 0.50B)；籃子以成交金額加權，並用逐次注水法將單一成分上限壓至 40%</t>
        </is>
      </c>
    </row>
    <row r="15" ht="26" customHeight="1">
      <c r="A15" s="6" t="inlineStr">
        <is>
          <t>• 每日作橫截面 z 分數後轉百分位（0–100）；5 日綜合採用權重 [1.0, 1.15, 1.35, 1.6, 1.9]（越近權重越高）</t>
        </is>
      </c>
    </row>
    <row r="16" ht="26" customHeight="1">
      <c r="A16" s="6" t="inlineStr">
        <is>
          <t>• 淨額估算（mfd）＝ Σ(收位 C × 成交金額)。★ 這是價量代理，不是真實資金流：13F 與 ETF 申贖資料在本環境不可達</t>
        </is>
      </c>
    </row>
    <row r="17" ht="26" customHeight="1">
      <c r="A17" s="6" t="inlineStr">
        <is>
          <t>• 全市中位採用「平衡面板」：僅計入每個計分日及其前一日均有報價的股票，2026-09-16 為 1,658 檔</t>
        </is>
      </c>
    </row>
    <row r="19">
      <c r="A19" s="3" t="inlineStr">
        <is>
          <t>三、已知限制與缺陷（必讀）</t>
        </is>
      </c>
    </row>
    <row r="20" ht="30" customHeight="1">
      <c r="A20" s="4" t="inlineStr">
        <is>
          <t>項目</t>
        </is>
      </c>
      <c r="B20" s="4" t="inlineStr">
        <is>
          <t>內容</t>
        </is>
      </c>
      <c r="C20" s="4" t="inlineStr">
        <is>
          <t>影響範圍</t>
        </is>
      </c>
      <c r="D20" s="4" t="inlineStr">
        <is>
          <t>狀態</t>
        </is>
      </c>
    </row>
    <row r="21" ht="76" customHeight="1">
      <c r="A21" s="87" t="inlineStr">
        <is>
          <t>⚠ LNG 組別數據缺陷</t>
        </is>
      </c>
      <c r="B21" s="98" t="inlineStr">
        <is>
          <t>「LNG液化天然氣」組的成分股 NFE（New Fortress Energy）做了反向拆股：收市價由 9/11 的 $0.33 跳至 9/15 的 $12.77。Yahoo 的 close 欄未還原拆股（adj_close 有），引擎使用 raw close，產生 +3771% 的單日回報</t>
        </is>
      </c>
      <c r="C21" s="98" t="inlineStr">
        <is>
          <t>該組 5 日回報顯示 +9111%（垃圾值），且 9/10 與 9/14 兩日分數因 tanh 飽和被高估為滿分上升日。111 組中僅此 1 組受影響（現排第 72 位），其餘 110 組不受影響。本清單所推薦與迴避的標的均不在該組</t>
        </is>
      </c>
      <c r="D21" s="98" t="inlineStr">
        <is>
          <t>已在「板塊資金流證據」頁標記為 n/a；修正版待用戶確認</t>
        </is>
      </c>
    </row>
    <row r="22" ht="76" customHeight="1">
      <c r="A22" s="5" t="inlineStr">
        <is>
          <t>※ 淨額估算為臨時值</t>
        </is>
      </c>
      <c r="B22" s="6" t="inlineStr">
        <is>
          <t>9/16 成交量尚未結算。實測未結算 vs 結算：分數 p95 差 1.82 分（滿分 100）、名次最多差 4；但淨額估算中位差 1.22%、p95 16.3%、最大 75.4%</t>
        </is>
      </c>
      <c r="C22" s="6" t="inlineStr">
        <is>
          <t>「板塊資金流證據」頁 M、N 欄的美元金額屬臨時值；分數與排名不受影響</t>
        </is>
      </c>
      <c r="D22" s="6" t="inlineStr">
        <is>
          <t>已於頁首與欄標題以「※」標註</t>
        </is>
      </c>
    </row>
    <row r="23" ht="76" customHeight="1">
      <c r="A23" s="5" t="inlineStr">
        <is>
          <t>資金流為價量代理</t>
        </is>
      </c>
      <c r="B23" s="6" t="inlineStr">
        <is>
          <t>無真實基金流向資料（13F、ETF 申贖在本環境不可達）</t>
        </is>
      </c>
      <c r="C23" s="6" t="inlineStr">
        <is>
          <t>所有「資金流入／流出」均為價格與成交量推算，非實際申贖</t>
        </is>
      </c>
      <c r="D23" s="6" t="inlineStr">
        <is>
          <t>設計限制，非缺陷</t>
        </is>
      </c>
    </row>
    <row r="24" ht="76" customHeight="1">
      <c r="A24" s="5" t="inlineStr">
        <is>
          <t>判斷分數為主觀</t>
        </is>
      </c>
      <c r="B24" s="6" t="inlineStr">
        <is>
          <t>清單頁 M–P 欄（機制／資金流／未伸展／廣度，各 0–5）為分析員主觀評分，非計算所得</t>
        </is>
      </c>
      <c r="C24" s="6" t="inlineStr">
        <is>
          <t>綜合分 Q 欄由這四項加權而成；權重列於該頁黃色格，可自行調整重算</t>
        </is>
      </c>
      <c r="D24" s="6" t="inlineStr">
        <is>
          <t>已以藍字標示為輸入值</t>
        </is>
      </c>
    </row>
    <row r="25" ht="76" customHeight="1">
      <c r="A25" s="5" t="inlineStr">
        <is>
          <t>油輪／航運未納入追蹤範圍</t>
        </is>
      </c>
      <c r="B25" s="6" t="inlineStr">
        <is>
          <t>Hormuz 最直接的受惠者為油輪（戰爭險費率由船體價值 0.25% 升至 7.5–10%，VLCC 日租金曾破 $100 萬），但 111 個子板塊中的「貨運與物流」僅涵蓋 UPS/FDX/ODFL 等包裹與陸運，不含油輪</t>
        </is>
      </c>
      <c r="C25" s="6" t="inlineStr">
        <is>
          <t>FRO、DHT、INSW、TNK、STNG 等油輪股不在本追蹤宇宙內，故未列入清單。另需注意：油輪相關 ETF 年內已漲逾 3,600%，屬極度伸展</t>
        </is>
      </c>
      <c r="D25" s="6" t="inlineStr">
        <is>
          <t>已知覆蓋缺口</t>
        </is>
      </c>
    </row>
    <row r="26" ht="76" customHeight="1">
      <c r="A26" s="5" t="inlineStr">
        <is>
          <t>本表性質</t>
        </is>
      </c>
      <c r="B26" s="6" t="inlineStr">
        <is>
          <t>研究紀錄，非投資建議。3 日為極短線窗口，個股結果由倉位與流動性主導的成分高於基本面</t>
        </is>
      </c>
      <c r="C26" s="6" t="inlineStr">
        <is>
          <t>全表</t>
        </is>
      </c>
      <c r="D26" s="6" t="inlineStr">
        <is>
          <t>—</t>
        </is>
      </c>
    </row>
    <row r="28">
      <c r="A28" s="3" t="inlineStr">
        <is>
          <t>四、新聞與宏觀資料來源</t>
        </is>
      </c>
    </row>
    <row r="29" ht="30" customHeight="1">
      <c r="A29" s="4" t="inlineStr">
        <is>
          <t>主題</t>
        </is>
      </c>
      <c r="B29" s="4" t="inlineStr">
        <is>
          <t>出處</t>
        </is>
      </c>
      <c r="C29" s="4" t="inlineStr">
        <is>
          <t>連結</t>
        </is>
      </c>
      <c r="D29" s="4" t="inlineStr">
        <is>
          <t>取用日期</t>
        </is>
      </c>
    </row>
    <row r="30">
      <c r="A30" s="6" t="inlineStr">
        <is>
          <t>FOMC 9/16 加息 25bp 至 3.75–4.00%</t>
        </is>
      </c>
      <c r="B30" s="104" t="inlineStr">
        <is>
          <t>CNBC</t>
        </is>
      </c>
      <c r="C30" s="105" t="inlineStr">
        <is>
          <t>https://www.cnbc.com/2026/09/16/fed-rate-decision-september-2026.html</t>
        </is>
      </c>
      <c r="D30" s="2" t="inlineStr">
        <is>
          <t>2026-09-17</t>
        </is>
      </c>
    </row>
    <row r="31">
      <c r="A31" s="6" t="inlineStr">
        <is>
          <t>Warsh：通脹仍然過高（會議實錄）</t>
        </is>
      </c>
      <c r="B31" s="104" t="inlineStr">
        <is>
          <t>CNBC</t>
        </is>
      </c>
      <c r="C31" s="105" t="inlineStr">
        <is>
          <t>https://www.cnbc.com/2026/09/16/fed-meeting-today-live-updates.html</t>
        </is>
      </c>
      <c r="D31" s="2" t="inlineStr">
        <is>
          <t>2026-09-17</t>
        </is>
      </c>
    </row>
    <row r="32">
      <c r="A32" s="6" t="inlineStr">
        <is>
          <t>2023 年以來首次加息</t>
        </is>
      </c>
      <c r="B32" s="104" t="inlineStr">
        <is>
          <t>Fox Business</t>
        </is>
      </c>
      <c r="C32" s="105" t="inlineStr">
        <is>
          <t>https://www.foxbusiness.com/economy/federal-reserve-interest-rate-decision-september-16-2026</t>
        </is>
      </c>
      <c r="D32" s="2" t="inlineStr">
        <is>
          <t>2026-09-17</t>
        </is>
      </c>
    </row>
    <row r="33">
      <c r="A33" s="6" t="inlineStr">
        <is>
          <t>9/16 收市：加息後道指標普急跌</t>
        </is>
      </c>
      <c r="B33" s="104" t="inlineStr">
        <is>
          <t>TheStreet</t>
        </is>
      </c>
      <c r="C33" s="105" t="inlineStr">
        <is>
          <t>https://www.thestreet.com/stock-market-today/stock-market-today-dow-jones-sp-500-nasdaq-updates-sept-16-2026</t>
        </is>
      </c>
      <c r="D33" s="2" t="inlineStr">
        <is>
          <t>2026-09-17</t>
        </is>
      </c>
    </row>
    <row r="34">
      <c r="A34" s="6" t="inlineStr">
        <is>
          <t>9/15：孳息創 19 年新高</t>
        </is>
      </c>
      <c r="B34" s="104" t="inlineStr">
        <is>
          <t>TheStreet</t>
        </is>
      </c>
      <c r="C34" s="105" t="inlineStr">
        <is>
          <t>https://www.thestreet.com/stock-market-today/stock-market-today-sept-15-2026-dow-futures-slide-as-oil-prices-surge-and-treasury-yields-hit-2007-highs</t>
        </is>
      </c>
      <c r="D34" s="2" t="inlineStr">
        <is>
          <t>2026-09-17</t>
        </is>
      </c>
    </row>
    <row r="35">
      <c r="A35" s="6" t="inlineStr">
        <is>
          <t>油價下跌：沙特輸油管將於數日內重啟</t>
        </is>
      </c>
      <c r="B35" s="104" t="inlineStr">
        <is>
          <t>CNBC</t>
        </is>
      </c>
      <c r="C35" s="105" t="inlineStr">
        <is>
          <t>https://www.cnbc.com/2026/09/16/oil-prices-today-brent-wti-hormuz-iran-war.html</t>
        </is>
      </c>
      <c r="D35" s="2" t="inlineStr">
        <is>
          <t>2026-09-17</t>
        </is>
      </c>
    </row>
    <row r="36">
      <c r="A36" s="6" t="inlineStr">
        <is>
          <t>沙特關閉繞道 Hormuz 的關鍵輸油管</t>
        </is>
      </c>
      <c r="B36" s="104" t="inlineStr">
        <is>
          <t>CNBC</t>
        </is>
      </c>
      <c r="C36" s="105" t="inlineStr">
        <is>
          <t>https://www.cnbc.com/2026/09/13/oil-price-iran-war-strait-hormuz-saudi-pipeline.html</t>
        </is>
      </c>
      <c r="D36" s="2" t="inlineStr">
        <is>
          <t>2026-09-17</t>
        </is>
      </c>
    </row>
    <row r="37">
      <c r="A37" s="6" t="inlineStr">
        <is>
          <t>East–West 輸油管為何攸關全球石油</t>
        </is>
      </c>
      <c r="B37" s="104" t="inlineStr">
        <is>
          <t>Al Jazeera</t>
        </is>
      </c>
      <c r="C37" s="105" t="inlineStr">
        <is>
          <t>https://www.aljazeera.com/news/2026/9/14/why-saudi-arabias-east-west-pipeline-matters-for-global-oil</t>
        </is>
      </c>
      <c r="D37" s="2" t="inlineStr">
        <is>
          <t>2026-09-17</t>
        </is>
      </c>
    </row>
    <row r="38">
      <c r="A38" s="6" t="inlineStr">
        <is>
          <t>2026 年 East–West 輸油管襲擊事件</t>
        </is>
      </c>
      <c r="B38" s="104" t="inlineStr">
        <is>
          <t>Wikipedia</t>
        </is>
      </c>
      <c r="C38" s="105" t="inlineStr">
        <is>
          <t>https://en.wikipedia.org/wiki/2026_East%E2%80%93West_Crude_Oil_Pipeline_attack</t>
        </is>
      </c>
      <c r="D38" s="2" t="inlineStr">
        <is>
          <t>2026-09-17</t>
        </is>
      </c>
    </row>
    <row r="39">
      <c r="A39" s="6" t="inlineStr">
        <is>
          <t>$100/桶柴油裂解價差：2026 年全球煉油的脆弱性</t>
        </is>
      </c>
      <c r="B39" s="104" t="inlineStr">
        <is>
          <t>RBN Energy</t>
        </is>
      </c>
      <c r="C39" s="105" t="inlineStr">
        <is>
          <t>https://rbnenergy.com/daily-posts/blog/100bbl-diesel-crack-or-how-2026-exposed-fragility-global-refining</t>
        </is>
      </c>
      <c r="D39" s="2" t="inlineStr">
        <is>
          <t>2026-09-17</t>
        </is>
      </c>
    </row>
    <row r="40">
      <c r="A40" s="6" t="inlineStr">
        <is>
          <t>美國柴油價創紀錄、煉油毛利飆升</t>
        </is>
      </c>
      <c r="B40" s="104" t="inlineStr">
        <is>
          <t>Discovery Alert</t>
        </is>
      </c>
      <c r="C40" s="105" t="inlineStr">
        <is>
          <t>https://discoveryalert.com/analysis/us-diesel-prices-record-september-2026/</t>
        </is>
      </c>
      <c r="D40" s="2" t="inlineStr">
        <is>
          <t>2026-09-17</t>
        </is>
      </c>
    </row>
    <row r="41">
      <c r="A41" s="6" t="inlineStr">
        <is>
          <t>俄羅斯延長柴油出口禁令至 9/30</t>
        </is>
      </c>
      <c r="B41" s="104" t="inlineStr">
        <is>
          <t>Ukrainska Pravda</t>
        </is>
      </c>
      <c r="C41" s="105" t="inlineStr">
        <is>
          <t>https://www.pravda.com.ua/eng/news/2026/08/29/8050963/</t>
        </is>
      </c>
      <c r="D41" s="2" t="inlineStr">
        <is>
          <t>2026-09-17</t>
        </is>
      </c>
    </row>
    <row r="42">
      <c r="A42" s="6" t="inlineStr">
        <is>
          <t>無人機打擊迫使俄六大柴油煉廠半數減產</t>
        </is>
      </c>
      <c r="B42" s="104" t="inlineStr">
        <is>
          <t>Kyiv Post</t>
        </is>
      </c>
      <c r="C42" s="105" t="inlineStr">
        <is>
          <t>https://www.kyivpost.com/post/84579</t>
        </is>
      </c>
      <c r="D42" s="2" t="inlineStr">
        <is>
          <t>2026-09-17</t>
        </is>
      </c>
    </row>
    <row r="43">
      <c r="A43" s="6" t="inlineStr">
        <is>
          <t>Hormuz 航運戰爭險再度飆升</t>
        </is>
      </c>
      <c r="B43" s="104" t="inlineStr">
        <is>
          <t>The National</t>
        </is>
      </c>
      <c r="C43" s="105" t="inlineStr">
        <is>
          <t>https://www.thenationalnews.com/business/2026/07/17/war-risk-shipping-premium-surges-again-as-tensions-escalate-at-strait-of-hormuz/</t>
        </is>
      </c>
      <c r="D43" s="2" t="inlineStr">
        <is>
          <t>2026-09-17</t>
        </is>
      </c>
    </row>
    <row r="44">
      <c r="A44" s="6" t="inlineStr">
        <is>
          <t>中東航運保險成本上升（Marsh）</t>
        </is>
      </c>
      <c r="B44" s="104" t="inlineStr">
        <is>
          <t>S&amp;P Global</t>
        </is>
      </c>
      <c r="C44" s="105" t="inlineStr">
        <is>
          <t>https://www.spglobal.com/energy/en/news-research/latest-news/shipping/072226-middle-east-shipping-insurance-costs-rise-on-hormuz-risks-marsh</t>
        </is>
      </c>
      <c r="D44" s="2" t="inlineStr">
        <is>
          <t>2026-09-17</t>
        </is>
      </c>
    </row>
    <row r="45">
      <c r="A45" s="6" t="inlineStr">
        <is>
          <t>本週經濟數據日程（9/14–18）</t>
        </is>
      </c>
      <c r="B45" s="104" t="inlineStr">
        <is>
          <t>Kiplinger</t>
        </is>
      </c>
      <c r="C45" s="105" t="inlineStr">
        <is>
          <t>https://www.kiplinger.com/investing/economy/this-weeks-economic-calendar</t>
        </is>
      </c>
      <c r="D45" s="2" t="inlineStr">
        <is>
          <t>2026-09-17</t>
        </is>
      </c>
    </row>
    <row r="46">
      <c r="A46" s="6" t="inlineStr">
        <is>
          <t>9 月加息機率與利率期貨定價</t>
        </is>
      </c>
      <c r="B46" s="104" t="inlineStr">
        <is>
          <t>Yahoo Finance</t>
        </is>
      </c>
      <c r="C46" s="105" t="inlineStr">
        <is>
          <t>https://finance.yahoo.com/economy/policy/articles/fomc-september-2026-odds-rate-201618784.html</t>
        </is>
      </c>
      <c r="D46" s="2" t="inlineStr">
        <is>
          <t>2026-09-17</t>
        </is>
      </c>
    </row>
  </sheetData>
  <mergeCells count="7">
    <mergeCell ref="A1:D1"/>
    <mergeCell ref="A17:D17"/>
    <mergeCell ref="A15:D15"/>
    <mergeCell ref="A2:D2"/>
    <mergeCell ref="A16:D16"/>
    <mergeCell ref="A13:D13"/>
    <mergeCell ref="A14:D14"/>
  </mergeCells>
  <hyperlinks>
    <hyperlink xmlns:r="http://schemas.openxmlformats.org/officeDocument/2006/relationships" ref="C30" r:id="rId1"/>
    <hyperlink xmlns:r="http://schemas.openxmlformats.org/officeDocument/2006/relationships" ref="C31" r:id="rId2"/>
    <hyperlink xmlns:r="http://schemas.openxmlformats.org/officeDocument/2006/relationships" ref="C32" r:id="rId3"/>
    <hyperlink xmlns:r="http://schemas.openxmlformats.org/officeDocument/2006/relationships" ref="C33" r:id="rId4"/>
    <hyperlink xmlns:r="http://schemas.openxmlformats.org/officeDocument/2006/relationships" ref="C34" r:id="rId5"/>
    <hyperlink xmlns:r="http://schemas.openxmlformats.org/officeDocument/2006/relationships" ref="C35" r:id="rId6"/>
    <hyperlink xmlns:r="http://schemas.openxmlformats.org/officeDocument/2006/relationships" ref="C36" r:id="rId7"/>
    <hyperlink xmlns:r="http://schemas.openxmlformats.org/officeDocument/2006/relationships" ref="C37" r:id="rId8"/>
    <hyperlink xmlns:r="http://schemas.openxmlformats.org/officeDocument/2006/relationships" ref="C38" r:id="rId9"/>
    <hyperlink xmlns:r="http://schemas.openxmlformats.org/officeDocument/2006/relationships" ref="C39" r:id="rId10"/>
    <hyperlink xmlns:r="http://schemas.openxmlformats.org/officeDocument/2006/relationships" ref="C40" r:id="rId11"/>
    <hyperlink xmlns:r="http://schemas.openxmlformats.org/officeDocument/2006/relationships" ref="C41" r:id="rId12"/>
    <hyperlink xmlns:r="http://schemas.openxmlformats.org/officeDocument/2006/relationships" ref="C42" r:id="rId13"/>
    <hyperlink xmlns:r="http://schemas.openxmlformats.org/officeDocument/2006/relationships" ref="C43" r:id="rId14"/>
    <hyperlink xmlns:r="http://schemas.openxmlformats.org/officeDocument/2006/relationships" ref="C44" r:id="rId15"/>
    <hyperlink xmlns:r="http://schemas.openxmlformats.org/officeDocument/2006/relationships" ref="C45" r:id="rId16"/>
    <hyperlink xmlns:r="http://schemas.openxmlformats.org/officeDocument/2006/relationships" ref="C46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2026-09-17T07:20:29Z</dcterms:created>
  <dcterms:modified xsi:type="dcterms:W3CDTF">2026-09-17T07:20:29Z</dcterms:modified>
</cp:coreProperties>
</file>