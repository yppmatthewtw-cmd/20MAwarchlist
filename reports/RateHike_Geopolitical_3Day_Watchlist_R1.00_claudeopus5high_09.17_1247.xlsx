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 Summary" sheetId="1" state="visible" r:id="rId1"/>
    <sheet name="3日受惠清單 Watchlist" sheetId="2" state="visible" r:id="rId2"/>
    <sheet name="迴避清單 Avoid" sheetId="3" state="visible" r:id="rId3"/>
    <sheet name="板塊資金流證據 Evidence" sheetId="4" state="visible" r:id="rId4"/>
    <sheet name="催化劑日程 Catalysts" sheetId="5" state="visible" r:id="rId5"/>
    <sheet name="情境矩陣 Scenarios" sheetId="6" state="visible" r:id="rId6"/>
    <sheet name="數據來源與限制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%;[Red](0.00%);-"/>
    <numFmt numFmtId="166" formatCode="0.00&quot;x&quot;"/>
    <numFmt numFmtId="167" formatCode="+0.00;-0.00;0.00"/>
    <numFmt numFmtId="168" formatCode="$#,##0;($#,##0);-"/>
    <numFmt numFmtId="169" formatCode="+0;-0;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2E5A8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top style="medium">
        <color rgb="00B71C1C"/>
      </top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3" fontId="6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4" fontId="7" fillId="0" borderId="0" pivotButton="0" quotePrefix="0" xfId="0"/>
    <xf numFmtId="166" fontId="6" fillId="0" borderId="0" pivotButton="0" quotePrefix="0" xfId="0"/>
    <xf numFmtId="1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top" wrapText="1"/>
    </xf>
    <xf numFmtId="4" fontId="7" fillId="5" borderId="0" pivotButton="0" quotePrefix="0" xfId="0"/>
    <xf numFmtId="165" fontId="6" fillId="5" borderId="0" pivotButton="0" quotePrefix="0" xfId="0"/>
    <xf numFmtId="3" fontId="7" fillId="5" borderId="0" pivotButton="0" quotePrefix="0" xfId="0"/>
    <xf numFmtId="166" fontId="6" fillId="5" borderId="0" pivotButton="0" quotePrefix="0" xfId="0"/>
    <xf numFmtId="1" fontId="7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vertical="top" wrapText="1"/>
    </xf>
    <xf numFmtId="4" fontId="7" fillId="6" borderId="0" pivotButton="0" quotePrefix="0" xfId="0"/>
    <xf numFmtId="165" fontId="6" fillId="6" borderId="0" pivotButton="0" quotePrefix="0" xfId="0"/>
    <xf numFmtId="3" fontId="7" fillId="6" borderId="0" pivotButton="0" quotePrefix="0" xfId="0"/>
    <xf numFmtId="166" fontId="6" fillId="6" borderId="0" pivotButton="0" quotePrefix="0" xfId="0"/>
    <xf numFmtId="0" fontId="0" fillId="0" borderId="2" pivotButton="0" quotePrefix="0" xfId="0"/>
    <xf numFmtId="0" fontId="5" fillId="0" borderId="2" pivotButton="0" quotePrefix="0" xfId="0"/>
    <xf numFmtId="165" fontId="5" fillId="0" borderId="2" pivotButton="0" quotePrefix="0" xfId="0"/>
    <xf numFmtId="166" fontId="5" fillId="0" borderId="2" pivotButton="0" quotePrefix="0" xfId="0"/>
    <xf numFmtId="3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6" fillId="7" borderId="0" applyAlignment="1" pivotButton="0" quotePrefix="0" xfId="0">
      <alignment horizontal="center" vertical="center"/>
    </xf>
    <xf numFmtId="165" fontId="6" fillId="7" borderId="0" pivotButton="0" quotePrefix="0" xfId="0"/>
    <xf numFmtId="2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7" fontId="6" fillId="7" borderId="0" applyAlignment="1" pivotButton="0" quotePrefix="0" xfId="0">
      <alignment horizontal="center" vertical="center"/>
    </xf>
    <xf numFmtId="168" fontId="6" fillId="7" borderId="0" pivotButton="0" quotePrefix="0" xfId="0"/>
    <xf numFmtId="0" fontId="6" fillId="7" borderId="0" applyAlignment="1" pivotButton="0" quotePrefix="0" xfId="0">
      <alignment vertical="top" wrapText="1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6" fillId="0" borderId="0" pivotButton="0" quotePrefix="0" xfId="0"/>
    <xf numFmtId="3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7" fontId="6" fillId="6" borderId="0" applyAlignment="1" pivotButton="0" quotePrefix="0" xfId="0">
      <alignment horizontal="center" vertical="center"/>
    </xf>
    <xf numFmtId="168" fontId="6" fillId="6" borderId="0" pivotButton="0" quotePrefix="0" xfId="0"/>
    <xf numFmtId="3" fontId="6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horizontal="center" vertical="center"/>
    </xf>
    <xf numFmtId="165" fontId="6" fillId="8" borderId="0" pivotButton="0" quotePrefix="0" xfId="0"/>
    <xf numFmtId="0" fontId="8" fillId="8" borderId="0" pivotButton="0" quotePrefix="0" xfId="0"/>
    <xf numFmtId="2" fontId="6" fillId="8" borderId="0" applyAlignment="1" pivotButton="0" quotePrefix="0" xfId="0">
      <alignment horizontal="center" vertical="center"/>
    </xf>
    <xf numFmtId="166" fontId="6" fillId="8" borderId="0" applyAlignment="1" pivotButton="0" quotePrefix="0" xfId="0">
      <alignment horizontal="center" vertical="center"/>
    </xf>
    <xf numFmtId="167" fontId="6" fillId="8" borderId="0" applyAlignment="1" pivotButton="0" quotePrefix="0" xfId="0">
      <alignment horizontal="center" vertical="center"/>
    </xf>
    <xf numFmtId="168" fontId="6" fillId="8" borderId="0" pivotButton="0" quotePrefix="0" xfId="0"/>
    <xf numFmtId="0" fontId="8" fillId="8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5" fillId="8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top" wrapText="1"/>
    </xf>
    <xf numFmtId="0" fontId="5" fillId="7" borderId="0" applyAlignment="1" pivotButton="0" quotePrefix="0" xfId="0">
      <alignment horizontal="center" vertical="center"/>
    </xf>
    <xf numFmtId="169" fontId="7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center" vertical="center"/>
    </xf>
    <xf numFmtId="169" fontId="7" fillId="6" borderId="0" applyAlignment="1" pivotButton="0" quotePrefix="0" xfId="0">
      <alignment horizontal="center" vertical="center"/>
    </xf>
    <xf numFmtId="167" fontId="5" fillId="6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cnbc.com/2026/09/16/fed-rate-decision-september-2026.html" TargetMode="External" Id="rId1" /><Relationship Type="http://schemas.openxmlformats.org/officeDocument/2006/relationships/hyperlink" Target="https://www.cnbc.com/2026/09/16/fed-meeting-today-live-updates.html" TargetMode="External" Id="rId2" /><Relationship Type="http://schemas.openxmlformats.org/officeDocument/2006/relationships/hyperlink" Target="https://www.foxbusiness.com/economy/federal-reserve-interest-rate-decision-september-16-2026" TargetMode="External" Id="rId3" /><Relationship Type="http://schemas.openxmlformats.org/officeDocument/2006/relationships/hyperlink" Target="https://www.thestreet.com/stock-market-today/stock-market-today-dow-jones-sp-500-nasdaq-updates-sept-16-2026" TargetMode="External" Id="rId4" /><Relationship Type="http://schemas.openxmlformats.org/officeDocument/2006/relationships/hyperlink" Target="https://www.thestreet.com/stock-market-today/stock-market-today-sept-15-2026-dow-futures-slide-as-oil-prices-surge-and-treasury-yields-hit-2007-highs" TargetMode="External" Id="rId5" /><Relationship Type="http://schemas.openxmlformats.org/officeDocument/2006/relationships/hyperlink" Target="https://www.cnbc.com/2026/09/16/oil-prices-today-brent-wti-hormuz-iran-war.html" TargetMode="External" Id="rId6" /><Relationship Type="http://schemas.openxmlformats.org/officeDocument/2006/relationships/hyperlink" Target="https://www.cnbc.com/2026/09/13/oil-price-iran-war-strait-hormuz-saudi-pipeline.html" TargetMode="External" Id="rId7" /><Relationship Type="http://schemas.openxmlformats.org/officeDocument/2006/relationships/hyperlink" Target="https://www.aljazeera.com/news/2026/9/14/why-saudi-arabias-east-west-pipeline-matters-for-global-oil" TargetMode="External" Id="rId8" /><Relationship Type="http://schemas.openxmlformats.org/officeDocument/2006/relationships/hyperlink" Target="https://en.wikipedia.org/wiki/2026_East%E2%80%93West_Crude_Oil_Pipeline_attack" TargetMode="External" Id="rId9" /><Relationship Type="http://schemas.openxmlformats.org/officeDocument/2006/relationships/hyperlink" Target="https://rbnenergy.com/daily-posts/blog/100bbl-diesel-crack-or-how-2026-exposed-fragility-global-refining" TargetMode="External" Id="rId10" /><Relationship Type="http://schemas.openxmlformats.org/officeDocument/2006/relationships/hyperlink" Target="https://discoveryalert.com/analysis/us-diesel-prices-record-september-2026/" TargetMode="External" Id="rId11" /><Relationship Type="http://schemas.openxmlformats.org/officeDocument/2006/relationships/hyperlink" Target="https://www.pravda.com.ua/eng/news/2026/08/29/8050963/" TargetMode="External" Id="rId12" /><Relationship Type="http://schemas.openxmlformats.org/officeDocument/2006/relationships/hyperlink" Target="https://www.kyivpost.com/post/84579" TargetMode="External" Id="rId13" /><Relationship Type="http://schemas.openxmlformats.org/officeDocument/2006/relationships/hyperlink" Target="https://www.thenationalnews.com/business/2026/07/17/war-risk-shipping-premium-surges-again-as-tensions-escalate-at-strait-of-hormuz/" TargetMode="External" Id="rId14" /><Relationship Type="http://schemas.openxmlformats.org/officeDocument/2006/relationships/hyperlink" Target="https://www.spglobal.com/energy/en/news-research/latest-news/shipping/072226-middle-east-shipping-insurance-costs-rise-on-hormuz-risks-marsh" TargetMode="External" Id="rId15" /><Relationship Type="http://schemas.openxmlformats.org/officeDocument/2006/relationships/hyperlink" Target="https://www.kiplinger.com/investing/economy/this-weeks-economic-calendar" TargetMode="External" Id="rId16" /><Relationship Type="http://schemas.openxmlformats.org/officeDocument/2006/relationships/hyperlink" Target="https://finance.yahoo.com/economy/policy/articles/fomc-september-2026-odds-rate-201618784.html" TargetMode="External" Id="rId17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</cols>
  <sheetData>
    <row r="1" ht="22" customHeight="1">
      <c r="A1" s="1" t="inlineStr">
        <is>
          <t>加息及地緣政治 3 日觀察清單 R1.00</t>
        </is>
      </c>
    </row>
    <row r="2">
      <c r="A2" s="2" t="inlineStr">
        <is>
          <t>基準：2026-09-16 美東收市　·　涵蓋交易日：2026-09-17（四）、09-18（五）、09-21（一）　·　生成：2026-09-17 12:47 HKT　·　claude-opus-5 / high</t>
        </is>
      </c>
    </row>
    <row r="3"/>
    <row r="4">
      <c r="A4" s="3" t="inlineStr">
        <is>
          <t>一、當前 regime：三個同時發生的衝擊</t>
        </is>
      </c>
    </row>
    <row r="5" ht="30" customHeight="1">
      <c r="A5" s="4" t="inlineStr">
        <is>
          <t>面向</t>
        </is>
      </c>
      <c r="B5" s="4" t="inlineStr">
        <is>
          <t>事件</t>
        </is>
      </c>
      <c r="C5" s="4" t="inlineStr">
        <is>
          <t>關鍵數字</t>
        </is>
      </c>
      <c r="D5" s="4" t="inlineStr"/>
      <c r="E5" s="4" t="inlineStr"/>
      <c r="F5" s="4" t="inlineStr"/>
      <c r="G5" s="4" t="inlineStr">
        <is>
          <t>對股票的傳導</t>
        </is>
      </c>
    </row>
    <row r="6" ht="58" customHeight="1">
      <c r="A6" s="5" t="inlineStr">
        <is>
          <t>貨幣政策</t>
        </is>
      </c>
      <c r="B6" s="6" t="inlineStr">
        <is>
          <t>9/16 FOMC 加息 25bp 至 3.75–4.00%，2023 年 7 月以來首次，票數 12-0。主席 Kevin Warsh（非 Powell）</t>
        </is>
      </c>
      <c r="D6" s="6" t="inlineStr">
        <is>
          <t>點陣圖：18 人中 16 人預期年內再加一次，4 人預期兩次；年底中位 4.1%，2027/9 約 4.5%</t>
        </is>
      </c>
      <c r="G6" s="6" t="inlineStr">
        <is>
          <t>折現率上升 → 無盈利長久期資產受創最深；收息型金融受惠，持久期型金融受損</t>
        </is>
      </c>
    </row>
    <row r="7" ht="58" customHeight="1">
      <c r="A7" s="5" t="inlineStr">
        <is>
          <t>利率市場</t>
        </is>
      </c>
      <c r="B7" s="6" t="inlineStr">
        <is>
          <t>10 年期美債孳息突破 5%，19 年新高（2007 年以來最高）</t>
        </is>
      </c>
      <c r="D7" s="6" t="inlineStr">
        <is>
          <t>9/15 盤中 5.04%</t>
        </is>
      </c>
      <c r="G7" s="6" t="inlineStr">
        <is>
          <t>債券代理股（電信、公用、REIT）失去相對吸引力；按揭利率跟升壓住房地產</t>
        </is>
      </c>
    </row>
    <row r="8" ht="58" customHeight="1">
      <c r="A8" s="5" t="inlineStr">
        <is>
          <t>地緣政治</t>
        </is>
      </c>
      <c r="B8" s="6" t="inlineStr">
        <is>
          <t>9/10 無人機（經伊拉克）襲擊沙特 East–West 輸油管。該管是 Hormuz 的替代路線，伊朗封鎖海峽後承載每日 4–5 百萬桶</t>
        </is>
      </c>
      <c r="D8" s="6" t="inlineStr">
        <is>
          <t>油價當周 +8% 破 $100；月內 +16%。9/16 美國能源部長稱「數日內」重啟 → Brent −2.7% 收 $105.83、WTI −3.2% 收 $102.43</t>
        </is>
      </c>
      <c r="G8" s="6" t="inlineStr">
        <is>
          <t>原油供應可望恢復，但中東逾 20% 煉油產能因實體損毀停擺 → 原油與成品油分道揚鑣</t>
        </is>
      </c>
    </row>
    <row r="9"/>
    <row r="10">
      <c r="A10" s="3" t="inlineStr">
        <is>
          <t>二、核心判斷</t>
        </is>
      </c>
    </row>
    <row r="11" ht="30" customHeight="1">
      <c r="A11" s="6" t="inlineStr">
        <is>
          <t>• 未來 3 日只有兩種狀態：A＝輸油管如期重啟、油續回落、通脹預期降溫；B＝修復實際需 5–6 週（業界估計，與能源部長說法矛盾）或 Hormuz 再有船隻遇襲、油再爆上。</t>
        </is>
      </c>
    </row>
    <row r="12" ht="30" customHeight="1">
      <c r="A12" s="6" t="inlineStr">
        <is>
          <t>• 本清單不賭油價方向，而是持有「在 A、B 兩態下都贏」的兩個價差：①裂解價差 vs 原油（煉油商做多裂解、做空原油）；②收保費 vs 持久期（保險 vs 銀行）。</t>
        </is>
      </c>
    </row>
    <row r="13" ht="30" customHeight="1">
      <c r="A13" s="6" t="inlineStr">
        <is>
          <t>• 輸油管重啟恢復的是「原油供應」，不是「煉油產能」——後者因實體損毀無法隨管線修復而回來。這正是 9/16 能源板塊內部出現 7.4 個百分點分歧的原因。</t>
        </is>
      </c>
    </row>
    <row r="14"/>
    <row r="15">
      <c r="A15" s="3" t="inlineStr">
        <is>
          <t>三、清單統計（公式即時計算，隨清單頁改動更新）</t>
        </is>
      </c>
    </row>
    <row r="16" ht="30" customHeight="1">
      <c r="A16" s="4" t="inlineStr">
        <is>
          <t>指標</t>
        </is>
      </c>
      <c r="B16" s="4" t="inlineStr">
        <is>
          <t>數值</t>
        </is>
      </c>
      <c r="C16" s="4" t="inlineStr"/>
      <c r="D16" s="4" t="inlineStr">
        <is>
          <t>指標</t>
        </is>
      </c>
      <c r="E16" s="4" t="inlineStr">
        <is>
          <t>數值</t>
        </is>
      </c>
      <c r="F16" s="4" t="inlineStr"/>
      <c r="G16" s="4" t="inlineStr">
        <is>
          <t>說明</t>
        </is>
      </c>
    </row>
    <row r="17">
      <c r="A17" s="7" t="inlineStr">
        <is>
          <t>受惠股檔數</t>
        </is>
      </c>
      <c r="B17" s="8">
        <f>COUNT('3日受惠清單 Watchlist'!Q9:Q33)</f>
        <v>25.0</v>
      </c>
      <c r="D17" s="7" t="inlineStr">
        <is>
          <t>迴避股檔數</t>
        </is>
      </c>
      <c r="E17" s="8">
        <f>COUNTA('迴避清單 Avoid'!B9:B34)</f>
        <v>26.0</v>
      </c>
      <c r="G17" s="9" t="inlineStr">
        <is>
          <t>兩表合計覆蓋的美股檔數</t>
        </is>
      </c>
    </row>
    <row r="18">
      <c r="A18" s="7" t="inlineStr">
        <is>
          <t>受惠股平均綜合分</t>
        </is>
      </c>
      <c r="B18" s="10">
        <f>AVERAGE('3日受惠清單 Watchlist'!Q9:Q33)</f>
        <v>79.36</v>
      </c>
      <c r="D18" s="7" t="inlineStr">
        <is>
          <t>受惠股 9/16 平均漲跌</t>
        </is>
      </c>
      <c r="E18" s="11">
        <f>AVERAGE('3日受惠清單 Watchlist'!H9:H33)</f>
        <v>0.022517396490427576</v>
      </c>
      <c r="G18" s="9" t="inlineStr">
        <is>
          <t>綜合分為 0–100，權重可於清單頁黃色格調整</t>
        </is>
      </c>
    </row>
    <row r="19">
      <c r="A19" s="7" t="inlineStr">
        <is>
          <t>綜合分 ≥ 80 檔數</t>
        </is>
      </c>
      <c r="B19" s="8">
        <f>COUNTIF('3日受惠清單 Watchlist'!Q9:Q33,"&gt;=80")</f>
        <v>13.0</v>
      </c>
      <c r="D19" s="7" t="inlineStr">
        <is>
          <t>迴避股 9/16 平均漲跌</t>
        </is>
      </c>
      <c r="E19" s="11">
        <f>AVERAGE('迴避清單 Avoid'!G9:G34)</f>
        <v>-0.035372499566752036</v>
      </c>
      <c r="G19" s="9" t="inlineStr">
        <is>
          <t>當日兩表平均表現差距即為輪動幅度</t>
        </is>
      </c>
    </row>
    <row r="20">
      <c r="A20" s="7" t="inlineStr">
        <is>
          <t>9/16 全市中位漲跌</t>
        </is>
      </c>
      <c r="B20" s="12" t="n">
        <v>-0.004868052726254568</v>
      </c>
      <c r="D20" s="7" t="inlineStr">
        <is>
          <t>9/16 市場面板檔數</t>
        </is>
      </c>
      <c r="E20" s="13" t="n">
        <v>1658</v>
      </c>
      <c r="G20" s="9" t="inlineStr">
        <is>
          <t>來源：SubSector 資金流向 Watchlist R11.00 平衡市場面板</t>
        </is>
      </c>
    </row>
    <row r="21"/>
    <row r="22">
      <c r="A22" s="3" t="inlineStr">
        <is>
          <t>四、上一輪判斷的錯誤與修正（透明度）</t>
        </is>
      </c>
    </row>
    <row r="23" ht="30" customHeight="1">
      <c r="A23" s="4" t="inlineStr">
        <is>
          <t>上一輪的判斷</t>
        </is>
      </c>
      <c r="B23" s="4" t="inlineStr"/>
      <c r="C23" s="4" t="inlineStr">
        <is>
          <t>結果</t>
        </is>
      </c>
      <c r="D23" s="4" t="inlineStr"/>
      <c r="E23" s="4" t="inlineStr">
        <is>
          <t>錯在哪裡</t>
        </is>
      </c>
      <c r="F23" s="4" t="inlineStr"/>
      <c r="G23" s="4" t="inlineStr">
        <is>
          <t>本輪如何修正</t>
        </is>
      </c>
    </row>
    <row r="24" ht="62" customHeight="1">
      <c r="A24" s="5" t="inlineStr">
        <is>
          <t>能源上游列為順勢</t>
        </is>
      </c>
      <c r="C24" s="6" t="inlineStr">
        <is>
          <t>9/16 頁岩 E&amp;P −6.42%（成交量 4.57x），為 111 組最差</t>
        </is>
      </c>
      <c r="E24" s="6" t="inlineStr">
        <is>
          <t>交易了「油價水平」而非「油價催化劑」。已 +16% 的倉位，真正風險是供應恢復的頭條，而該頭條 6 日內就出現</t>
        </is>
      </c>
      <c r="G24" s="6" t="inlineStr">
        <is>
          <t>改為持有煉油（裂解價差），其多頭邏輯不需要原油上漲，且供應恢復對它有利</t>
        </is>
      </c>
    </row>
    <row r="25" ht="62" customHeight="1">
      <c r="A25" s="5" t="inlineStr">
        <is>
          <t>銀行列為順勢</t>
        </is>
      </c>
      <c r="C25" s="6" t="inlineStr">
        <is>
          <t>區域銀行 −3.91%（2.40x）、投行 −3.48%（1.91x）</t>
        </is>
      </c>
      <c r="E25" s="6" t="inlineStr">
        <is>
          <t>未區分「收息的金融」與「持久期的金融」。5% 的 10Y 對存款成本、持債虧損、deal flow 是利空</t>
        </is>
      </c>
      <c r="G25" s="6" t="inlineStr">
        <is>
          <t>改為產險與再保：浮存金以 5% 再投資，無存款 beta、無持債虧損，另加 Hormuz 戰爭險硬市場</t>
        </is>
      </c>
    </row>
    <row r="26" ht="62" customHeight="1">
      <c r="A26" s="5" t="inlineStr">
        <is>
          <t>AI 基建列為避開</t>
        </is>
      </c>
      <c r="C26" s="6" t="inlineStr">
        <is>
          <t>9/16 光通訊/CPO +5.61%、AI 資料中心 +2.20%、晶圓代工 +2.47%</t>
        </is>
      </c>
      <c r="E26" s="6" t="inlineStr">
        <is>
          <t>低估了 AI 資本開支對利率的免疫性——Warsh 在聲明中親自點名該開支為通脹來源之一</t>
        </is>
      </c>
      <c r="G26" s="6" t="inlineStr">
        <is>
          <t>納入 AI 半導體，但僅列戰術小注並標註「5 日仍為負、屬反彈非趨勢」，不作核心倉</t>
        </is>
      </c>
    </row>
    <row r="27"/>
    <row r="28">
      <c r="A28" s="2" t="inlineStr">
        <is>
          <t>本表為研究紀錄，非投資建議。所有判斷分數為分析員主觀評分，方法與限制見「數據來源與限制」頁。</t>
        </is>
      </c>
    </row>
  </sheetData>
  <mergeCells count="21">
    <mergeCell ref="A24:B24"/>
    <mergeCell ref="C24:D24"/>
    <mergeCell ref="B7:C7"/>
    <mergeCell ref="E24:F24"/>
    <mergeCell ref="D7:F7"/>
    <mergeCell ref="C26:D26"/>
    <mergeCell ref="A28:G28"/>
    <mergeCell ref="A13:G13"/>
    <mergeCell ref="A25:B25"/>
    <mergeCell ref="C25:D25"/>
    <mergeCell ref="D8:F8"/>
    <mergeCell ref="B8:C8"/>
    <mergeCell ref="A11:G11"/>
    <mergeCell ref="A26:B26"/>
    <mergeCell ref="A1:G1"/>
    <mergeCell ref="E26:F26"/>
    <mergeCell ref="B6:C6"/>
    <mergeCell ref="E25:F25"/>
    <mergeCell ref="A12:G12"/>
    <mergeCell ref="A2:G2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U36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9" customWidth="1" min="17" max="17"/>
    <col width="50" customWidth="1" min="18" max="18"/>
    <col width="22" customWidth="1" min="19" max="19"/>
    <col width="22" customWidth="1" min="20" max="20"/>
    <col width="34" customWidth="1" min="21" max="21"/>
  </cols>
  <sheetData>
    <row r="1" ht="22" customHeight="1">
      <c r="A1" s="1" t="inlineStr">
        <is>
          <t>3 日受惠股清單　Rate-Hike &amp; Geopolitical 3-Day Watchlist R1.00</t>
        </is>
      </c>
    </row>
    <row r="2">
      <c r="A2" s="2" t="inlineStr">
        <is>
          <t>基準 2026-09-16 美東收市　·　H/I/L/Q 欄為公式，黑字＝公式、藍字＝輸入值、黃底＝可調整假設　·　綜合分 0–100</t>
        </is>
      </c>
    </row>
    <row r="4">
      <c r="M4" s="3" t="inlineStr">
        <is>
          <t>綜合分權重（黃底＝可調整輸入，改動後 Q 欄即時重算）</t>
        </is>
      </c>
    </row>
    <row r="5">
      <c r="M5" s="14" t="inlineStr">
        <is>
          <t>機制強度</t>
        </is>
      </c>
      <c r="N5" s="14" t="inlineStr">
        <is>
          <t>資金流確認</t>
        </is>
      </c>
      <c r="O5" s="14" t="inlineStr">
        <is>
          <t>未伸展度</t>
        </is>
      </c>
      <c r="P5" s="14" t="inlineStr">
        <is>
          <t>廣度</t>
        </is>
      </c>
      <c r="Q5" s="14" t="inlineStr">
        <is>
          <t>合計</t>
        </is>
      </c>
    </row>
    <row r="6">
      <c r="M6" s="15" t="n">
        <v>0.4</v>
      </c>
      <c r="N6" s="15" t="n">
        <v>0.25</v>
      </c>
      <c r="O6" s="15" t="n">
        <v>0.2</v>
      </c>
      <c r="P6" s="15" t="n">
        <v>0.15</v>
      </c>
      <c r="Q6" s="16">
        <f>SUM(M6:P6)</f>
        <v>1.0</v>
      </c>
    </row>
    <row r="8" ht="30" customHeight="1">
      <c r="A8" s="17" t="inlineStr">
        <is>
          <t>組別</t>
        </is>
      </c>
      <c r="B8" s="17" t="inlineStr">
        <is>
          <t>主題板塊</t>
        </is>
      </c>
      <c r="C8" s="17" t="inlineStr">
        <is>
          <t>代號</t>
        </is>
      </c>
      <c r="D8" s="17" t="inlineStr">
        <is>
          <t>公司</t>
        </is>
      </c>
      <c r="E8" s="17" t="inlineStr">
        <is>
          <t>收市
09-16</t>
        </is>
      </c>
      <c r="F8" s="17" t="inlineStr">
        <is>
          <t>前收
09-15</t>
        </is>
      </c>
      <c r="G8" s="17" t="inlineStr">
        <is>
          <t>5日前收
09-09</t>
        </is>
      </c>
      <c r="H8" s="17" t="inlineStr">
        <is>
          <t>09-16
漲跌%</t>
        </is>
      </c>
      <c r="I8" s="17" t="inlineStr">
        <is>
          <t>5日
漲跌%</t>
        </is>
      </c>
      <c r="J8" s="17" t="inlineStr">
        <is>
          <t>09-16
成交量</t>
        </is>
      </c>
      <c r="K8" s="17" t="inlineStr">
        <is>
          <t>20日
中位量</t>
        </is>
      </c>
      <c r="L8" s="17" t="inlineStr">
        <is>
          <t>相對量</t>
        </is>
      </c>
      <c r="M8" s="17" t="inlineStr">
        <is>
          <t>機制
0-5</t>
        </is>
      </c>
      <c r="N8" s="17" t="inlineStr">
        <is>
          <t>資金流
0-5</t>
        </is>
      </c>
      <c r="O8" s="17" t="inlineStr">
        <is>
          <t>未伸展
0-5</t>
        </is>
      </c>
      <c r="P8" s="17" t="inlineStr">
        <is>
          <t>廣度
0-5</t>
        </is>
      </c>
      <c r="Q8" s="17" t="inlineStr">
        <is>
          <t>綜合分
0-100</t>
        </is>
      </c>
      <c r="R8" s="17" t="inlineStr">
        <is>
          <t>受惠機制（為何這 3 日會贏）</t>
        </is>
      </c>
      <c r="S8" s="17" t="inlineStr">
        <is>
          <t>狀態A：油續跌</t>
        </is>
      </c>
      <c r="T8" s="17" t="inlineStr">
        <is>
          <t>狀態B：油再爆</t>
        </is>
      </c>
      <c r="U8" s="17" t="inlineStr">
        <is>
          <t>失效條件 / 注意</t>
        </is>
      </c>
    </row>
    <row r="9" ht="56" customHeight="1">
      <c r="A9" s="18" t="inlineStr">
        <is>
          <t>①</t>
        </is>
      </c>
      <c r="B9" s="6" t="inlineStr">
        <is>
          <t>煉油與成品油</t>
        </is>
      </c>
      <c r="C9" s="18" t="inlineStr">
        <is>
          <t>VLO</t>
        </is>
      </c>
      <c r="D9" s="6" t="inlineStr">
        <is>
          <t>Valero Energy</t>
        </is>
      </c>
      <c r="E9" s="19" t="n">
        <v>403.28</v>
      </c>
      <c r="F9" s="19" t="n">
        <v>397.04</v>
      </c>
      <c r="G9" s="19" t="n">
        <v>388.95</v>
      </c>
      <c r="H9" s="11">
        <f>E9/F9-1</f>
        <v>0.015716300624622148</v>
      </c>
      <c r="I9" s="11">
        <f>E9/G9-1</f>
        <v>0.0368427818485666</v>
      </c>
      <c r="J9" s="13" t="n">
        <v>3522494</v>
      </c>
      <c r="K9" s="13" t="n">
        <v>2629700</v>
      </c>
      <c r="L9" s="20">
        <f>J9/K9</f>
        <v>1.3395041259459255</v>
      </c>
      <c r="M9" s="21" t="n">
        <v>5</v>
      </c>
      <c r="N9" s="21" t="n">
        <v>5</v>
      </c>
      <c r="O9" s="21" t="n">
        <v>4</v>
      </c>
      <c r="P9" s="21" t="n">
        <v>5</v>
      </c>
      <c r="Q9" s="22">
        <f>(M9*$M$6+N9*$N$6+O9*$O$6+P9*$P$6)*20</f>
        <v>96.0</v>
      </c>
      <c r="R9" s="6" t="inlineStr">
        <is>
          <t>最純粹的美國煉油商，墨西哥灣出口槓桿最高。做多裂解價差、做空原油：輸油管重啟降低原料成本，而中東逾20%煉油產能實體損毀無法隨之恢復</t>
        </is>
      </c>
      <c r="S9" s="6" t="inlineStr">
        <is>
          <t>強（原料成本下降、裂解維持）</t>
        </is>
      </c>
      <c r="T9" s="6" t="inlineStr">
        <is>
          <t>強（成品油價領先原油上漲）</t>
        </is>
      </c>
      <c r="U9" s="6" t="inlineStr">
        <is>
          <t>Hormuz 停火且中東煉廠產能加速修復 → 裂解崩塌</t>
        </is>
      </c>
    </row>
    <row r="10" ht="56" customHeight="1">
      <c r="A10" s="18" t="inlineStr">
        <is>
          <t>①</t>
        </is>
      </c>
      <c r="B10" s="6" t="inlineStr">
        <is>
          <t>煉油與成品油</t>
        </is>
      </c>
      <c r="C10" s="18" t="inlineStr">
        <is>
          <t>PBF</t>
        </is>
      </c>
      <c r="D10" s="6" t="inlineStr">
        <is>
          <t>PBF Energy</t>
        </is>
      </c>
      <c r="E10" s="19" t="n">
        <v>75.93000000000001</v>
      </c>
      <c r="F10" s="19" t="n">
        <v>74.72</v>
      </c>
      <c r="G10" s="19" t="n">
        <v>76.51000000000001</v>
      </c>
      <c r="H10" s="11">
        <f>E10/F10-1</f>
        <v>0.016193790149892973</v>
      </c>
      <c r="I10" s="11">
        <f>E10/G10-1</f>
        <v>-0.007580708404130165</v>
      </c>
      <c r="J10" s="13" t="n">
        <v>3811063</v>
      </c>
      <c r="K10" s="13" t="n">
        <v>2415250</v>
      </c>
      <c r="L10" s="20">
        <f>J10/K10</f>
        <v>1.5779165717834593</v>
      </c>
      <c r="M10" s="21" t="n">
        <v>5</v>
      </c>
      <c r="N10" s="21" t="n">
        <v>5</v>
      </c>
      <c r="O10" s="21" t="n">
        <v>5</v>
      </c>
      <c r="P10" s="21" t="n">
        <v>3</v>
      </c>
      <c r="Q10" s="22">
        <f>(M10*$M$6+N10*$N$6+O10*$O$6+P10*$P$6)*20</f>
        <v>94.0</v>
      </c>
      <c r="R10" s="6" t="inlineStr">
        <is>
          <t>財務槓桿最高，對裂解價差的 beta 最大；5 日仍為 −0.76%，是組內最未伸展的一隻</t>
        </is>
      </c>
      <c r="S10" s="6" t="inlineStr">
        <is>
          <t>強（毛利彈性最大）</t>
        </is>
      </c>
      <c r="T10" s="6" t="inlineStr">
        <is>
          <t>強（彈性最大，雙刃）</t>
        </is>
      </c>
      <c r="U10" s="6" t="inlineStr">
        <is>
          <t>小型股、波動最大；裂解回落時跌幅亦最大</t>
        </is>
      </c>
    </row>
    <row r="11" ht="56" customHeight="1">
      <c r="A11" s="18" t="inlineStr">
        <is>
          <t>①</t>
        </is>
      </c>
      <c r="B11" s="6" t="inlineStr">
        <is>
          <t>煉油與成品油</t>
        </is>
      </c>
      <c r="C11" s="18" t="inlineStr">
        <is>
          <t>DINO</t>
        </is>
      </c>
      <c r="D11" s="6" t="inlineStr">
        <is>
          <t>HF Sinclair</t>
        </is>
      </c>
      <c r="E11" s="19" t="n">
        <v>113.97</v>
      </c>
      <c r="F11" s="19" t="n">
        <v>112.25</v>
      </c>
      <c r="G11" s="19" t="n">
        <v>108.14</v>
      </c>
      <c r="H11" s="11">
        <f>E11/F11-1</f>
        <v>0.015322939866369678</v>
      </c>
      <c r="I11" s="11">
        <f>E11/G11-1</f>
        <v>0.05391159607915674</v>
      </c>
      <c r="J11" s="13" t="n">
        <v>2091749</v>
      </c>
      <c r="K11" s="13" t="n">
        <v>2328700</v>
      </c>
      <c r="L11" s="20">
        <f>J11/K11</f>
        <v>0.8982475200755786</v>
      </c>
      <c r="M11" s="21" t="n">
        <v>5</v>
      </c>
      <c r="N11" s="21" t="n">
        <v>5</v>
      </c>
      <c r="O11" s="21" t="n">
        <v>3</v>
      </c>
      <c r="P11" s="21" t="n">
        <v>5</v>
      </c>
      <c r="Q11" s="22">
        <f>(M11*$M$6+N11*$N$6+O11*$O$6+P11*$P$6)*20</f>
        <v>92.0</v>
      </c>
      <c r="R11" s="6" t="inlineStr">
        <is>
          <t>中陸地區煉廠，柴油佔比高，直接對應柴油裂解創紀錄的 $108/桶與美國柴油首破 $6/加侖</t>
        </is>
      </c>
      <c r="S11" s="6" t="inlineStr">
        <is>
          <t>強</t>
        </is>
      </c>
      <c r="T11" s="6" t="inlineStr">
        <is>
          <t>強</t>
        </is>
      </c>
      <c r="U11" s="6" t="inlineStr">
        <is>
          <t>5 日已 +5.39%，組內最伸展；俄羅斯柴油禁令若於 9/30 到期不續 → 柴油裂解回落</t>
        </is>
      </c>
    </row>
    <row r="12" ht="56" customHeight="1">
      <c r="A12" s="18" t="inlineStr">
        <is>
          <t>①</t>
        </is>
      </c>
      <c r="B12" s="6" t="inlineStr">
        <is>
          <t>煉油與成品油</t>
        </is>
      </c>
      <c r="C12" s="18" t="inlineStr">
        <is>
          <t>MPC</t>
        </is>
      </c>
      <c r="D12" s="6" t="inlineStr">
        <is>
          <t>Marathon Petroleum</t>
        </is>
      </c>
      <c r="E12" s="19" t="n">
        <v>413.92</v>
      </c>
      <c r="F12" s="19" t="n">
        <v>410.84</v>
      </c>
      <c r="G12" s="19" t="n">
        <v>399.44</v>
      </c>
      <c r="H12" s="11">
        <f>E12/F12-1</f>
        <v>0.007496835751144015</v>
      </c>
      <c r="I12" s="11">
        <f>E12/G12-1</f>
        <v>0.03625075105147202</v>
      </c>
      <c r="J12" s="13" t="n">
        <v>2868447</v>
      </c>
      <c r="K12" s="13" t="n">
        <v>2295550</v>
      </c>
      <c r="L12" s="20">
        <f>J12/K12</f>
        <v>1.2495685129925291</v>
      </c>
      <c r="M12" s="21" t="n">
        <v>5</v>
      </c>
      <c r="N12" s="21" t="n">
        <v>4</v>
      </c>
      <c r="O12" s="21" t="n">
        <v>4</v>
      </c>
      <c r="P12" s="21" t="n">
        <v>5</v>
      </c>
      <c r="Q12" s="22">
        <f>(M12*$M$6+N12*$N$6+O12*$O$6+P12*$P$6)*20</f>
        <v>91.0</v>
      </c>
      <c r="R12" s="6" t="inlineStr">
        <is>
          <t>美國煉油產能最大，搭配零售網絡，規模最穩健的參與方式</t>
        </is>
      </c>
      <c r="S12" s="6" t="inlineStr">
        <is>
          <t>強</t>
        </is>
      </c>
      <c r="T12" s="6" t="inlineStr">
        <is>
          <t>強</t>
        </is>
      </c>
      <c r="U12" s="6" t="inlineStr">
        <is>
          <t>同組風險；規模大 → 彈性小於 PBF/DINO</t>
        </is>
      </c>
    </row>
    <row r="13" ht="56" customHeight="1">
      <c r="A13" s="18" t="inlineStr">
        <is>
          <t>①</t>
        </is>
      </c>
      <c r="B13" s="6" t="inlineStr">
        <is>
          <t>煉油與成品油</t>
        </is>
      </c>
      <c r="C13" s="18" t="inlineStr">
        <is>
          <t>PSX</t>
        </is>
      </c>
      <c r="D13" s="6" t="inlineStr">
        <is>
          <t>Phillips 66</t>
        </is>
      </c>
      <c r="E13" s="19" t="n">
        <v>264.63</v>
      </c>
      <c r="F13" s="19" t="n">
        <v>264.93</v>
      </c>
      <c r="G13" s="19" t="n">
        <v>260.78</v>
      </c>
      <c r="H13" s="11">
        <f>E13/F13-1</f>
        <v>-0.0011323745895142068</v>
      </c>
      <c r="I13" s="11">
        <f>E13/G13-1</f>
        <v>0.014763402101388268</v>
      </c>
      <c r="J13" s="13" t="n">
        <v>2670800</v>
      </c>
      <c r="K13" s="13" t="n">
        <v>2685750</v>
      </c>
      <c r="L13" s="20">
        <f>J13/K13</f>
        <v>0.9944335846597785</v>
      </c>
      <c r="M13" s="21" t="n">
        <v>4</v>
      </c>
      <c r="N13" s="21" t="n">
        <v>3</v>
      </c>
      <c r="O13" s="21" t="n">
        <v>4</v>
      </c>
      <c r="P13" s="21" t="n">
        <v>5</v>
      </c>
      <c r="Q13" s="22">
        <f>(M13*$M$6+N13*$N$6+O13*$O$6+P13*$P$6)*20</f>
        <v>78.0</v>
      </c>
      <c r="R13" s="6" t="inlineStr">
        <is>
          <t>中游與化工佔比較高，純煉油度較低；9/16 是組內唯一收跌（−0.11%）</t>
        </is>
      </c>
      <c r="S13" s="6" t="inlineStr">
        <is>
          <t>中</t>
        </is>
      </c>
      <c r="T13" s="6" t="inlineStr">
        <is>
          <t>中</t>
        </is>
      </c>
      <c r="U13" s="6" t="inlineStr">
        <is>
          <t>中游業務使其部分對沖掉裂解上行，純度最低</t>
        </is>
      </c>
    </row>
    <row r="14" ht="56" customHeight="1">
      <c r="A14" s="23" t="inlineStr">
        <is>
          <t>②</t>
        </is>
      </c>
      <c r="B14" s="24" t="inlineStr">
        <is>
          <t>醫院與醫療服務</t>
        </is>
      </c>
      <c r="C14" s="23" t="inlineStr">
        <is>
          <t>THC</t>
        </is>
      </c>
      <c r="D14" s="24" t="inlineStr">
        <is>
          <t>Tenet Healthcare</t>
        </is>
      </c>
      <c r="E14" s="25" t="n">
        <v>265.78</v>
      </c>
      <c r="F14" s="25" t="n">
        <v>260.85</v>
      </c>
      <c r="G14" s="25" t="n">
        <v>269.08</v>
      </c>
      <c r="H14" s="26">
        <f>E14/F14-1</f>
        <v>0.018899750814644234</v>
      </c>
      <c r="I14" s="26">
        <f>E14/G14-1</f>
        <v>-0.012264010703136652</v>
      </c>
      <c r="J14" s="27" t="n">
        <v>628980</v>
      </c>
      <c r="K14" s="27" t="n">
        <v>713550</v>
      </c>
      <c r="L14" s="28">
        <f>J14/K14</f>
        <v>0.8814799243220517</v>
      </c>
      <c r="M14" s="29" t="n">
        <v>4</v>
      </c>
      <c r="N14" s="29" t="n">
        <v>5</v>
      </c>
      <c r="O14" s="29" t="n">
        <v>5</v>
      </c>
      <c r="P14" s="29" t="n">
        <v>5</v>
      </c>
      <c r="Q14" s="30">
        <f>(M14*$M$6+N14*$N$6+O14*$O$6+P14*$P$6)*20</f>
        <v>92.0</v>
      </c>
      <c r="R14" s="24" t="inlineStr">
        <is>
          <t>零石油投入、收入全數本土、近期盈利無久期。5 日仍為 −1.23%，是本組最未伸展的一隻</t>
        </is>
      </c>
      <c r="S14" s="24" t="inlineStr">
        <is>
          <t>強（防守性 + 資金回流）</t>
        </is>
      </c>
      <c r="T14" s="24" t="inlineStr">
        <is>
          <t>強（唯一不受油價傳導的板塊）</t>
        </is>
      </c>
      <c r="U14" s="24" t="inlineStr">
        <is>
          <t>醫保報銷政策消息；週五四巫日引發全面去風險時仍會下跌</t>
        </is>
      </c>
    </row>
    <row r="15" ht="56" customHeight="1">
      <c r="A15" s="23" t="inlineStr">
        <is>
          <t>②</t>
        </is>
      </c>
      <c r="B15" s="24" t="inlineStr">
        <is>
          <t>醫院與醫療服務</t>
        </is>
      </c>
      <c r="C15" s="23" t="inlineStr">
        <is>
          <t>UHS</t>
        </is>
      </c>
      <c r="D15" s="24" t="inlineStr">
        <is>
          <t>Universal Health Services</t>
        </is>
      </c>
      <c r="E15" s="25" t="n">
        <v>181.21</v>
      </c>
      <c r="F15" s="25" t="n">
        <v>176.85</v>
      </c>
      <c r="G15" s="25" t="n">
        <v>175.78</v>
      </c>
      <c r="H15" s="26">
        <f>E15/F15-1</f>
        <v>0.024653661294882667</v>
      </c>
      <c r="I15" s="26">
        <f>E15/G15-1</f>
        <v>0.03089088633519177</v>
      </c>
      <c r="J15" s="27" t="n">
        <v>881541</v>
      </c>
      <c r="K15" s="27" t="n">
        <v>621000</v>
      </c>
      <c r="L15" s="28">
        <f>J15/K15</f>
        <v>1.419550724637681</v>
      </c>
      <c r="M15" s="29" t="n">
        <v>4</v>
      </c>
      <c r="N15" s="29" t="n">
        <v>5</v>
      </c>
      <c r="O15" s="29" t="n">
        <v>4</v>
      </c>
      <c r="P15" s="29" t="n">
        <v>5</v>
      </c>
      <c r="Q15" s="30">
        <f>(M15*$M$6+N15*$N$6+O15*$O$6+P15*$P$6)*20</f>
        <v>88.0</v>
      </c>
      <c r="R15" s="24" t="inlineStr">
        <is>
          <t>9/16 組內最強（+2.47%），成交 1.42x，行為醫療佔比高</t>
        </is>
      </c>
      <c r="S15" s="24" t="inlineStr">
        <is>
          <t>強</t>
        </is>
      </c>
      <c r="T15" s="24" t="inlineStr">
        <is>
          <t>強</t>
        </is>
      </c>
      <c r="U15" s="24" t="inlineStr">
        <is>
          <t>同上；個別州份醫保費率消息</t>
        </is>
      </c>
    </row>
    <row r="16" ht="56" customHeight="1">
      <c r="A16" s="23" t="inlineStr">
        <is>
          <t>②</t>
        </is>
      </c>
      <c r="B16" s="24" t="inlineStr">
        <is>
          <t>醫院與醫療服務</t>
        </is>
      </c>
      <c r="C16" s="23" t="inlineStr">
        <is>
          <t>HCA</t>
        </is>
      </c>
      <c r="D16" s="24" t="inlineStr">
        <is>
          <t>HCA Healthcare</t>
        </is>
      </c>
      <c r="E16" s="25" t="n">
        <v>430.43</v>
      </c>
      <c r="F16" s="25" t="n">
        <v>423.82</v>
      </c>
      <c r="G16" s="25" t="n">
        <v>421.83</v>
      </c>
      <c r="H16" s="26">
        <f>E16/F16-1</f>
        <v>0.015596243688358324</v>
      </c>
      <c r="I16" s="26">
        <f>E16/G16-1</f>
        <v>0.020387359836901098</v>
      </c>
      <c r="J16" s="27" t="n">
        <v>1369642</v>
      </c>
      <c r="K16" s="27" t="n">
        <v>1319750</v>
      </c>
      <c r="L16" s="28">
        <f>J16/K16</f>
        <v>1.0378041295699942</v>
      </c>
      <c r="M16" s="29" t="n">
        <v>4</v>
      </c>
      <c r="N16" s="29" t="n">
        <v>5</v>
      </c>
      <c r="O16" s="29" t="n">
        <v>4</v>
      </c>
      <c r="P16" s="29" t="n">
        <v>5</v>
      </c>
      <c r="Q16" s="30">
        <f>(M16*$M$6+N16*$N$6+O16*$O$6+P16*$P$6)*20</f>
        <v>88.0</v>
      </c>
      <c r="R16" s="24" t="inlineStr">
        <is>
          <t>規模最大、現金流最穩，是防守配置的核心持股</t>
        </is>
      </c>
      <c r="S16" s="24" t="inlineStr">
        <is>
          <t>強</t>
        </is>
      </c>
      <c r="T16" s="24" t="inlineStr">
        <is>
          <t>強</t>
        </is>
      </c>
      <c r="U16" s="24" t="inlineStr">
        <is>
          <t>同上</t>
        </is>
      </c>
    </row>
    <row r="17" ht="56" customHeight="1">
      <c r="A17" s="23" t="inlineStr">
        <is>
          <t>②</t>
        </is>
      </c>
      <c r="B17" s="24" t="inlineStr">
        <is>
          <t>醫院與醫療服務</t>
        </is>
      </c>
      <c r="C17" s="23" t="inlineStr">
        <is>
          <t>EHC</t>
        </is>
      </c>
      <c r="D17" s="24" t="inlineStr">
        <is>
          <t>Encompass Health</t>
        </is>
      </c>
      <c r="E17" s="25" t="n">
        <v>123.91</v>
      </c>
      <c r="F17" s="25" t="n">
        <v>122</v>
      </c>
      <c r="G17" s="25" t="n">
        <v>121.52</v>
      </c>
      <c r="H17" s="26">
        <f>E17/F17-1</f>
        <v>0.015655737704918016</v>
      </c>
      <c r="I17" s="26">
        <f>E17/G17-1</f>
        <v>0.019667544437129703</v>
      </c>
      <c r="J17" s="27" t="n">
        <v>879222</v>
      </c>
      <c r="K17" s="27" t="n">
        <v>753800</v>
      </c>
      <c r="L17" s="28">
        <f>J17/K17</f>
        <v>1.1663863093658795</v>
      </c>
      <c r="M17" s="29" t="n">
        <v>4</v>
      </c>
      <c r="N17" s="29" t="n">
        <v>4</v>
      </c>
      <c r="O17" s="29" t="n">
        <v>4</v>
      </c>
      <c r="P17" s="29" t="n">
        <v>5</v>
      </c>
      <c r="Q17" s="30">
        <f>(M17*$M$6+N17*$N$6+O17*$O$6+P17*$P$6)*20</f>
        <v>83.0</v>
      </c>
      <c r="R17" s="24" t="inlineStr">
        <is>
          <t>康復照護，需求剛性，與經濟周期關聯最低</t>
        </is>
      </c>
      <c r="S17" s="24" t="inlineStr">
        <is>
          <t>強</t>
        </is>
      </c>
      <c r="T17" s="24" t="inlineStr">
        <is>
          <t>強</t>
        </is>
      </c>
      <c r="U17" s="24" t="inlineStr">
        <is>
          <t>同上</t>
        </is>
      </c>
    </row>
    <row r="18" ht="56" customHeight="1">
      <c r="A18" s="23" t="inlineStr">
        <is>
          <t>②</t>
        </is>
      </c>
      <c r="B18" s="24" t="inlineStr">
        <is>
          <t>診斷與生命科學工具</t>
        </is>
      </c>
      <c r="C18" s="23" t="inlineStr">
        <is>
          <t>A</t>
        </is>
      </c>
      <c r="D18" s="24" t="inlineStr">
        <is>
          <t>Agilent Technologies</t>
        </is>
      </c>
      <c r="E18" s="25" t="n">
        <v>153.69</v>
      </c>
      <c r="F18" s="25" t="n">
        <v>150.27</v>
      </c>
      <c r="G18" s="25" t="n">
        <v>144.75</v>
      </c>
      <c r="H18" s="26">
        <f>E18/F18-1</f>
        <v>0.02275903373926913</v>
      </c>
      <c r="I18" s="26">
        <f>E18/G18-1</f>
        <v>0.06176165803108802</v>
      </c>
      <c r="J18" s="27" t="n">
        <v>2507653</v>
      </c>
      <c r="K18" s="27" t="n">
        <v>2570400</v>
      </c>
      <c r="L18" s="28">
        <f>J18/K18</f>
        <v>0.9755886243386244</v>
      </c>
      <c r="M18" s="29" t="n">
        <v>4</v>
      </c>
      <c r="N18" s="29" t="n">
        <v>4</v>
      </c>
      <c r="O18" s="29" t="n">
        <v>3</v>
      </c>
      <c r="P18" s="29" t="n">
        <v>4</v>
      </c>
      <c r="Q18" s="30">
        <f>(M18*$M$6+N18*$N$6+O18*$O$6+P18*$P$6)*20</f>
        <v>76.0</v>
      </c>
      <c r="R18" s="24" t="inlineStr">
        <is>
          <t>5 日分數 100.0（111 組之首）組別的成員；9/16 +2.28% 而 5 日 +6.18%，仍屬可接受</t>
        </is>
      </c>
      <c r="S18" s="24" t="inlineStr">
        <is>
          <t>強</t>
        </is>
      </c>
      <c r="T18" s="24" t="inlineStr">
        <is>
          <t>中強</t>
        </is>
      </c>
      <c r="U18" s="24" t="inlineStr">
        <is>
          <t>5 日組別已 +6.65%，整組偏伸展；中國採購與 NIH 預算消息</t>
        </is>
      </c>
    </row>
    <row r="19" ht="56" customHeight="1">
      <c r="A19" s="23" t="inlineStr">
        <is>
          <t>②</t>
        </is>
      </c>
      <c r="B19" s="24" t="inlineStr">
        <is>
          <t>診斷與生命科學工具</t>
        </is>
      </c>
      <c r="C19" s="23" t="inlineStr">
        <is>
          <t>TMO</t>
        </is>
      </c>
      <c r="D19" s="24" t="inlineStr">
        <is>
          <t>Thermo Fisher Scientific</t>
        </is>
      </c>
      <c r="E19" s="25" t="n">
        <v>648.4299999999999</v>
      </c>
      <c r="F19" s="25" t="n">
        <v>641.39</v>
      </c>
      <c r="G19" s="25" t="n">
        <v>605.6900000000001</v>
      </c>
      <c r="H19" s="26">
        <f>E19/F19-1</f>
        <v>0.010976161150002328</v>
      </c>
      <c r="I19" s="26">
        <f>E19/G19-1</f>
        <v>0.07056414997771121</v>
      </c>
      <c r="J19" s="27" t="n">
        <v>2879941</v>
      </c>
      <c r="K19" s="27" t="n">
        <v>1669300</v>
      </c>
      <c r="L19" s="28">
        <f>J19/K19</f>
        <v>1.7252387228179475</v>
      </c>
      <c r="M19" s="29" t="n">
        <v>4</v>
      </c>
      <c r="N19" s="29" t="n">
        <v>4</v>
      </c>
      <c r="O19" s="29" t="n">
        <v>2</v>
      </c>
      <c r="P19" s="29" t="n">
        <v>4</v>
      </c>
      <c r="Q19" s="30">
        <f>(M19*$M$6+N19*$N$6+O19*$O$6+P19*$P$6)*20</f>
        <v>72.0</v>
      </c>
      <c r="R19" s="24" t="inlineStr">
        <is>
          <t>組內權重最大；資金流確認明確（組別 5 日淨流入 +$45.2 億）</t>
        </is>
      </c>
      <c r="S19" s="24" t="inlineStr">
        <is>
          <t>強</t>
        </is>
      </c>
      <c r="T19" s="24" t="inlineStr">
        <is>
          <t>中強</t>
        </is>
      </c>
      <c r="U19" s="24" t="inlineStr">
        <is>
          <t>5 日 +7.06%，已伸展；追價風險</t>
        </is>
      </c>
    </row>
    <row r="20" ht="56" customHeight="1">
      <c r="A20" s="18" t="inlineStr">
        <is>
          <t>③</t>
        </is>
      </c>
      <c r="B20" s="6" t="inlineStr">
        <is>
          <t>電氣設備與電網</t>
        </is>
      </c>
      <c r="C20" s="18" t="inlineStr">
        <is>
          <t>GEV</t>
        </is>
      </c>
      <c r="D20" s="6" t="inlineStr">
        <is>
          <t>GE Vernova</t>
        </is>
      </c>
      <c r="E20" s="19" t="n">
        <v>925.09</v>
      </c>
      <c r="F20" s="19" t="n">
        <v>882.8099999999999</v>
      </c>
      <c r="G20" s="19" t="n">
        <v>951.04</v>
      </c>
      <c r="H20" s="11">
        <f>E20/F20-1</f>
        <v>0.04789252500538055</v>
      </c>
      <c r="I20" s="11">
        <f>E20/G20-1</f>
        <v>-0.027285918573351164</v>
      </c>
      <c r="J20" s="13" t="n">
        <v>3556586</v>
      </c>
      <c r="K20" s="13" t="n">
        <v>1958000</v>
      </c>
      <c r="L20" s="20">
        <f>J20/K20</f>
        <v>1.816438202247191</v>
      </c>
      <c r="M20" s="21" t="n">
        <v>4</v>
      </c>
      <c r="N20" s="21" t="n">
        <v>5</v>
      </c>
      <c r="O20" s="21" t="n">
        <v>4</v>
      </c>
      <c r="P20" s="21" t="n">
        <v>3</v>
      </c>
      <c r="Q20" s="22">
        <f>(M20*$M$6+N20*$N$6+O20*$O$6+P20*$P$6)*20</f>
        <v>82.00000000000001</v>
      </c>
      <c r="R20" s="6" t="inlineStr">
        <is>
          <t>9/16 +4.79%、成交 1.82x，組內最強。AI 用電中「有訂單、有定價權」的一邊——與零收入的 SMR/鈾形成鏡像（後者 5 日 −17.7%/−16.3%）</t>
        </is>
      </c>
      <c r="S20" s="6" t="inlineStr">
        <is>
          <t>強</t>
        </is>
      </c>
      <c r="T20" s="6" t="inlineStr">
        <is>
          <t>中（高 beta，去風險時同跌）</t>
        </is>
      </c>
      <c r="U20" s="6" t="inlineStr">
        <is>
          <t>高 beta 工業股；9/18 日本央行鷹派 + 四巫日引發全面去槓桿時首當其衝</t>
        </is>
      </c>
    </row>
    <row r="21" ht="56" customHeight="1">
      <c r="A21" s="18" t="inlineStr">
        <is>
          <t>③</t>
        </is>
      </c>
      <c r="B21" s="6" t="inlineStr">
        <is>
          <t>電氣設備與電網</t>
        </is>
      </c>
      <c r="C21" s="18" t="inlineStr">
        <is>
          <t>ETN</t>
        </is>
      </c>
      <c r="D21" s="6" t="inlineStr">
        <is>
          <t>Eaton</t>
        </is>
      </c>
      <c r="E21" s="19" t="n">
        <v>397.8</v>
      </c>
      <c r="F21" s="19" t="n">
        <v>392.4</v>
      </c>
      <c r="G21" s="19" t="n">
        <v>415.22</v>
      </c>
      <c r="H21" s="11">
        <f>E21/F21-1</f>
        <v>0.013761467889908285</v>
      </c>
      <c r="I21" s="11">
        <f>E21/G21-1</f>
        <v>-0.04195366311834692</v>
      </c>
      <c r="J21" s="13" t="n">
        <v>1810629</v>
      </c>
      <c r="K21" s="13" t="n">
        <v>1762250</v>
      </c>
      <c r="L21" s="20">
        <f>J21/K21</f>
        <v>1.0274529720527734</v>
      </c>
      <c r="M21" s="21" t="n">
        <v>4</v>
      </c>
      <c r="N21" s="21" t="n">
        <v>4</v>
      </c>
      <c r="O21" s="21" t="n">
        <v>4</v>
      </c>
      <c r="P21" s="21" t="n">
        <v>3</v>
      </c>
      <c r="Q21" s="22">
        <f>(M21*$M$6+N21*$N$6+O21*$O$6+P21*$P$6)*20</f>
        <v>77.00000000000001</v>
      </c>
      <c r="R21" s="6" t="inlineStr">
        <is>
          <t>資料中心配電龍頭；5 日 −4.20% 代表動能已重置，非伸展狀態</t>
        </is>
      </c>
      <c r="S21" s="6" t="inlineStr">
        <is>
          <t>強</t>
        </is>
      </c>
      <c r="T21" s="6" t="inlineStr">
        <is>
          <t>中</t>
        </is>
      </c>
      <c r="U21" s="6" t="inlineStr">
        <is>
          <t>同上；組別 5 日廣度僅 0.48，內部分歧大</t>
        </is>
      </c>
    </row>
    <row r="22" ht="56" customHeight="1">
      <c r="A22" s="18" t="inlineStr">
        <is>
          <t>③</t>
        </is>
      </c>
      <c r="B22" s="6" t="inlineStr">
        <is>
          <t>電氣設備與電網</t>
        </is>
      </c>
      <c r="C22" s="18" t="inlineStr">
        <is>
          <t>PWR</t>
        </is>
      </c>
      <c r="D22" s="6" t="inlineStr">
        <is>
          <t>Quanta Services</t>
        </is>
      </c>
      <c r="E22" s="19" t="n">
        <v>619.28</v>
      </c>
      <c r="F22" s="19" t="n">
        <v>613.35</v>
      </c>
      <c r="G22" s="19" t="n">
        <v>626.98</v>
      </c>
      <c r="H22" s="11">
        <f>E22/F22-1</f>
        <v>0.009668215537621094</v>
      </c>
      <c r="I22" s="11">
        <f>E22/G22-1</f>
        <v>-0.012281093495805306</v>
      </c>
      <c r="J22" s="13" t="n">
        <v>744668</v>
      </c>
      <c r="K22" s="13" t="n">
        <v>973350</v>
      </c>
      <c r="L22" s="20">
        <f>J22/K22</f>
        <v>0.7650567627266657</v>
      </c>
      <c r="M22" s="21" t="n">
        <v>4</v>
      </c>
      <c r="N22" s="21" t="n">
        <v>3</v>
      </c>
      <c r="O22" s="21" t="n">
        <v>4</v>
      </c>
      <c r="P22" s="21" t="n">
        <v>3</v>
      </c>
      <c r="Q22" s="22">
        <f>(M22*$M$6+N22*$N$6+O22*$O$6+P22*$P$6)*20</f>
        <v>72.00000000000001</v>
      </c>
      <c r="R22" s="6" t="inlineStr">
        <is>
          <t>電網施工訂單；9/16 +0.97%，成交量偏低（0.77x）確認度較弱</t>
        </is>
      </c>
      <c r="S22" s="6" t="inlineStr">
        <is>
          <t>中強</t>
        </is>
      </c>
      <c r="T22" s="6" t="inlineStr">
        <is>
          <t>中</t>
        </is>
      </c>
      <c r="U22" s="6" t="inlineStr">
        <is>
          <t>成交量未確認；施工類對利率較敏感</t>
        </is>
      </c>
    </row>
    <row r="23" ht="56" customHeight="1">
      <c r="A23" s="23" t="inlineStr">
        <is>
          <t>④</t>
        </is>
      </c>
      <c r="B23" s="24" t="inlineStr">
        <is>
          <t>產險與再保</t>
        </is>
      </c>
      <c r="C23" s="23" t="inlineStr">
        <is>
          <t>TRV</t>
        </is>
      </c>
      <c r="D23" s="24" t="inlineStr">
        <is>
          <t>Travelers</t>
        </is>
      </c>
      <c r="E23" s="25" t="n">
        <v>378.92</v>
      </c>
      <c r="F23" s="25" t="n">
        <v>377.97</v>
      </c>
      <c r="G23" s="25" t="n">
        <v>366.85</v>
      </c>
      <c r="H23" s="26">
        <f>E23/F23-1</f>
        <v>0.002513426991560097</v>
      </c>
      <c r="I23" s="26">
        <f>E23/G23-1</f>
        <v>0.032901730952705543</v>
      </c>
      <c r="J23" s="27" t="n">
        <v>1602008</v>
      </c>
      <c r="K23" s="27" t="n">
        <v>1474800</v>
      </c>
      <c r="L23" s="28">
        <f>J23/K23</f>
        <v>1.0862544073772715</v>
      </c>
      <c r="M23" s="29" t="n">
        <v>5</v>
      </c>
      <c r="N23" s="29" t="n">
        <v>4</v>
      </c>
      <c r="O23" s="29" t="n">
        <v>4</v>
      </c>
      <c r="P23" s="29" t="n">
        <v>5</v>
      </c>
      <c r="Q23" s="30">
        <f>(M23*$M$6+N23*$N$6+O23*$O$6+P23*$P$6)*20</f>
        <v>91.0</v>
      </c>
      <c r="R23" s="24" t="inlineStr">
        <is>
          <t>浮存金久期短 → 最快反映 5% 再投資收益。與銀行相反：無存款 beta、無持債虧損。5 日 +3.29% 為組內最佳</t>
        </is>
      </c>
      <c r="S23" s="24" t="inlineStr">
        <is>
          <t>強（息差收益不受油價影響）</t>
        </is>
      </c>
      <c r="T23" s="24" t="inlineStr">
        <is>
          <t>強（戰爭險硬市場加碼）</t>
        </is>
      </c>
      <c r="U23" s="24" t="inlineStr">
        <is>
          <t>大西洋颶風季高峰：一次登陸颶風可一日抵銷三日息差收益</t>
        </is>
      </c>
    </row>
    <row r="24" ht="56" customHeight="1">
      <c r="A24" s="23" t="inlineStr">
        <is>
          <t>④</t>
        </is>
      </c>
      <c r="B24" s="24" t="inlineStr">
        <is>
          <t>產險與再保</t>
        </is>
      </c>
      <c r="C24" s="23" t="inlineStr">
        <is>
          <t>RNR</t>
        </is>
      </c>
      <c r="D24" s="24" t="inlineStr">
        <is>
          <t>RenaissanceRe</t>
        </is>
      </c>
      <c r="E24" s="25" t="n">
        <v>328.43</v>
      </c>
      <c r="F24" s="25" t="n">
        <v>328.7</v>
      </c>
      <c r="G24" s="25" t="n">
        <v>322.53</v>
      </c>
      <c r="H24" s="26">
        <f>E24/F24-1</f>
        <v>-0.0008214177061149908</v>
      </c>
      <c r="I24" s="26">
        <f>E24/G24-1</f>
        <v>0.018292871980901015</v>
      </c>
      <c r="J24" s="27" t="n">
        <v>286739</v>
      </c>
      <c r="K24" s="27" t="n">
        <v>233200</v>
      </c>
      <c r="L24" s="28">
        <f>J24/K24</f>
        <v>1.2295840480274443</v>
      </c>
      <c r="M24" s="29" t="n">
        <v>5</v>
      </c>
      <c r="N24" s="29" t="n">
        <v>3</v>
      </c>
      <c r="O24" s="29" t="n">
        <v>5</v>
      </c>
      <c r="P24" s="29" t="n">
        <v>5</v>
      </c>
      <c r="Q24" s="30">
        <f>(M24*$M$6+N24*$N$6+O24*$O$6+P24*$P$6)*20</f>
        <v>90.0</v>
      </c>
      <c r="R24" s="24" t="inlineStr">
        <is>
          <t>海事／戰爭再保槓桿最直接：Hormuz 戰爭險保費由船體價值 0.25% 抽升至 7.5–10%（$1 億油輪由 $25 萬變 $300–1000 萬）</t>
        </is>
      </c>
      <c r="S24" s="24" t="inlineStr">
        <is>
          <t>中強</t>
        </is>
      </c>
      <c r="T24" s="24" t="inlineStr">
        <is>
          <t>強（戰爭險最直接受惠）</t>
        </is>
      </c>
      <c r="U24" s="24" t="inlineStr">
        <is>
          <t>颶風季 + 實際戰爭損失（已有 UAE 超級油輪遇襲、一名船員身亡）</t>
        </is>
      </c>
    </row>
    <row r="25" ht="56" customHeight="1">
      <c r="A25" s="23" t="inlineStr">
        <is>
          <t>④</t>
        </is>
      </c>
      <c r="B25" s="24" t="inlineStr">
        <is>
          <t>產險與再保</t>
        </is>
      </c>
      <c r="C25" s="23" t="inlineStr">
        <is>
          <t>AIG</t>
        </is>
      </c>
      <c r="D25" s="24" t="inlineStr">
        <is>
          <t>American International Group</t>
        </is>
      </c>
      <c r="E25" s="25" t="n">
        <v>76.06999999999999</v>
      </c>
      <c r="F25" s="25" t="n">
        <v>75.98</v>
      </c>
      <c r="G25" s="25" t="n">
        <v>75.03</v>
      </c>
      <c r="H25" s="26">
        <f>E25/F25-1</f>
        <v>0.001184522242695385</v>
      </c>
      <c r="I25" s="26">
        <f>E25/G25-1</f>
        <v>0.013861122217779354</v>
      </c>
      <c r="J25" s="27" t="n">
        <v>4428000</v>
      </c>
      <c r="K25" s="27" t="n">
        <v>3252850</v>
      </c>
      <c r="L25" s="28">
        <f>J25/K25</f>
        <v>1.3612678113039334</v>
      </c>
      <c r="M25" s="29" t="n">
        <v>4</v>
      </c>
      <c r="N25" s="29" t="n">
        <v>3</v>
      </c>
      <c r="O25" s="29" t="n">
        <v>5</v>
      </c>
      <c r="P25" s="29" t="n">
        <v>5</v>
      </c>
      <c r="Q25" s="30">
        <f>(M25*$M$6+N25*$N$6+O25*$O$6+P25*$P$6)*20</f>
        <v>82.0</v>
      </c>
      <c r="R25" s="24" t="inlineStr">
        <is>
          <t>商業險與特殊險；9/16 僅 +0.12%，屬「未伸展的做多利率」方式</t>
        </is>
      </c>
      <c r="S25" s="24" t="inlineStr">
        <is>
          <t>中強</t>
        </is>
      </c>
      <c r="T25" s="24" t="inlineStr">
        <is>
          <t>強</t>
        </is>
      </c>
      <c r="U25" s="24" t="inlineStr">
        <is>
          <t>同組颶風風險</t>
        </is>
      </c>
    </row>
    <row r="26" ht="56" customHeight="1">
      <c r="A26" s="23" t="inlineStr">
        <is>
          <t>④</t>
        </is>
      </c>
      <c r="B26" s="24" t="inlineStr">
        <is>
          <t>產險與再保</t>
        </is>
      </c>
      <c r="C26" s="23" t="inlineStr">
        <is>
          <t>CB</t>
        </is>
      </c>
      <c r="D26" s="24" t="inlineStr">
        <is>
          <t>Chubb</t>
        </is>
      </c>
      <c r="E26" s="25" t="n">
        <v>341.53</v>
      </c>
      <c r="F26" s="25" t="n">
        <v>341.86</v>
      </c>
      <c r="G26" s="25" t="n">
        <v>337.62</v>
      </c>
      <c r="H26" s="26">
        <f>E26/F26-1</f>
        <v>-0.000965307435792595</v>
      </c>
      <c r="I26" s="26">
        <f>E26/G26-1</f>
        <v>0.011581067472306028</v>
      </c>
      <c r="J26" s="27" t="n">
        <v>1537674</v>
      </c>
      <c r="K26" s="27" t="n">
        <v>1618150</v>
      </c>
      <c r="L26" s="28">
        <f>J26/K26</f>
        <v>0.9502666625467354</v>
      </c>
      <c r="M26" s="29" t="n">
        <v>4</v>
      </c>
      <c r="N26" s="29" t="n">
        <v>3</v>
      </c>
      <c r="O26" s="29" t="n">
        <v>5</v>
      </c>
      <c r="P26" s="29" t="n">
        <v>5</v>
      </c>
      <c r="Q26" s="30">
        <f>(M26*$M$6+N26*$N$6+O26*$O$6+P26*$P$6)*20</f>
        <v>82.0</v>
      </c>
      <c r="R26" s="24" t="inlineStr">
        <is>
          <t>規模最大、最穩；組別 5 日廣度 0.84 為全表最高，代表整組齊上而非一兩隻拉動</t>
        </is>
      </c>
      <c r="S26" s="24" t="inlineStr">
        <is>
          <t>中強</t>
        </is>
      </c>
      <c r="T26" s="24" t="inlineStr">
        <is>
          <t>強</t>
        </is>
      </c>
      <c r="U26" s="24" t="inlineStr">
        <is>
          <t>同組颶風風險</t>
        </is>
      </c>
    </row>
    <row r="27" ht="56" customHeight="1">
      <c r="A27" s="18" t="inlineStr">
        <is>
          <t>⑤</t>
        </is>
      </c>
      <c r="B27" s="6" t="inlineStr">
        <is>
          <t>AI半導體（戰術）</t>
        </is>
      </c>
      <c r="C27" s="18" t="inlineStr">
        <is>
          <t>SNPS</t>
        </is>
      </c>
      <c r="D27" s="6" t="inlineStr">
        <is>
          <t>Synopsys</t>
        </is>
      </c>
      <c r="E27" s="19" t="n">
        <v>378.47</v>
      </c>
      <c r="F27" s="19" t="n">
        <v>367.7</v>
      </c>
      <c r="G27" s="19" t="n">
        <v>393.22</v>
      </c>
      <c r="H27" s="11">
        <f>E27/F27-1</f>
        <v>0.02929018221376123</v>
      </c>
      <c r="I27" s="11">
        <f>E27/G27-1</f>
        <v>-0.03751080819897257</v>
      </c>
      <c r="J27" s="13" t="n">
        <v>1719694</v>
      </c>
      <c r="K27" s="13" t="n">
        <v>1674600</v>
      </c>
      <c r="L27" s="20">
        <f>J27/K27</f>
        <v>1.0269282216648752</v>
      </c>
      <c r="M27" s="21" t="n">
        <v>3</v>
      </c>
      <c r="N27" s="21" t="n">
        <v>5</v>
      </c>
      <c r="O27" s="21" t="n">
        <v>3</v>
      </c>
      <c r="P27" s="21" t="n">
        <v>3</v>
      </c>
      <c r="Q27" s="22">
        <f>(M27*$M$6+N27*$N$6+O27*$O$6+P27*$P$6)*20</f>
        <v>70.0</v>
      </c>
      <c r="R27" s="6" t="inlineStr">
        <is>
          <t>EDA：現金流最穩、波幅最小的參與方式。9/16 +2.93%。Warsh 在聲明中點名「強勁的 AI 資本開支」為通脹來源，等於官方確認該開支不受利率影響</t>
        </is>
      </c>
      <c r="S27" s="6" t="inlineStr">
        <is>
          <t>中</t>
        </is>
      </c>
      <c r="T27" s="6" t="inlineStr">
        <is>
          <t>中</t>
        </is>
      </c>
      <c r="U27" s="6" t="inlineStr">
        <is>
          <t>僅建議小注。組別 5 日 −3.75%，屬反彈非趨勢</t>
        </is>
      </c>
    </row>
    <row r="28" ht="56" customHeight="1">
      <c r="A28" s="18" t="inlineStr">
        <is>
          <t>⑤</t>
        </is>
      </c>
      <c r="B28" s="6" t="inlineStr">
        <is>
          <t>AI半導體（戰術）</t>
        </is>
      </c>
      <c r="C28" s="18" t="inlineStr">
        <is>
          <t>CDNS</t>
        </is>
      </c>
      <c r="D28" s="6" t="inlineStr">
        <is>
          <t>Cadence Design Systems</t>
        </is>
      </c>
      <c r="E28" s="19" t="n">
        <v>279.9</v>
      </c>
      <c r="F28" s="19" t="n">
        <v>273.96</v>
      </c>
      <c r="G28" s="19" t="n">
        <v>284.6</v>
      </c>
      <c r="H28" s="11">
        <f>E28/F28-1</f>
        <v>0.021681997371879147</v>
      </c>
      <c r="I28" s="11">
        <f>E28/G28-1</f>
        <v>-0.016514406184118258</v>
      </c>
      <c r="J28" s="13" t="n">
        <v>2495946</v>
      </c>
      <c r="K28" s="13" t="n">
        <v>2244900</v>
      </c>
      <c r="L28" s="20">
        <f>J28/K28</f>
        <v>1.1118294801550181</v>
      </c>
      <c r="M28" s="21" t="n">
        <v>3</v>
      </c>
      <c r="N28" s="21" t="n">
        <v>5</v>
      </c>
      <c r="O28" s="21" t="n">
        <v>3</v>
      </c>
      <c r="P28" s="21" t="n">
        <v>3</v>
      </c>
      <c r="Q28" s="22">
        <f>(M28*$M$6+N28*$N$6+O28*$O$6+P28*$P$6)*20</f>
        <v>70.0</v>
      </c>
      <c r="R28" s="6" t="inlineStr">
        <is>
          <t>同上，EDA 雙雄；9/16 +2.17%</t>
        </is>
      </c>
      <c r="S28" s="6" t="inlineStr">
        <is>
          <t>中</t>
        </is>
      </c>
      <c r="T28" s="6" t="inlineStr">
        <is>
          <t>中</t>
        </is>
      </c>
      <c r="U28" s="6" t="inlineStr">
        <is>
          <t>同上</t>
        </is>
      </c>
    </row>
    <row r="29" ht="56" customHeight="1">
      <c r="A29" s="18" t="inlineStr">
        <is>
          <t>⑤</t>
        </is>
      </c>
      <c r="B29" s="6" t="inlineStr">
        <is>
          <t>AI半導體（戰術）</t>
        </is>
      </c>
      <c r="C29" s="18" t="inlineStr">
        <is>
          <t>COHR</t>
        </is>
      </c>
      <c r="D29" s="6" t="inlineStr">
        <is>
          <t>Coherent</t>
        </is>
      </c>
      <c r="E29" s="19" t="n">
        <v>289.93</v>
      </c>
      <c r="F29" s="19" t="n">
        <v>271.17</v>
      </c>
      <c r="G29" s="19" t="n">
        <v>303.48</v>
      </c>
      <c r="H29" s="11">
        <f>E29/F29-1</f>
        <v>0.06918169414020725</v>
      </c>
      <c r="I29" s="11">
        <f>E29/G29-1</f>
        <v>-0.04464874126795837</v>
      </c>
      <c r="J29" s="13" t="n">
        <v>7505429</v>
      </c>
      <c r="K29" s="13" t="n">
        <v>5354200</v>
      </c>
      <c r="L29" s="20">
        <f>J29/K29</f>
        <v>1.4017834597138694</v>
      </c>
      <c r="M29" s="21" t="n">
        <v>3</v>
      </c>
      <c r="N29" s="21" t="n">
        <v>5</v>
      </c>
      <c r="O29" s="21" t="n">
        <v>1</v>
      </c>
      <c r="P29" s="21" t="n">
        <v>2</v>
      </c>
      <c r="Q29" s="22">
        <f>(M29*$M$6+N29*$N$6+O29*$O$6+P29*$P$6)*20</f>
        <v>59.0</v>
      </c>
      <c r="R29" s="6" t="inlineStr">
        <is>
          <t>光通訊/CPO：9/16 全表最強組別（+5.61%、廣度 1.00、成交 1.50x）</t>
        </is>
      </c>
      <c r="S29" s="6" t="inlineStr">
        <is>
          <t>中</t>
        </is>
      </c>
      <c r="T29" s="6" t="inlineStr">
        <is>
          <t>中</t>
        </is>
      </c>
      <c r="U29" s="6" t="inlineStr">
        <is>
          <t>⚠ 不建議追：5 日仍 −4.46%，組別 5 日淨流出 −$132.9 億。單日彈 5–9% 撞正週五四巫日最易被打回</t>
        </is>
      </c>
    </row>
    <row r="30" ht="56" customHeight="1">
      <c r="A30" s="18" t="inlineStr">
        <is>
          <t>⑤</t>
        </is>
      </c>
      <c r="B30" s="6" t="inlineStr">
        <is>
          <t>AI半導體（戰術）</t>
        </is>
      </c>
      <c r="C30" s="18" t="inlineStr">
        <is>
          <t>LITE</t>
        </is>
      </c>
      <c r="D30" s="6" t="inlineStr">
        <is>
          <t>Lumentum</t>
        </is>
      </c>
      <c r="E30" s="19" t="n">
        <v>919.4</v>
      </c>
      <c r="F30" s="19" t="n">
        <v>838.96</v>
      </c>
      <c r="G30" s="19" t="n">
        <v>988.98</v>
      </c>
      <c r="H30" s="11">
        <f>E30/F30-1</f>
        <v>0.09588061409363968</v>
      </c>
      <c r="I30" s="11">
        <f>E30/G30-1</f>
        <v>-0.07035531557766594</v>
      </c>
      <c r="J30" s="13" t="n">
        <v>6452242</v>
      </c>
      <c r="K30" s="13" t="n">
        <v>3876650</v>
      </c>
      <c r="L30" s="20">
        <f>J30/K30</f>
        <v>1.6643860033792062</v>
      </c>
      <c r="M30" s="21" t="n">
        <v>3</v>
      </c>
      <c r="N30" s="21" t="n">
        <v>5</v>
      </c>
      <c r="O30" s="21" t="n">
        <v>1</v>
      </c>
      <c r="P30" s="21" t="n">
        <v>2</v>
      </c>
      <c r="Q30" s="22">
        <f>(M30*$M$6+N30*$N$6+O30*$O$6+P30*$P$6)*20</f>
        <v>59.0</v>
      </c>
      <c r="R30" s="6" t="inlineStr">
        <is>
          <t>9/16 +9.59%、成交 1.66x，當日全表個股最強</t>
        </is>
      </c>
      <c r="S30" s="6" t="inlineStr">
        <is>
          <t>中</t>
        </is>
      </c>
      <c r="T30" s="6" t="inlineStr">
        <is>
          <t>中</t>
        </is>
      </c>
      <c r="U30" s="6" t="inlineStr">
        <is>
          <t>⚠ 不建議追：5 日 −7.04%，純粹壞週後的反彈</t>
        </is>
      </c>
    </row>
    <row r="31" ht="56" customHeight="1">
      <c r="A31" s="18" t="inlineStr">
        <is>
          <t>⑤</t>
        </is>
      </c>
      <c r="B31" s="6" t="inlineStr">
        <is>
          <t>AI半導體（戰術）</t>
        </is>
      </c>
      <c r="C31" s="18" t="inlineStr">
        <is>
          <t>CRDO</t>
        </is>
      </c>
      <c r="D31" s="6" t="inlineStr">
        <is>
          <t>Credo Technology</t>
        </is>
      </c>
      <c r="E31" s="19" t="n">
        <v>161.49</v>
      </c>
      <c r="F31" s="19" t="n">
        <v>150.39</v>
      </c>
      <c r="G31" s="19" t="n">
        <v>167.92</v>
      </c>
      <c r="H31" s="11">
        <f>E31/F31-1</f>
        <v>0.07380809894274898</v>
      </c>
      <c r="I31" s="11">
        <f>E31/G31-1</f>
        <v>-0.038292043830395306</v>
      </c>
      <c r="J31" s="13" t="n">
        <v>8837959</v>
      </c>
      <c r="K31" s="13" t="n">
        <v>6192050</v>
      </c>
      <c r="L31" s="20">
        <f>J31/K31</f>
        <v>1.42730743453299</v>
      </c>
      <c r="M31" s="21" t="n">
        <v>3</v>
      </c>
      <c r="N31" s="21" t="n">
        <v>5</v>
      </c>
      <c r="O31" s="21" t="n">
        <v>1</v>
      </c>
      <c r="P31" s="21" t="n">
        <v>2</v>
      </c>
      <c r="Q31" s="22">
        <f>(M31*$M$6+N31*$N$6+O31*$O$6+P31*$P$6)*20</f>
        <v>59.0</v>
      </c>
      <c r="R31" s="6" t="inlineStr">
        <is>
          <t>9/16 +7.38%，AI 互連</t>
        </is>
      </c>
      <c r="S31" s="6" t="inlineStr">
        <is>
          <t>中</t>
        </is>
      </c>
      <c r="T31" s="6" t="inlineStr">
        <is>
          <t>中</t>
        </is>
      </c>
      <c r="U31" s="6" t="inlineStr">
        <is>
          <t>⚠ 不建議追：5 日 −3.83%，小型高 beta</t>
        </is>
      </c>
    </row>
    <row r="32" ht="56" customHeight="1">
      <c r="A32" s="23" t="inlineStr">
        <is>
          <t>⑥</t>
        </is>
      </c>
      <c r="B32" s="24" t="inlineStr">
        <is>
          <t>鋼鐵（觀察）</t>
        </is>
      </c>
      <c r="C32" s="23" t="inlineStr">
        <is>
          <t>NUE</t>
        </is>
      </c>
      <c r="D32" s="24" t="inlineStr">
        <is>
          <t>Nucor</t>
        </is>
      </c>
      <c r="E32" s="25" t="n">
        <v>260.68</v>
      </c>
      <c r="F32" s="25" t="n">
        <v>258.82</v>
      </c>
      <c r="G32" s="25" t="n">
        <v>257.91</v>
      </c>
      <c r="H32" s="26">
        <f>E32/F32-1</f>
        <v>0.007186461633567731</v>
      </c>
      <c r="I32" s="26">
        <f>E32/G32-1</f>
        <v>0.010740180683183942</v>
      </c>
      <c r="J32" s="27" t="n">
        <v>1089648</v>
      </c>
      <c r="K32" s="27" t="n">
        <v>1081400</v>
      </c>
      <c r="L32" s="28">
        <f>J32/K32</f>
        <v>1.0076271499907528</v>
      </c>
      <c r="M32" s="29" t="n">
        <v>3</v>
      </c>
      <c r="N32" s="29" t="n">
        <v>4</v>
      </c>
      <c r="O32" s="29" t="n">
        <v>4</v>
      </c>
      <c r="P32" s="29" t="n">
        <v>4</v>
      </c>
      <c r="Q32" s="30">
        <f>(M32*$M$6+N32*$N$6+O32*$O$6+P32*$P$6)*20</f>
        <v>72.0</v>
      </c>
      <c r="R32" s="24" t="inlineStr">
        <is>
          <t>本土、關稅保護、戰爭與基建需求，對利率不如建商敏感。9/16 +0.72%，組別廣度 1.00</t>
        </is>
      </c>
      <c r="S32" s="24" t="inlineStr">
        <is>
          <t>中</t>
        </is>
      </c>
      <c r="T32" s="24" t="inlineStr">
        <is>
          <t>中強</t>
        </is>
      </c>
      <c r="U32" s="24" t="inlineStr">
        <is>
          <t>僅觀察不建議新倉：組別 5 日僅 +0.10%，方向未確立</t>
        </is>
      </c>
    </row>
    <row r="33" ht="56" customHeight="1">
      <c r="A33" s="23" t="inlineStr">
        <is>
          <t>⑥</t>
        </is>
      </c>
      <c r="B33" s="24" t="inlineStr">
        <is>
          <t>鋼鐵（觀察）</t>
        </is>
      </c>
      <c r="C33" s="23" t="inlineStr">
        <is>
          <t>CLF</t>
        </is>
      </c>
      <c r="D33" s="24" t="inlineStr">
        <is>
          <t>Cleveland-Cliffs</t>
        </is>
      </c>
      <c r="E33" s="25" t="n">
        <v>12.15</v>
      </c>
      <c r="F33" s="25" t="n">
        <v>11.79</v>
      </c>
      <c r="G33" s="25" t="n">
        <v>12.09</v>
      </c>
      <c r="H33" s="26">
        <f>E33/F33-1</f>
        <v>0.03053435114503822</v>
      </c>
      <c r="I33" s="26">
        <f>E33/G33-1</f>
        <v>0.00496277915632759</v>
      </c>
      <c r="J33" s="27" t="n">
        <v>14277992</v>
      </c>
      <c r="K33" s="27" t="n">
        <v>12008650</v>
      </c>
      <c r="L33" s="28">
        <f>J33/K33</f>
        <v>1.1889756134119989</v>
      </c>
      <c r="M33" s="29" t="n">
        <v>3</v>
      </c>
      <c r="N33" s="29" t="n">
        <v>4</v>
      </c>
      <c r="O33" s="29" t="n">
        <v>4</v>
      </c>
      <c r="P33" s="29" t="n">
        <v>3</v>
      </c>
      <c r="Q33" s="30">
        <f>(M33*$M$6+N33*$N$6+O33*$O$6+P33*$P$6)*20</f>
        <v>69.0</v>
      </c>
      <c r="R33" s="24" t="inlineStr">
        <is>
          <t>9/16 +3.05%，組內最強；高槓桿小型股</t>
        </is>
      </c>
      <c r="S33" s="24" t="inlineStr">
        <is>
          <t>中</t>
        </is>
      </c>
      <c r="T33" s="24" t="inlineStr">
        <is>
          <t>中強</t>
        </is>
      </c>
      <c r="U33" s="24" t="inlineStr">
        <is>
          <t>同上；高負債對 5% 利率敏感</t>
        </is>
      </c>
    </row>
    <row r="34">
      <c r="A34" s="31" t="n"/>
      <c r="B34" s="32" t="inlineStr">
        <is>
          <t>組合平均</t>
        </is>
      </c>
      <c r="C34" s="31" t="n"/>
      <c r="D34" s="31" t="n"/>
      <c r="E34" s="31" t="n"/>
      <c r="F34" s="31" t="n"/>
      <c r="G34" s="31" t="n"/>
      <c r="H34" s="33">
        <f>AVERAGE(H9:H33)</f>
        <v>0.022517396490427576</v>
      </c>
      <c r="I34" s="33">
        <f>AVERAGE(I9:I33)</f>
        <v>0.00514772691231713</v>
      </c>
      <c r="J34" s="31" t="n"/>
      <c r="K34" s="31" t="n"/>
      <c r="L34" s="34">
        <f>AVERAGE(L9:L33)</f>
        <v>1.213235079185607</v>
      </c>
      <c r="M34" s="31" t="n"/>
      <c r="N34" s="31" t="n"/>
      <c r="O34" s="31" t="n"/>
      <c r="P34" s="31" t="n"/>
      <c r="Q34" s="35">
        <f>AVERAGE(Q9:Q33)</f>
        <v>79.36</v>
      </c>
      <c r="R34" s="31" t="n"/>
      <c r="S34" s="31" t="n"/>
      <c r="T34" s="31" t="n"/>
      <c r="U34" s="31" t="n"/>
    </row>
    <row r="36">
      <c r="A36" s="9" t="inlineStr">
        <is>
          <t>組別說明：① 煉油＝最高信心（兩態皆贏）　② 醫療服務／工具＝資金流最確認　③ 電網＝AI 用電中有收入的一邊　④ 產險再保＝唯一「想要」5% 孳息的金融　⑤ AI 半導體＝戰術小注　⑥ 鋼鐵＝觀察不建倉</t>
        </is>
      </c>
    </row>
  </sheetData>
  <mergeCells count="4">
    <mergeCell ref="A1:U1"/>
    <mergeCell ref="A36:U36"/>
    <mergeCell ref="M4:Q4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1C1C"/>
    <outlinePr summaryBelow="1" summaryRight="1"/>
    <pageSetUpPr/>
  </sheetPr>
  <dimension ref="A1:M37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8" customWidth="1" min="11" max="11"/>
    <col width="56" customWidth="1" min="12" max="12"/>
    <col width="34" customWidth="1" min="13" max="13"/>
  </cols>
  <sheetData>
    <row r="1" ht="22" customHeight="1">
      <c r="A1" s="1" t="inlineStr">
        <is>
          <t>3 日迴避清單　Avoid List R1.00</t>
        </is>
      </c>
    </row>
    <row r="2">
      <c r="A2" s="2" t="inlineStr">
        <is>
          <t>基準 2026-09-16 美東收市　·　G/H/K 欄為公式　·　列出「有具體理由」的迴避標的，非泛泛看淡</t>
        </is>
      </c>
    </row>
    <row r="8" ht="30" customHeight="1">
      <c r="A8" s="17" t="inlineStr">
        <is>
          <t>類別</t>
        </is>
      </c>
      <c r="B8" s="17" t="inlineStr">
        <is>
          <t>代號</t>
        </is>
      </c>
      <c r="C8" s="17" t="inlineStr">
        <is>
          <t>公司</t>
        </is>
      </c>
      <c r="D8" s="17" t="inlineStr">
        <is>
          <t>收市
09-16</t>
        </is>
      </c>
      <c r="E8" s="17" t="inlineStr">
        <is>
          <t>前收
09-15</t>
        </is>
      </c>
      <c r="F8" s="17" t="inlineStr">
        <is>
          <t>5日前收
09-09</t>
        </is>
      </c>
      <c r="G8" s="17" t="inlineStr">
        <is>
          <t>09-16
漲跌%</t>
        </is>
      </c>
      <c r="H8" s="17" t="inlineStr">
        <is>
          <t>5日
漲跌%</t>
        </is>
      </c>
      <c r="I8" s="17" t="inlineStr">
        <is>
          <t>09-16
成交量</t>
        </is>
      </c>
      <c r="J8" s="17" t="inlineStr">
        <is>
          <t>20日
中位量</t>
        </is>
      </c>
      <c r="K8" s="17" t="inlineStr">
        <is>
          <t>相對量</t>
        </is>
      </c>
      <c r="L8" s="17" t="inlineStr">
        <is>
          <t>迴避理由</t>
        </is>
      </c>
      <c r="M8" s="17" t="inlineStr">
        <is>
          <t>何時反手做多</t>
        </is>
      </c>
    </row>
    <row r="9" ht="46" customHeight="1">
      <c r="A9" s="36" t="inlineStr">
        <is>
          <t>頁岩E&amp;P／油服</t>
        </is>
      </c>
      <c r="B9" s="37" t="inlineStr">
        <is>
          <t>FANG</t>
        </is>
      </c>
      <c r="C9" s="38" t="inlineStr">
        <is>
          <t>Diamondback Energy</t>
        </is>
      </c>
      <c r="D9" s="39" t="n">
        <v>194.54</v>
      </c>
      <c r="E9" s="39" t="n">
        <v>211.53</v>
      </c>
      <c r="F9" s="39" t="n">
        <v>202.63</v>
      </c>
      <c r="G9" s="40">
        <f>D9/E9-1</f>
        <v>-0.08031957641942045</v>
      </c>
      <c r="H9" s="40">
        <f>D9/F9-1</f>
        <v>-0.03992498642846565</v>
      </c>
      <c r="I9" s="41" t="n">
        <v>15400011</v>
      </c>
      <c r="J9" s="41" t="n">
        <v>1852750</v>
      </c>
      <c r="K9" s="42">
        <f>I9/J9</f>
        <v>8.311974632303333</v>
      </c>
      <c r="L9" s="38" t="inlineStr">
        <is>
          <t>擁擠多倉在 8.31x 成交量下爆掉——全表最極端的量能。前一交易日同組 APA 才創 52 週新高</t>
        </is>
      </c>
      <c r="M9" s="38" t="inlineStr">
        <is>
          <t>輸油管修復證實需 5–6 週，且量能回落至 1.5x 以下</t>
        </is>
      </c>
    </row>
    <row r="10" ht="46" customHeight="1">
      <c r="A10" s="36" t="inlineStr">
        <is>
          <t>頁岩E&amp;P／油服</t>
        </is>
      </c>
      <c r="B10" s="37" t="inlineStr">
        <is>
          <t>OXY</t>
        </is>
      </c>
      <c r="C10" s="38" t="inlineStr">
        <is>
          <t>Occidental Petroleum</t>
        </is>
      </c>
      <c r="D10" s="39" t="n">
        <v>59.36</v>
      </c>
      <c r="E10" s="39" t="n">
        <v>63.52</v>
      </c>
      <c r="F10" s="39" t="n">
        <v>61.3</v>
      </c>
      <c r="G10" s="40">
        <f>D10/E10-1</f>
        <v>-0.06549118387909325</v>
      </c>
      <c r="H10" s="40">
        <f>D10/F10-1</f>
        <v>-0.031647634584012985</v>
      </c>
      <c r="I10" s="41" t="n">
        <v>11536216</v>
      </c>
      <c r="J10" s="41" t="n">
        <v>7087900</v>
      </c>
      <c r="K10" s="42">
        <f>I10/J10</f>
        <v>1.627592940080983</v>
      </c>
      <c r="L10" s="38" t="inlineStr">
        <is>
          <t>同上；−6.55%、成交 1.63x</t>
        </is>
      </c>
      <c r="M10" s="38" t="inlineStr"/>
    </row>
    <row r="11" ht="46" customHeight="1">
      <c r="A11" s="36" t="inlineStr">
        <is>
          <t>頁岩E&amp;P／油服</t>
        </is>
      </c>
      <c r="B11" s="37" t="inlineStr">
        <is>
          <t>COP</t>
        </is>
      </c>
      <c r="C11" s="38" t="inlineStr">
        <is>
          <t>ConocoPhillips</t>
        </is>
      </c>
      <c r="D11" s="39" t="n">
        <v>132.54</v>
      </c>
      <c r="E11" s="39" t="n">
        <v>141.22</v>
      </c>
      <c r="F11" s="39" t="n">
        <v>136.53</v>
      </c>
      <c r="G11" s="40">
        <f>D11/E11-1</f>
        <v>-0.06146438181560687</v>
      </c>
      <c r="H11" s="40">
        <f>D11/F11-1</f>
        <v>-0.029224346297517134</v>
      </c>
      <c r="I11" s="41" t="n">
        <v>9045920</v>
      </c>
      <c r="J11" s="41" t="n">
        <v>6032150</v>
      </c>
      <c r="K11" s="42">
        <f>I11/J11</f>
        <v>1.4996178808550849</v>
      </c>
      <c r="L11" s="38" t="inlineStr">
        <is>
          <t>同上；−6.15%、成交 1.50x</t>
        </is>
      </c>
      <c r="M11" s="38" t="inlineStr"/>
    </row>
    <row r="12" ht="46" customHeight="1">
      <c r="A12" s="36" t="inlineStr">
        <is>
          <t>頁岩E&amp;P／油服</t>
        </is>
      </c>
      <c r="B12" s="37" t="inlineStr">
        <is>
          <t>EOG</t>
        </is>
      </c>
      <c r="C12" s="38" t="inlineStr">
        <is>
          <t>EOG Resources</t>
        </is>
      </c>
      <c r="D12" s="39" t="n">
        <v>144.93</v>
      </c>
      <c r="E12" s="39" t="n">
        <v>153.74</v>
      </c>
      <c r="F12" s="39" t="n">
        <v>147.01</v>
      </c>
      <c r="G12" s="40">
        <f>D12/E12-1</f>
        <v>-0.057304540132691595</v>
      </c>
      <c r="H12" s="40">
        <f>D12/F12-1</f>
        <v>-0.014148697367525886</v>
      </c>
      <c r="I12" s="41" t="n">
        <v>4385565</v>
      </c>
      <c r="J12" s="41" t="n">
        <v>2869250</v>
      </c>
      <c r="K12" s="42">
        <f>I12/J12</f>
        <v>1.5284708547529842</v>
      </c>
      <c r="L12" s="38" t="inlineStr">
        <is>
          <t>同上；−5.73%、成交 1.53x</t>
        </is>
      </c>
      <c r="M12" s="38" t="inlineStr"/>
    </row>
    <row r="13" ht="46" customHeight="1">
      <c r="A13" s="36" t="inlineStr">
        <is>
          <t>頁岩E&amp;P／油服</t>
        </is>
      </c>
      <c r="B13" s="37" t="inlineStr">
        <is>
          <t>DVN</t>
        </is>
      </c>
      <c r="C13" s="38" t="inlineStr">
        <is>
          <t>Devon Energy</t>
        </is>
      </c>
      <c r="D13" s="39" t="n">
        <v>48.44</v>
      </c>
      <c r="E13" s="39" t="n">
        <v>51.33</v>
      </c>
      <c r="F13" s="39" t="n">
        <v>48.98</v>
      </c>
      <c r="G13" s="40">
        <f>D13/E13-1</f>
        <v>-0.05630235729592836</v>
      </c>
      <c r="H13" s="40">
        <f>D13/F13-1</f>
        <v>-0.01102490812576562</v>
      </c>
      <c r="I13" s="41" t="n">
        <v>14976497</v>
      </c>
      <c r="J13" s="41" t="n">
        <v>10321150</v>
      </c>
      <c r="K13" s="42">
        <f>I13/J13</f>
        <v>1.4510492532324402</v>
      </c>
      <c r="L13" s="38" t="inlineStr">
        <is>
          <t>同上；−5.63%、成交 1.45x</t>
        </is>
      </c>
      <c r="M13" s="38" t="inlineStr"/>
    </row>
    <row r="14" ht="46" customHeight="1">
      <c r="A14" s="36" t="inlineStr">
        <is>
          <t>頁岩E&amp;P／油服</t>
        </is>
      </c>
      <c r="B14" s="37" t="inlineStr">
        <is>
          <t>SLB</t>
        </is>
      </c>
      <c r="C14" s="38" t="inlineStr">
        <is>
          <t>SLB (Schlumberger)</t>
        </is>
      </c>
      <c r="D14" s="39" t="n">
        <v>52.3</v>
      </c>
      <c r="E14" s="39" t="n">
        <v>54.2</v>
      </c>
      <c r="F14" s="39" t="n">
        <v>57.05</v>
      </c>
      <c r="G14" s="40">
        <f>D14/E14-1</f>
        <v>-0.035055350553505615</v>
      </c>
      <c r="H14" s="40">
        <f>D14/F14-1</f>
        <v>-0.08326029798422441</v>
      </c>
      <c r="I14" s="41" t="n">
        <v>21322320</v>
      </c>
      <c r="J14" s="41" t="n">
        <v>11813250</v>
      </c>
      <c r="K14" s="42">
        <f>I14/J14</f>
        <v>1.8049495270141578</v>
      </c>
      <c r="L14" s="38" t="inlineStr">
        <is>
          <t>油服 5 日 −8.33%；上游資本開支預期隨油價回落而下修</t>
        </is>
      </c>
      <c r="M14" s="38" t="inlineStr"/>
    </row>
    <row r="15" ht="46" customHeight="1">
      <c r="A15" s="36" t="inlineStr">
        <is>
          <t>頁岩E&amp;P／油服</t>
        </is>
      </c>
      <c r="B15" s="37" t="inlineStr">
        <is>
          <t>HAL</t>
        </is>
      </c>
      <c r="C15" s="38" t="inlineStr">
        <is>
          <t>Halliburton</t>
        </is>
      </c>
      <c r="D15" s="39" t="n">
        <v>34.51</v>
      </c>
      <c r="E15" s="39" t="n">
        <v>35.67</v>
      </c>
      <c r="F15" s="39" t="n">
        <v>37.13</v>
      </c>
      <c r="G15" s="40">
        <f>D15/E15-1</f>
        <v>-0.0325203252032521</v>
      </c>
      <c r="H15" s="40">
        <f>D15/F15-1</f>
        <v>-0.07056288715324543</v>
      </c>
      <c r="I15" s="41" t="n">
        <v>13783174</v>
      </c>
      <c r="J15" s="41" t="n">
        <v>9902350</v>
      </c>
      <c r="K15" s="42">
        <f>I15/J15</f>
        <v>1.3919093952445631</v>
      </c>
      <c r="L15" s="38" t="inlineStr">
        <is>
          <t>同上；5 日 −7.06%</t>
        </is>
      </c>
      <c r="M15" s="38" t="inlineStr"/>
    </row>
    <row r="16" ht="46" customHeight="1">
      <c r="A16" s="36" t="inlineStr">
        <is>
          <t>頁岩E&amp;P／油服</t>
        </is>
      </c>
      <c r="B16" s="37" t="inlineStr">
        <is>
          <t>RIG</t>
        </is>
      </c>
      <c r="C16" s="38" t="inlineStr">
        <is>
          <t>Transocean</t>
        </is>
      </c>
      <c r="D16" s="39" t="n">
        <v>5.54</v>
      </c>
      <c r="E16" s="39" t="n">
        <v>5.94</v>
      </c>
      <c r="F16" s="39" t="n">
        <v>5.71</v>
      </c>
      <c r="G16" s="40">
        <f>D16/E16-1</f>
        <v>-0.06734006734006737</v>
      </c>
      <c r="H16" s="40">
        <f>D16/F16-1</f>
        <v>-0.02977232924693518</v>
      </c>
      <c r="I16" s="41" t="n">
        <v>58121780</v>
      </c>
      <c r="J16" s="41" t="n">
        <v>39924850</v>
      </c>
      <c r="K16" s="42">
        <f>I16/J16</f>
        <v>1.4557795458217127</v>
      </c>
      <c r="L16" s="38" t="inlineStr">
        <is>
          <t>海上鑽井組 9/16 −5.47%，為 111 組第 109 位</t>
        </is>
      </c>
      <c r="M16" s="38" t="inlineStr"/>
    </row>
    <row r="17" ht="46" customHeight="1">
      <c r="A17" s="36" t="inlineStr">
        <is>
          <t>綜合油氣巨頭</t>
        </is>
      </c>
      <c r="B17" s="37" t="inlineStr">
        <is>
          <t>XOM</t>
        </is>
      </c>
      <c r="C17" s="38" t="inlineStr">
        <is>
          <t>Exxon Mobil</t>
        </is>
      </c>
      <c r="D17" s="39" t="n">
        <v>163.32</v>
      </c>
      <c r="E17" s="39" t="n">
        <v>169.32</v>
      </c>
      <c r="F17" s="39" t="n">
        <v>164.23</v>
      </c>
      <c r="G17" s="40">
        <f>D17/E17-1</f>
        <v>-0.03543586109142449</v>
      </c>
      <c r="H17" s="40">
        <f>D17/F17-1</f>
        <v>-0.0055410095597637765</v>
      </c>
      <c r="I17" s="41" t="n">
        <v>13428810</v>
      </c>
      <c r="J17" s="41" t="n">
        <v>13779050</v>
      </c>
      <c r="K17" s="42">
        <f>I17/J17</f>
        <v>0.9745817019315555</v>
      </c>
      <c r="L17" s="38" t="inlineStr">
        <is>
          <t>−3.54%；上游佔比高，與煉油分部的對沖不足以抵銷</t>
        </is>
      </c>
      <c r="M17" s="38" t="inlineStr">
        <is>
          <t>下游佔比提升或裂解利潤入賬體現</t>
        </is>
      </c>
    </row>
    <row r="18" ht="46" customHeight="1">
      <c r="A18" s="36" t="inlineStr">
        <is>
          <t>綜合油氣巨頭</t>
        </is>
      </c>
      <c r="B18" s="37" t="inlineStr">
        <is>
          <t>CVX</t>
        </is>
      </c>
      <c r="C18" s="38" t="inlineStr">
        <is>
          <t>Chevron</t>
        </is>
      </c>
      <c r="D18" s="39" t="n">
        <v>211.54</v>
      </c>
      <c r="E18" s="39" t="n">
        <v>217.77</v>
      </c>
      <c r="F18" s="39" t="n">
        <v>213.81</v>
      </c>
      <c r="G18" s="40">
        <f>D18/E18-1</f>
        <v>-0.028608164577306416</v>
      </c>
      <c r="H18" s="40">
        <f>D18/F18-1</f>
        <v>-0.010616902857677468</v>
      </c>
      <c r="I18" s="41" t="n">
        <v>8045164</v>
      </c>
      <c r="J18" s="41" t="n">
        <v>7908100</v>
      </c>
      <c r="K18" s="42">
        <f>I18/J18</f>
        <v>1.017332102527788</v>
      </c>
      <c r="L18" s="38" t="inlineStr">
        <is>
          <t>−2.86%；同上</t>
        </is>
      </c>
      <c r="M18" s="38" t="inlineStr"/>
    </row>
    <row r="19" ht="46" customHeight="1">
      <c r="A19" s="36" t="inlineStr">
        <is>
          <t>區域銀行</t>
        </is>
      </c>
      <c r="B19" s="37" t="inlineStr">
        <is>
          <t>USB</t>
        </is>
      </c>
      <c r="C19" s="38" t="inlineStr">
        <is>
          <t>U.S. Bancorp</t>
        </is>
      </c>
      <c r="D19" s="39" t="n">
        <v>59.73</v>
      </c>
      <c r="E19" s="39" t="n">
        <v>62.22</v>
      </c>
      <c r="F19" s="39" t="n">
        <v>62.11</v>
      </c>
      <c r="G19" s="40">
        <f>D19/E19-1</f>
        <v>-0.04001928640308583</v>
      </c>
      <c r="H19" s="40">
        <f>D19/F19-1</f>
        <v>-0.03831911125422638</v>
      </c>
      <c r="I19" s="41" t="n">
        <v>17454429</v>
      </c>
      <c r="J19" s="41" t="n">
        <v>6283850</v>
      </c>
      <c r="K19" s="42">
        <f>I19/J19</f>
        <v>2.777664807403105</v>
      </c>
      <c r="L19" s="38" t="inlineStr">
        <is>
          <t>5% 的 10Y ＝ 持債未實現虧損擴大 + 存款成本上升 + CRE 曝險。−4.00%、成交 2.78x 屬明顯分派</t>
        </is>
      </c>
      <c r="M19" s="38" t="inlineStr">
        <is>
          <t>孳息曲線轉陡（長端回落而短端不動）</t>
        </is>
      </c>
    </row>
    <row r="20" ht="46" customHeight="1">
      <c r="A20" s="36" t="inlineStr">
        <is>
          <t>區域銀行</t>
        </is>
      </c>
      <c r="B20" s="37" t="inlineStr">
        <is>
          <t>PNC</t>
        </is>
      </c>
      <c r="C20" s="38" t="inlineStr">
        <is>
          <t>PNC Financial</t>
        </is>
      </c>
      <c r="D20" s="39" t="n">
        <v>231.49</v>
      </c>
      <c r="E20" s="39" t="n">
        <v>240.78</v>
      </c>
      <c r="F20" s="39" t="n">
        <v>240.69</v>
      </c>
      <c r="G20" s="40">
        <f>D20/E20-1</f>
        <v>-0.03858293878229091</v>
      </c>
      <c r="H20" s="40">
        <f>D20/F20-1</f>
        <v>-0.03822344094062902</v>
      </c>
      <c r="I20" s="41" t="n">
        <v>2752968</v>
      </c>
      <c r="J20" s="41" t="n">
        <v>1456000</v>
      </c>
      <c r="K20" s="42">
        <f>I20/J20</f>
        <v>1.8907747252747253</v>
      </c>
      <c r="L20" s="38" t="inlineStr">
        <is>
          <t>同上；−3.86%、成交 1.89x</t>
        </is>
      </c>
      <c r="M20" s="38" t="inlineStr"/>
    </row>
    <row r="21" ht="46" customHeight="1">
      <c r="A21" s="36" t="inlineStr">
        <is>
          <t>區域銀行</t>
        </is>
      </c>
      <c r="B21" s="37" t="inlineStr">
        <is>
          <t>ZION</t>
        </is>
      </c>
      <c r="C21" s="38" t="inlineStr">
        <is>
          <t>Zions Bancorporation</t>
        </is>
      </c>
      <c r="D21" s="39" t="n">
        <v>65.47</v>
      </c>
      <c r="E21" s="39" t="n">
        <v>67.98999999999999</v>
      </c>
      <c r="F21" s="39" t="n">
        <v>68.11</v>
      </c>
      <c r="G21" s="40">
        <f>D21/E21-1</f>
        <v>-0.037064274157964316</v>
      </c>
      <c r="H21" s="40">
        <f>D21/F21-1</f>
        <v>-0.03876082807223613</v>
      </c>
      <c r="I21" s="41" t="n">
        <v>2312683</v>
      </c>
      <c r="J21" s="41" t="n">
        <v>1298600</v>
      </c>
      <c r="K21" s="42">
        <f>I21/J21</f>
        <v>1.780904820576005</v>
      </c>
      <c r="L21" s="38" t="inlineStr">
        <is>
          <t>同上；−3.71%、成交 1.78x</t>
        </is>
      </c>
      <c r="M21" s="38" t="inlineStr"/>
    </row>
    <row r="22" ht="46" customHeight="1">
      <c r="A22" s="36" t="inlineStr">
        <is>
          <t>投行與資本巿場</t>
        </is>
      </c>
      <c r="B22" s="37" t="inlineStr">
        <is>
          <t>GS</t>
        </is>
      </c>
      <c r="C22" s="38" t="inlineStr">
        <is>
          <t>Goldman Sachs</t>
        </is>
      </c>
      <c r="D22" s="39" t="n">
        <v>937.98</v>
      </c>
      <c r="E22" s="39" t="n">
        <v>976.67</v>
      </c>
      <c r="F22" s="39" t="n">
        <v>1028.78</v>
      </c>
      <c r="G22" s="40">
        <f>D22/E22-1</f>
        <v>-0.03961419926894438</v>
      </c>
      <c r="H22" s="40">
        <f>D22/F22-1</f>
        <v>-0.08825988063531554</v>
      </c>
      <c r="I22" s="41" t="n">
        <v>3546168</v>
      </c>
      <c r="J22" s="41" t="n">
        <v>1800900</v>
      </c>
      <c r="K22" s="42">
        <f>I22/J22</f>
        <v>1.9691087789438615</v>
      </c>
      <c r="L22" s="38" t="inlineStr">
        <is>
          <t>5 日 −8.83%；孳息 5% 下 IPO/M&amp;A 窗口關閉，deal flow 凍結</t>
        </is>
      </c>
      <c r="M22" s="38" t="inlineStr">
        <is>
          <t>孳息回落至 4.5% 以下且併購公告回升</t>
        </is>
      </c>
    </row>
    <row r="23" ht="46" customHeight="1">
      <c r="A23" s="36" t="inlineStr">
        <is>
          <t>投行與資本巿場</t>
        </is>
      </c>
      <c r="B23" s="37" t="inlineStr">
        <is>
          <t>MS</t>
        </is>
      </c>
      <c r="C23" s="38" t="inlineStr">
        <is>
          <t>Morgan Stanley</t>
        </is>
      </c>
      <c r="D23" s="39" t="n">
        <v>202.42</v>
      </c>
      <c r="E23" s="39" t="n">
        <v>206.28</v>
      </c>
      <c r="F23" s="39" t="n">
        <v>215.35</v>
      </c>
      <c r="G23" s="40">
        <f>D23/E23-1</f>
        <v>-0.018712429707194222</v>
      </c>
      <c r="H23" s="40">
        <f>D23/F23-1</f>
        <v>-0.060041792430926444</v>
      </c>
      <c r="I23" s="41" t="n">
        <v>6999366</v>
      </c>
      <c r="J23" s="41" t="n">
        <v>3925900</v>
      </c>
      <c r="K23" s="42">
        <f>I23/J23</f>
        <v>1.7828691510226955</v>
      </c>
      <c r="L23" s="38" t="inlineStr">
        <is>
          <t>同上；5 日 −6.00%</t>
        </is>
      </c>
      <c r="M23" s="38" t="inlineStr"/>
    </row>
    <row r="24" ht="46" customHeight="1">
      <c r="A24" s="36" t="inlineStr">
        <is>
          <t>鈾與核燃料／SMR</t>
        </is>
      </c>
      <c r="B24" s="37" t="inlineStr">
        <is>
          <t>OKLO</t>
        </is>
      </c>
      <c r="C24" s="38" t="inlineStr">
        <is>
          <t>Oklo</t>
        </is>
      </c>
      <c r="D24" s="39" t="n">
        <v>35.62</v>
      </c>
      <c r="E24" s="39" t="n">
        <v>35.98</v>
      </c>
      <c r="F24" s="39" t="n">
        <v>42.57</v>
      </c>
      <c r="G24" s="40">
        <f>D24/E24-1</f>
        <v>-0.010005558643690904</v>
      </c>
      <c r="H24" s="40">
        <f>D24/F24-1</f>
        <v>-0.1632605120977214</v>
      </c>
      <c r="I24" s="41" t="n">
        <v>7791736</v>
      </c>
      <c r="J24" s="41" t="n">
        <v>7796150</v>
      </c>
      <c r="K24" s="42">
        <f>I24/J24</f>
        <v>0.9994338231049942</v>
      </c>
      <c r="L24" s="38" t="inlineStr">
        <is>
          <t>零收入、長久期，加息周期中最先被殺。5 日 −16.33%（組別 −17.74%，111 組最差之一）</t>
        </is>
      </c>
      <c r="M24" s="38" t="inlineStr">
        <is>
          <t>孳息見頂回落，或簽訂有實質現金流的 offtake</t>
        </is>
      </c>
    </row>
    <row r="25" ht="46" customHeight="1">
      <c r="A25" s="36" t="inlineStr">
        <is>
          <t>鈾與核燃料／SMR</t>
        </is>
      </c>
      <c r="B25" s="37" t="inlineStr">
        <is>
          <t>CCJ</t>
        </is>
      </c>
      <c r="C25" s="38" t="inlineStr">
        <is>
          <t>Cameco</t>
        </is>
      </c>
      <c r="D25" s="39" t="n">
        <v>90.90000000000001</v>
      </c>
      <c r="E25" s="39" t="n">
        <v>91.20999999999999</v>
      </c>
      <c r="F25" s="39" t="n">
        <v>100.41</v>
      </c>
      <c r="G25" s="40">
        <f>D25/E25-1</f>
        <v>-0.003398750137046269</v>
      </c>
      <c r="H25" s="40">
        <f>D25/F25-1</f>
        <v>-0.0947116821033761</v>
      </c>
      <c r="I25" s="41" t="n">
        <v>2114588</v>
      </c>
      <c r="J25" s="41" t="n">
        <v>2289300</v>
      </c>
      <c r="K25" s="42">
        <f>I25/J25</f>
        <v>0.9236832219455728</v>
      </c>
      <c r="L25" s="38" t="inlineStr">
        <is>
          <t>鈾組 5 日 −16.32%，廣度 0.04（幾乎全組下跌）</t>
        </is>
      </c>
      <c r="M25" s="38" t="inlineStr"/>
    </row>
    <row r="26" ht="46" customHeight="1">
      <c r="A26" s="36" t="inlineStr">
        <is>
          <t>稀土與關鍵礦產</t>
        </is>
      </c>
      <c r="B26" s="37" t="inlineStr">
        <is>
          <t>MP</t>
        </is>
      </c>
      <c r="C26" s="38" t="inlineStr">
        <is>
          <t>MP Materials</t>
        </is>
      </c>
      <c r="D26" s="39" t="n">
        <v>48.99</v>
      </c>
      <c r="E26" s="39" t="n">
        <v>49.17</v>
      </c>
      <c r="F26" s="39" t="n">
        <v>54.3</v>
      </c>
      <c r="G26" s="40">
        <f>D26/E26-1</f>
        <v>-0.0036607687614399476</v>
      </c>
      <c r="H26" s="40">
        <f>D26/F26-1</f>
        <v>-0.09779005524861872</v>
      </c>
      <c r="I26" s="41" t="n">
        <v>3766247</v>
      </c>
      <c r="J26" s="41" t="n">
        <v>4808850</v>
      </c>
      <c r="K26" s="42">
        <f>I26/J26</f>
        <v>0.7831907836592948</v>
      </c>
      <c r="L26" s="38" t="inlineStr">
        <is>
          <t>5 日 −9.78%（組別 −13.96%）；同屬長久期主題股</t>
        </is>
      </c>
      <c r="M26" s="38" t="inlineStr"/>
    </row>
    <row r="27" ht="46" customHeight="1">
      <c r="A27" s="36" t="inlineStr">
        <is>
          <t>住宅建築商</t>
        </is>
      </c>
      <c r="B27" s="37" t="inlineStr">
        <is>
          <t>DHI</t>
        </is>
      </c>
      <c r="C27" s="38" t="inlineStr">
        <is>
          <t>D.R. Horton</t>
        </is>
      </c>
      <c r="D27" s="39" t="n">
        <v>138.32</v>
      </c>
      <c r="E27" s="39" t="n">
        <v>140.2</v>
      </c>
      <c r="F27" s="39" t="n">
        <v>138.93</v>
      </c>
      <c r="G27" s="40">
        <f>D27/E27-1</f>
        <v>-0.013409415121255264</v>
      </c>
      <c r="H27" s="40">
        <f>D27/F27-1</f>
        <v>-0.004390700352695731</v>
      </c>
      <c r="I27" s="41" t="n">
        <v>3932995</v>
      </c>
      <c r="J27" s="41" t="n">
        <v>1928200</v>
      </c>
      <c r="K27" s="42">
        <f>I27/J27</f>
        <v>2.0397235763924906</v>
      </c>
      <c r="L27" s="38" t="inlineStr">
        <is>
          <t>10Y 5% → 按揭利率跟升。已在 2.04x 成交量下下跌，而 9/17（週四）8 月新屋開工就是直接的向下催化劑</t>
        </is>
      </c>
      <c r="M27" s="38" t="inlineStr">
        <is>
          <t>10Y 明確跌穿 4.5%</t>
        </is>
      </c>
    </row>
    <row r="28" ht="46" customHeight="1">
      <c r="A28" s="36" t="inlineStr">
        <is>
          <t>住宅建築商</t>
        </is>
      </c>
      <c r="B28" s="37" t="inlineStr">
        <is>
          <t>LEN</t>
        </is>
      </c>
      <c r="C28" s="38" t="inlineStr">
        <is>
          <t>Lennar</t>
        </is>
      </c>
      <c r="D28" s="39" t="n">
        <v>78.36</v>
      </c>
      <c r="E28" s="39" t="n">
        <v>80.06999999999999</v>
      </c>
      <c r="F28" s="39" t="n">
        <v>80.76000000000001</v>
      </c>
      <c r="G28" s="40">
        <f>D28/E28-1</f>
        <v>-0.021356313225927237</v>
      </c>
      <c r="H28" s="40">
        <f>D28/F28-1</f>
        <v>-0.029717682020802494</v>
      </c>
      <c r="I28" s="41" t="n">
        <v>6117645</v>
      </c>
      <c r="J28" s="41" t="n">
        <v>2451200</v>
      </c>
      <c r="K28" s="42">
        <f>I28/J28</f>
        <v>2.4957755385117495</v>
      </c>
      <c r="L28" s="38" t="inlineStr">
        <is>
          <t>同上；成交 2.50x</t>
        </is>
      </c>
      <c r="M28" s="38" t="inlineStr"/>
    </row>
    <row r="29" ht="46" customHeight="1">
      <c r="A29" s="36" t="inlineStr">
        <is>
          <t>數位資產</t>
        </is>
      </c>
      <c r="B29" s="37" t="inlineStr">
        <is>
          <t>COIN</t>
        </is>
      </c>
      <c r="C29" s="38" t="inlineStr">
        <is>
          <t>Coinbase</t>
        </is>
      </c>
      <c r="D29" s="39" t="n">
        <v>164.51</v>
      </c>
      <c r="E29" s="39" t="n">
        <v>172.11</v>
      </c>
      <c r="F29" s="39" t="n">
        <v>174.72</v>
      </c>
      <c r="G29" s="40">
        <f>D29/E29-1</f>
        <v>-0.04415780605426778</v>
      </c>
      <c r="H29" s="40">
        <f>D29/F29-1</f>
        <v>-0.05843635531135538</v>
      </c>
      <c r="I29" s="41" t="n">
        <v>13685409</v>
      </c>
      <c r="J29" s="41" t="n">
        <v>9628700</v>
      </c>
      <c r="K29" s="42">
        <f>I29/J29</f>
        <v>1.4213142999574189</v>
      </c>
      <c r="L29" s="38" t="inlineStr">
        <is>
          <t>實質利率 beta 最高的一類；−4.42%（組別 5 日 −8.10%、淨流出 −$81.2 億）</t>
        </is>
      </c>
      <c r="M29" s="38" t="inlineStr">
        <is>
          <t>實質利率見頂</t>
        </is>
      </c>
    </row>
    <row r="30" ht="46" customHeight="1">
      <c r="A30" s="36" t="inlineStr">
        <is>
          <t>貨運與物流</t>
        </is>
      </c>
      <c r="B30" s="37" t="inlineStr">
        <is>
          <t>FDX</t>
        </is>
      </c>
      <c r="C30" s="38" t="inlineStr">
        <is>
          <t>FedEx</t>
        </is>
      </c>
      <c r="D30" s="39" t="n">
        <v>301.72</v>
      </c>
      <c r="E30" s="39" t="n">
        <v>308.26</v>
      </c>
      <c r="F30" s="39" t="n">
        <v>309.19</v>
      </c>
      <c r="G30" s="40">
        <f>D30/E30-1</f>
        <v>-0.021215856744306594</v>
      </c>
      <c r="H30" s="40">
        <f>D30/F30-1</f>
        <v>-0.0241599016785794</v>
      </c>
      <c r="I30" s="41" t="n">
        <v>1578698</v>
      </c>
      <c r="J30" s="41" t="n">
        <v>1287650</v>
      </c>
      <c r="K30" s="42">
        <f>I30/J30</f>
        <v>1.226030365394323</v>
      </c>
      <c r="L30" s="38" t="inlineStr">
        <is>
          <t>指引下調屬多日重估而非一日事件；組別 9/16 −4.94%、成交 3.15x</t>
        </is>
      </c>
      <c r="M30" s="38" t="inlineStr">
        <is>
          <t>指引重設後的首次上修</t>
        </is>
      </c>
    </row>
    <row r="31" ht="46" customHeight="1">
      <c r="A31" s="36" t="inlineStr">
        <is>
          <t>貨運與物流</t>
        </is>
      </c>
      <c r="B31" s="37" t="inlineStr">
        <is>
          <t>UPS</t>
        </is>
      </c>
      <c r="C31" s="38" t="inlineStr">
        <is>
          <t>United Parcel Service</t>
        </is>
      </c>
      <c r="D31" s="39" t="n">
        <v>98.77</v>
      </c>
      <c r="E31" s="39" t="n">
        <v>102.35</v>
      </c>
      <c r="F31" s="39" t="n">
        <v>99.22</v>
      </c>
      <c r="G31" s="40">
        <f>D31/E31-1</f>
        <v>-0.0349780166096727</v>
      </c>
      <c r="H31" s="40">
        <f>D31/F31-1</f>
        <v>-0.004535375932271712</v>
      </c>
      <c r="I31" s="41" t="n">
        <v>4943050</v>
      </c>
      <c r="J31" s="41" t="n">
        <v>3717400</v>
      </c>
      <c r="K31" s="42">
        <f>I31/J31</f>
        <v>1.3297062463011782</v>
      </c>
      <c r="L31" s="38" t="inlineStr">
        <is>
          <t>同上；−3.50%</t>
        </is>
      </c>
      <c r="M31" s="38" t="inlineStr"/>
    </row>
    <row r="32" ht="46" customHeight="1">
      <c r="A32" s="36" t="inlineStr">
        <is>
          <t>電信／債券代理</t>
        </is>
      </c>
      <c r="B32" s="37" t="inlineStr">
        <is>
          <t>T</t>
        </is>
      </c>
      <c r="C32" s="38" t="inlineStr">
        <is>
          <t>AT&amp;T</t>
        </is>
      </c>
      <c r="D32" s="39" t="n">
        <v>25.86</v>
      </c>
      <c r="E32" s="39" t="n">
        <v>26.72</v>
      </c>
      <c r="F32" s="39" t="n">
        <v>25.15</v>
      </c>
      <c r="G32" s="40">
        <f>D32/E32-1</f>
        <v>-0.03218562874251496</v>
      </c>
      <c r="H32" s="40">
        <f>D32/F32-1</f>
        <v>0.028230616302186817</v>
      </c>
      <c r="I32" s="41" t="n">
        <v>37788742</v>
      </c>
      <c r="J32" s="41" t="n">
        <v>32823800</v>
      </c>
      <c r="K32" s="42">
        <f>I32/J32</f>
        <v>1.1512604268853697</v>
      </c>
      <c r="L32" s="38" t="inlineStr">
        <is>
          <t>5% 無風險利率下股息吸引力被壓縮；−3.22%</t>
        </is>
      </c>
      <c r="M32" s="38" t="inlineStr">
        <is>
          <t>孳息回落</t>
        </is>
      </c>
    </row>
    <row r="33" ht="46" customHeight="1">
      <c r="A33" s="36" t="inlineStr">
        <is>
          <t>電信／債券代理</t>
        </is>
      </c>
      <c r="B33" s="37" t="inlineStr">
        <is>
          <t>VZ</t>
        </is>
      </c>
      <c r="C33" s="38" t="inlineStr">
        <is>
          <t>Verizon</t>
        </is>
      </c>
      <c r="D33" s="39" t="n">
        <v>49.76</v>
      </c>
      <c r="E33" s="39" t="n">
        <v>51.45</v>
      </c>
      <c r="F33" s="39" t="n">
        <v>49.74</v>
      </c>
      <c r="G33" s="40">
        <f>D33/E33-1</f>
        <v>-0.032847424684159465</v>
      </c>
      <c r="H33" s="40">
        <f>D33/F33-1</f>
        <v>0.0004020908725370642</v>
      </c>
      <c r="I33" s="41" t="n">
        <v>24326001</v>
      </c>
      <c r="J33" s="41" t="n">
        <v>18057600</v>
      </c>
      <c r="K33" s="42">
        <f>I33/J33</f>
        <v>1.3471336722488039</v>
      </c>
      <c r="L33" s="38" t="inlineStr">
        <is>
          <t>同上；−3.28%</t>
        </is>
      </c>
      <c r="M33" s="38" t="inlineStr"/>
    </row>
    <row r="34" ht="46" customHeight="1">
      <c r="A34" s="36" t="inlineStr">
        <is>
          <t>再生能源</t>
        </is>
      </c>
      <c r="B34" s="37" t="inlineStr">
        <is>
          <t>NEE</t>
        </is>
      </c>
      <c r="C34" s="38" t="inlineStr">
        <is>
          <t>NextEra Energy</t>
        </is>
      </c>
      <c r="D34" s="39" t="n">
        <v>80.37</v>
      </c>
      <c r="E34" s="39" t="n">
        <v>81.06999999999999</v>
      </c>
      <c r="F34" s="39" t="n">
        <v>82.65000000000001</v>
      </c>
      <c r="G34" s="40">
        <f>D34/E34-1</f>
        <v>-0.008634513383495634</v>
      </c>
      <c r="H34" s="40">
        <f>D34/F34-1</f>
        <v>-0.02758620689655178</v>
      </c>
      <c r="I34" s="41" t="n">
        <v>9620130</v>
      </c>
      <c r="J34" s="41" t="n">
        <v>11151200</v>
      </c>
      <c r="K34" s="42">
        <f>I34/J34</f>
        <v>0.8626990817131789</v>
      </c>
      <c r="L34" s="38" t="inlineStr">
        <is>
          <t>公用事業 + 再生能源雙重久期曝險；組別 9/16 −2.67%</t>
        </is>
      </c>
      <c r="M34" s="38" t="inlineStr">
        <is>
          <t>孳息回落 + 稅務抵免政策明朗</t>
        </is>
      </c>
    </row>
    <row r="35">
      <c r="A35" s="43" t="n"/>
      <c r="B35" s="43" t="n"/>
      <c r="C35" s="44" t="inlineStr">
        <is>
          <t>組合平均</t>
        </is>
      </c>
      <c r="D35" s="43" t="n"/>
      <c r="E35" s="43" t="n"/>
      <c r="F35" s="43" t="n"/>
      <c r="G35" s="45">
        <f>AVERAGE(G9:G34)</f>
        <v>-0.035372499566752036</v>
      </c>
      <c r="H35" s="45">
        <f>AVERAGE(H9:H34)</f>
        <v>-0.04097249297714292</v>
      </c>
      <c r="I35" s="43" t="n"/>
      <c r="J35" s="43" t="n"/>
      <c r="K35" s="46">
        <f>AVERAGE(K9:K34)</f>
        <v>1.7632511981961299</v>
      </c>
      <c r="L35" s="43" t="n"/>
      <c r="M35" s="43" t="n"/>
    </row>
    <row r="37" ht="30" customHeight="1">
      <c r="A37" s="9" t="inlineStr">
        <is>
          <t>註：迴避＝未來 3 日不新增多倉，非建議沽空。FANG 的 8.31x 成交量屬投降式放量，此類日子有時反而是階段底；但在 +16% 月線漲幅後遇上供應恢復頭條，3 日內的基準情境是震盪而非 V 型反彈。</t>
        </is>
      </c>
    </row>
  </sheetData>
  <mergeCells count="3">
    <mergeCell ref="A2:M2"/>
    <mergeCell ref="A1:M1"/>
    <mergeCell ref="A37:M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A88"/>
    <outlinePr summaryBelow="1" summaryRight="1"/>
    <pageSetUpPr/>
  </sheetPr>
  <dimension ref="A1:P12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8" customWidth="1" min="12" max="12"/>
    <col width="13" customWidth="1" min="13" max="13"/>
    <col width="13" customWidth="1" min="14" max="14"/>
    <col width="40" customWidth="1" min="15" max="15"/>
    <col width="30" customWidth="1" min="16" max="16"/>
  </cols>
  <sheetData>
    <row r="1" ht="22" customHeight="1">
      <c r="A1" s="1" t="inlineStr">
        <is>
          <t>111 個子板塊資金流證據（可追溯全表）</t>
        </is>
      </c>
    </row>
    <row r="2">
      <c r="A2" s="2" t="inlineStr">
        <is>
          <t>來源：SubSector 資金流向 Watchlist R11.00　·　視窗 2026-09-10 → 2026-09-16　·　按 5 日綜合分排序　·　※ 淨額含 9/16 未結算成交量，屬臨時值</t>
        </is>
      </c>
    </row>
    <row r="8" ht="30" customHeight="1">
      <c r="A8" s="17" t="inlineStr">
        <is>
          <t>5日
排名</t>
        </is>
      </c>
      <c r="B8" s="17" t="inlineStr">
        <is>
          <t>子板塊</t>
        </is>
      </c>
      <c r="C8" s="17" t="inlineStr">
        <is>
          <t>English</t>
        </is>
      </c>
      <c r="D8" s="17" t="inlineStr">
        <is>
          <t>大板塊</t>
        </is>
      </c>
      <c r="E8" s="17" t="inlineStr">
        <is>
          <t>5日
分數</t>
        </is>
      </c>
      <c r="F8" s="17" t="inlineStr">
        <is>
          <t>09-16
分數</t>
        </is>
      </c>
      <c r="G8" s="17" t="inlineStr">
        <is>
          <t>09-16
漲跌%</t>
        </is>
      </c>
      <c r="H8" s="17" t="inlineStr">
        <is>
          <t>5日
漲跌%</t>
        </is>
      </c>
      <c r="I8" s="17" t="inlineStr">
        <is>
          <t>09-16
廣度</t>
        </is>
      </c>
      <c r="J8" s="17" t="inlineStr">
        <is>
          <t>5日
廣度</t>
        </is>
      </c>
      <c r="K8" s="17" t="inlineStr">
        <is>
          <t>09-16
相對量</t>
        </is>
      </c>
      <c r="L8" s="17" t="inlineStr">
        <is>
          <t>斜率</t>
        </is>
      </c>
      <c r="M8" s="17" t="inlineStr">
        <is>
          <t>09-16 淨額※
(US$ 百萬)</t>
        </is>
      </c>
      <c r="N8" s="17" t="inlineStr">
        <is>
          <t>5日 淨額※
(US$ 百萬)</t>
        </is>
      </c>
      <c r="O8" s="17" t="inlineStr">
        <is>
          <t>成分股</t>
        </is>
      </c>
      <c r="P8" s="17" t="inlineStr">
        <is>
          <t>備註</t>
        </is>
      </c>
    </row>
    <row r="9">
      <c r="A9" s="47">
        <f>ROW()-8</f>
        <v>1.0</v>
      </c>
      <c r="B9" s="48" t="inlineStr">
        <is>
          <t>診斷與生命科學工具</t>
        </is>
      </c>
      <c r="C9" s="49" t="inlineStr">
        <is>
          <t>Diagnostics &amp; Life-Science Tools</t>
        </is>
      </c>
      <c r="D9" s="49" t="inlineStr">
        <is>
          <t>醫療保健 Health Care</t>
        </is>
      </c>
      <c r="E9" s="50" t="n">
        <v>100</v>
      </c>
      <c r="F9" s="50" t="n">
        <v>93.63636363636364</v>
      </c>
      <c r="G9" s="51" t="n">
        <v>0.0147073996766291</v>
      </c>
      <c r="H9" s="51" t="n">
        <v>0.06650981331874806</v>
      </c>
      <c r="I9" s="52" t="n">
        <v>1</v>
      </c>
      <c r="J9" s="52" t="n">
        <v>0.75</v>
      </c>
      <c r="K9" s="53" t="n">
        <v>1.625250297880566</v>
      </c>
      <c r="L9" s="54" t="n">
        <v>0.5549825229981689</v>
      </c>
      <c r="M9" s="55" t="n">
        <v>397.4116040642455</v>
      </c>
      <c r="N9" s="55" t="n">
        <v>4514.759456609045</v>
      </c>
      <c r="O9" s="49" t="inlineStr">
        <is>
          <t>TMO,DHR,A,ILMN</t>
        </is>
      </c>
      <c r="P9" s="56" t="inlineStr">
        <is>
          <t>★ 第②組：5 日分數 111 組之首，但 5 日已 +6.65%</t>
        </is>
      </c>
    </row>
    <row r="10">
      <c r="A10" s="57">
        <f>ROW()-8</f>
        <v>2.0</v>
      </c>
      <c r="B10" s="6" t="inlineStr">
        <is>
          <t>網絡安全</t>
        </is>
      </c>
      <c r="C10" s="9" t="inlineStr">
        <is>
          <t>Cybersecurity</t>
        </is>
      </c>
      <c r="D10" s="9" t="inlineStr">
        <is>
          <t>資訊科技 Information Technology</t>
        </is>
      </c>
      <c r="E10" s="58" t="n">
        <v>99.09090909090909</v>
      </c>
      <c r="F10" s="58" t="n">
        <v>70</v>
      </c>
      <c r="G10" s="11" t="n">
        <v>-0.006352915441720297</v>
      </c>
      <c r="H10" s="11" t="n">
        <v>0.1440760091779885</v>
      </c>
      <c r="I10" s="59" t="n">
        <v>0.6</v>
      </c>
      <c r="J10" s="59" t="n">
        <v>0.72</v>
      </c>
      <c r="K10" s="60" t="n">
        <v>1.205607604696467</v>
      </c>
      <c r="L10" s="61" t="n">
        <v>0.1996764615748604</v>
      </c>
      <c r="M10" s="62" t="n">
        <v>756.1281230197794</v>
      </c>
      <c r="N10" s="62" t="n">
        <v>13175.11465225679</v>
      </c>
      <c r="O10" s="9" t="inlineStr">
        <is>
          <t>PANW,CRWD,ZS,FTNT,S</t>
        </is>
      </c>
      <c r="P10" s="6" t="inlineStr"/>
    </row>
    <row r="11">
      <c r="A11" s="47">
        <f>ROW()-8</f>
        <v>3.0</v>
      </c>
      <c r="B11" s="48" t="inlineStr">
        <is>
          <t>醫院與醫療服務</t>
        </is>
      </c>
      <c r="C11" s="49" t="inlineStr">
        <is>
          <t>Hospitals &amp; Providers</t>
        </is>
      </c>
      <c r="D11" s="49" t="inlineStr">
        <is>
          <t>醫療保健 Health Care</t>
        </is>
      </c>
      <c r="E11" s="50" t="n">
        <v>98.18181818181819</v>
      </c>
      <c r="F11" s="50" t="n">
        <v>99.09090909090909</v>
      </c>
      <c r="G11" s="51" t="n">
        <v>0.01870132918695183</v>
      </c>
      <c r="H11" s="51" t="n">
        <v>0.01469788548862438</v>
      </c>
      <c r="I11" s="52" t="n">
        <v>1</v>
      </c>
      <c r="J11" s="52" t="n">
        <v>0.7</v>
      </c>
      <c r="K11" s="53" t="n">
        <v>1.125792685761358</v>
      </c>
      <c r="L11" s="54" t="n">
        <v>0.5069603157760544</v>
      </c>
      <c r="M11" s="55" t="n">
        <v>551.3408511175368</v>
      </c>
      <c r="N11" s="55" t="n">
        <v>775.5022086022274</v>
      </c>
      <c r="O11" s="49" t="inlineStr">
        <is>
          <t>HCA,THC,UHS,EHC</t>
        </is>
      </c>
      <c r="P11" s="56" t="inlineStr">
        <is>
          <t>★ 第②組：9/16 廣度 1.00，5 日僅 +1.47% ＝ 未伸展</t>
        </is>
      </c>
    </row>
    <row r="12">
      <c r="A12" s="47">
        <f>ROW()-8</f>
        <v>4.0</v>
      </c>
      <c r="B12" s="48" t="inlineStr">
        <is>
          <t>煉油與成品油</t>
        </is>
      </c>
      <c r="C12" s="49" t="inlineStr">
        <is>
          <t>Refining &amp; Marketing</t>
        </is>
      </c>
      <c r="D12" s="49" t="inlineStr">
        <is>
          <t>能源 Energy</t>
        </is>
      </c>
      <c r="E12" s="50" t="n">
        <v>97.27272727272728</v>
      </c>
      <c r="F12" s="50" t="n">
        <v>97.27272727272728</v>
      </c>
      <c r="G12" s="51" t="n">
        <v>0.0093509290969786</v>
      </c>
      <c r="H12" s="51" t="n">
        <v>0.03544814901133653</v>
      </c>
      <c r="I12" s="52" t="n">
        <v>1</v>
      </c>
      <c r="J12" s="52" t="n">
        <v>0.6</v>
      </c>
      <c r="K12" s="53" t="n">
        <v>1.3313237270705</v>
      </c>
      <c r="L12" s="54" t="n">
        <v>0.7038523495613236</v>
      </c>
      <c r="M12" s="55" t="n">
        <v>1645.190660135147</v>
      </c>
      <c r="N12" s="55" t="n">
        <v>-1170.092037468956</v>
      </c>
      <c r="O12" s="49" t="inlineStr">
        <is>
          <t>MPC,PSX,VLO,DINO</t>
        </is>
      </c>
      <c r="P12" s="56" t="inlineStr">
        <is>
          <t>★ 本清單第①組：9/16 能源板塊中唯一上升，與頁岩 E&amp;P 同日相差 7.4 個百分點</t>
        </is>
      </c>
    </row>
    <row r="13">
      <c r="A13" s="57">
        <f>ROW()-8</f>
        <v>5.0</v>
      </c>
      <c r="B13" s="6" t="inlineStr">
        <is>
          <t>電子硬件與EMS/連接器</t>
        </is>
      </c>
      <c r="C13" s="9" t="inlineStr">
        <is>
          <t>Electronic Hardware, EMS &amp; Connectors</t>
        </is>
      </c>
      <c r="D13" s="9" t="inlineStr">
        <is>
          <t>資訊科技 Information Technology</t>
        </is>
      </c>
      <c r="E13" s="58" t="n">
        <v>96.36363636363636</v>
      </c>
      <c r="F13" s="58" t="n">
        <v>91.81818181818183</v>
      </c>
      <c r="G13" s="11" t="n">
        <v>0.006927673818712139</v>
      </c>
      <c r="H13" s="11" t="n">
        <v>-0.00691109155417835</v>
      </c>
      <c r="I13" s="59" t="n">
        <v>0.8333333333333334</v>
      </c>
      <c r="J13" s="59" t="n">
        <v>0.5666666666666667</v>
      </c>
      <c r="K13" s="60" t="n">
        <v>1.502363419336113</v>
      </c>
      <c r="L13" s="61" t="n">
        <v>0.04189702769631602</v>
      </c>
      <c r="M13" s="62" t="n">
        <v>-4145.374030832468</v>
      </c>
      <c r="N13" s="62" t="n">
        <v>26421.86909970992</v>
      </c>
      <c r="O13" s="9" t="inlineStr">
        <is>
          <t>AAPL,DELL,FLEX,JBL,APH,TEL</t>
        </is>
      </c>
      <c r="P13" s="6" t="inlineStr"/>
    </row>
    <row r="14">
      <c r="A14" s="47">
        <f>ROW()-8</f>
        <v>6.0</v>
      </c>
      <c r="B14" s="48" t="inlineStr">
        <is>
          <t>產險與再保</t>
        </is>
      </c>
      <c r="C14" s="49" t="inlineStr">
        <is>
          <t>P&amp;C Insurance &amp; Reinsurance</t>
        </is>
      </c>
      <c r="D14" s="49" t="inlineStr">
        <is>
          <t>金融 Financials</t>
        </is>
      </c>
      <c r="E14" s="50" t="n">
        <v>95.45454545454545</v>
      </c>
      <c r="F14" s="50" t="n">
        <v>69.09090909090909</v>
      </c>
      <c r="G14" s="51" t="n">
        <v>-0.003521787399278153</v>
      </c>
      <c r="H14" s="51" t="n">
        <v>0.01831947258000399</v>
      </c>
      <c r="I14" s="52" t="n">
        <v>0.8</v>
      </c>
      <c r="J14" s="52" t="n">
        <v>0.84</v>
      </c>
      <c r="K14" s="53" t="n">
        <v>1.047535314453079</v>
      </c>
      <c r="L14" s="54" t="n">
        <v>-0.06348111999715823</v>
      </c>
      <c r="M14" s="55" t="n">
        <v>-108.3040659062218</v>
      </c>
      <c r="N14" s="55" t="n">
        <v>1456.184808085425</v>
      </c>
      <c r="O14" s="49" t="inlineStr">
        <is>
          <t>CB,TRV,PGR,AIG,RNR</t>
        </is>
      </c>
      <c r="P14" s="56" t="inlineStr">
        <is>
          <t>★ 第④組：5 日廣度 0.84 為全表最高</t>
        </is>
      </c>
    </row>
    <row r="15">
      <c r="A15" s="57">
        <f>ROW()-8</f>
        <v>7.0</v>
      </c>
      <c r="B15" s="6" t="inlineStr">
        <is>
          <t>國防科技與無人機</t>
        </is>
      </c>
      <c r="C15" s="9" t="inlineStr">
        <is>
          <t>Defense Tech &amp; Drones</t>
        </is>
      </c>
      <c r="D15" s="9" t="inlineStr">
        <is>
          <t>工業 Industrials</t>
        </is>
      </c>
      <c r="E15" s="58" t="n">
        <v>94.54545454545455</v>
      </c>
      <c r="F15" s="58" t="n">
        <v>67.27272727272727</v>
      </c>
      <c r="G15" s="11" t="n">
        <v>-0.02970561080210393</v>
      </c>
      <c r="H15" s="11" t="n">
        <v>-0.004556237269644936</v>
      </c>
      <c r="I15" s="59" t="n">
        <v>0.5</v>
      </c>
      <c r="J15" s="59" t="n">
        <v>0.6</v>
      </c>
      <c r="K15" s="60" t="n">
        <v>1.386029410179289</v>
      </c>
      <c r="L15" s="61" t="n">
        <v>0.01817132353408753</v>
      </c>
      <c r="M15" s="62" t="n">
        <v>429.3105714489286</v>
      </c>
      <c r="N15" s="62" t="n">
        <v>490.6382500348421</v>
      </c>
      <c r="O15" s="9" t="inlineStr">
        <is>
          <t>AVAV,KTOS,RCAT,ONDS</t>
        </is>
      </c>
      <c r="P15" s="6" t="inlineStr"/>
    </row>
    <row r="16">
      <c r="A16" s="57">
        <f>ROW()-8</f>
        <v>8.0</v>
      </c>
      <c r="B16" s="6" t="inlineStr">
        <is>
          <t>資料/分析平台</t>
        </is>
      </c>
      <c r="C16" s="9" t="inlineStr">
        <is>
          <t>Data &amp; Analytics Platforms</t>
        </is>
      </c>
      <c r="D16" s="9" t="inlineStr">
        <is>
          <t>資訊科技 Information Technology</t>
        </is>
      </c>
      <c r="E16" s="58" t="n">
        <v>93.63636363636364</v>
      </c>
      <c r="F16" s="58" t="n">
        <v>92.72727272727272</v>
      </c>
      <c r="G16" s="11" t="n">
        <v>0.008486264073020888</v>
      </c>
      <c r="H16" s="11" t="n">
        <v>0.02592805416796895</v>
      </c>
      <c r="I16" s="59" t="n">
        <v>1</v>
      </c>
      <c r="J16" s="59" t="n">
        <v>0.65</v>
      </c>
      <c r="K16" s="60" t="n">
        <v>0.8020581635508029</v>
      </c>
      <c r="L16" s="61" t="n">
        <v>0.3171355922272995</v>
      </c>
      <c r="M16" s="62" t="n">
        <v>2973.796198505534</v>
      </c>
      <c r="N16" s="62" t="n">
        <v>6137.622761025026</v>
      </c>
      <c r="O16" s="9" t="inlineStr">
        <is>
          <t>PLTR,SNOW,MDB,DDOG</t>
        </is>
      </c>
      <c r="P16" s="6" t="inlineStr"/>
    </row>
    <row r="17">
      <c r="A17" s="57">
        <f>ROW()-8</f>
        <v>9.0</v>
      </c>
      <c r="B17" s="6" t="inlineStr">
        <is>
          <t>大型網絡平台與數位廣告</t>
        </is>
      </c>
      <c r="C17" s="9" t="inlineStr">
        <is>
          <t>Mega-cap Internet &amp; Digital Ads</t>
        </is>
      </c>
      <c r="D17" s="9" t="inlineStr">
        <is>
          <t>通訊服務 Communication Services</t>
        </is>
      </c>
      <c r="E17" s="58" t="n">
        <v>92.72727272727272</v>
      </c>
      <c r="F17" s="58" t="n">
        <v>61.81818181818181</v>
      </c>
      <c r="G17" s="11" t="n">
        <v>-0.0007679324084282069</v>
      </c>
      <c r="H17" s="11" t="n">
        <v>0.03361909620908765</v>
      </c>
      <c r="I17" s="59" t="n">
        <v>0.5</v>
      </c>
      <c r="J17" s="59" t="n">
        <v>0.7</v>
      </c>
      <c r="K17" s="60" t="n">
        <v>0.9535824662793015</v>
      </c>
      <c r="L17" s="61" t="n">
        <v>-0.01762402510814777</v>
      </c>
      <c r="M17" s="62" t="n">
        <v>-11879.12453732675</v>
      </c>
      <c r="N17" s="62" t="n">
        <v>-4885.075520857718</v>
      </c>
      <c r="O17" s="9" t="inlineStr">
        <is>
          <t>GOOGL,META</t>
        </is>
      </c>
      <c r="P17" s="6" t="inlineStr"/>
    </row>
    <row r="18">
      <c r="A18" s="57">
        <f>ROW()-8</f>
        <v>10.0</v>
      </c>
      <c r="B18" s="6" t="inlineStr">
        <is>
          <t>社交與線上社群</t>
        </is>
      </c>
      <c r="C18" s="9" t="inlineStr">
        <is>
          <t>Social &amp; Community Platforms</t>
        </is>
      </c>
      <c r="D18" s="9" t="inlineStr">
        <is>
          <t>通訊服務 Communication Services</t>
        </is>
      </c>
      <c r="E18" s="58" t="n">
        <v>91.81818181818183</v>
      </c>
      <c r="F18" s="58" t="n">
        <v>29.09090909090909</v>
      </c>
      <c r="G18" s="11" t="n">
        <v>-0.01397922908801319</v>
      </c>
      <c r="H18" s="11" t="n">
        <v>0.05676234552344694</v>
      </c>
      <c r="I18" s="59" t="n">
        <v>0</v>
      </c>
      <c r="J18" s="59" t="n">
        <v>0.7</v>
      </c>
      <c r="K18" s="60" t="n">
        <v>0.9974107302445214</v>
      </c>
      <c r="L18" s="61" t="n">
        <v>-0.7771863077161241</v>
      </c>
      <c r="M18" s="62" t="n">
        <v>-539.5471961505601</v>
      </c>
      <c r="N18" s="62" t="n">
        <v>724.9017188428047</v>
      </c>
      <c r="O18" s="9" t="inlineStr">
        <is>
          <t>PINS,SNAP,RDDT,MTCH</t>
        </is>
      </c>
      <c r="P18" s="6" t="inlineStr"/>
    </row>
    <row r="19">
      <c r="A19" s="47">
        <f>ROW()-8</f>
        <v>11.0</v>
      </c>
      <c r="B19" s="48" t="inlineStr">
        <is>
          <t>鋼鐵</t>
        </is>
      </c>
      <c r="C19" s="49" t="inlineStr">
        <is>
          <t>Steel</t>
        </is>
      </c>
      <c r="D19" s="49" t="inlineStr">
        <is>
          <t>原材料 Materials</t>
        </is>
      </c>
      <c r="E19" s="50" t="n">
        <v>90.90909090909091</v>
      </c>
      <c r="F19" s="50" t="n">
        <v>87.27272727272727</v>
      </c>
      <c r="G19" s="51" t="n">
        <v>0.009862419876434131</v>
      </c>
      <c r="H19" s="51" t="n">
        <v>0.001036517545482729</v>
      </c>
      <c r="I19" s="52" t="n">
        <v>1</v>
      </c>
      <c r="J19" s="52" t="n">
        <v>0.65</v>
      </c>
      <c r="K19" s="53" t="n">
        <v>1.03895184820834</v>
      </c>
      <c r="L19" s="54" t="n">
        <v>0.2912175914728005</v>
      </c>
      <c r="M19" s="55" t="n">
        <v>-84.03842594442797</v>
      </c>
      <c r="N19" s="55" t="n">
        <v>113.6909051946858</v>
      </c>
      <c r="O19" s="49" t="inlineStr">
        <is>
          <t>NUE,STLD,CLF,RS</t>
        </is>
      </c>
      <c r="P19" s="56" t="inlineStr">
        <is>
          <t>★ 第⑥組：觀察，方向未確立</t>
        </is>
      </c>
    </row>
    <row r="20">
      <c r="A20" s="57">
        <f>ROW()-8</f>
        <v>12.0</v>
      </c>
      <c r="B20" s="6" t="inlineStr">
        <is>
          <t>壽險與年金</t>
        </is>
      </c>
      <c r="C20" s="9" t="inlineStr">
        <is>
          <t>Life Insurance &amp; Annuities</t>
        </is>
      </c>
      <c r="D20" s="9" t="inlineStr">
        <is>
          <t>金融 Financials</t>
        </is>
      </c>
      <c r="E20" s="58" t="n">
        <v>90</v>
      </c>
      <c r="F20" s="58" t="n">
        <v>49.09090909090909</v>
      </c>
      <c r="G20" s="11" t="n">
        <v>-0.01197166634324562</v>
      </c>
      <c r="H20" s="11" t="n">
        <v>0.007634740987962685</v>
      </c>
      <c r="I20" s="59" t="n">
        <v>0.2</v>
      </c>
      <c r="J20" s="59" t="n">
        <v>0.76</v>
      </c>
      <c r="K20" s="60" t="n">
        <v>1.401370919003115</v>
      </c>
      <c r="L20" s="61" t="n">
        <v>-0.2495563861851629</v>
      </c>
      <c r="M20" s="62" t="n">
        <v>-97.22220544603542</v>
      </c>
      <c r="N20" s="62" t="n">
        <v>1154.674777552481</v>
      </c>
      <c r="O20" s="9" t="inlineStr">
        <is>
          <t>MET,PRU,AFL,LNC,EQH</t>
        </is>
      </c>
      <c r="P20" s="6" t="inlineStr"/>
    </row>
    <row r="21">
      <c r="A21" s="57">
        <f>ROW()-8</f>
        <v>13.0</v>
      </c>
      <c r="B21" s="6" t="inlineStr">
        <is>
          <t>醫療器械</t>
        </is>
      </c>
      <c r="C21" s="9" t="inlineStr">
        <is>
          <t>Medical Devices</t>
        </is>
      </c>
      <c r="D21" s="9" t="inlineStr">
        <is>
          <t>醫療保健 Health Care</t>
        </is>
      </c>
      <c r="E21" s="58" t="n">
        <v>89.09090909090909</v>
      </c>
      <c r="F21" s="58" t="n">
        <v>77.27272727272727</v>
      </c>
      <c r="G21" s="11" t="n">
        <v>0.003412391808957937</v>
      </c>
      <c r="H21" s="11" t="n">
        <v>0.0143715486348579</v>
      </c>
      <c r="I21" s="59" t="n">
        <v>0.8</v>
      </c>
      <c r="J21" s="59" t="n">
        <v>0.64</v>
      </c>
      <c r="K21" s="60" t="n">
        <v>1.350563614210017</v>
      </c>
      <c r="L21" s="61" t="n">
        <v>0.1665291612212193</v>
      </c>
      <c r="M21" s="62" t="n">
        <v>-1508.274815663668</v>
      </c>
      <c r="N21" s="62" t="n">
        <v>-1883.996747899686</v>
      </c>
      <c r="O21" s="9" t="inlineStr">
        <is>
          <t>ABT,MDT,SYK,BSX,ISRG</t>
        </is>
      </c>
      <c r="P21" s="6" t="inlineStr"/>
    </row>
    <row r="22">
      <c r="A22" s="47">
        <f>ROW()-8</f>
        <v>14.0</v>
      </c>
      <c r="B22" s="48" t="inlineStr">
        <is>
          <t>電氣設備與電網</t>
        </is>
      </c>
      <c r="C22" s="49" t="inlineStr">
        <is>
          <t>Electrical Equipment &amp; Grid</t>
        </is>
      </c>
      <c r="D22" s="49" t="inlineStr">
        <is>
          <t>工業 Industrials</t>
        </is>
      </c>
      <c r="E22" s="50" t="n">
        <v>88.18181818181819</v>
      </c>
      <c r="F22" s="50" t="n">
        <v>94.54545454545455</v>
      </c>
      <c r="G22" s="51" t="n">
        <v>0.01291889461606435</v>
      </c>
      <c r="H22" s="51" t="n">
        <v>-0.02876587996376923</v>
      </c>
      <c r="I22" s="52" t="n">
        <v>0.8</v>
      </c>
      <c r="J22" s="52" t="n">
        <v>0.48</v>
      </c>
      <c r="K22" s="53" t="n">
        <v>1.336499914649474</v>
      </c>
      <c r="L22" s="54" t="n">
        <v>0.3174821202280442</v>
      </c>
      <c r="M22" s="55" t="n">
        <v>1202.113169685403</v>
      </c>
      <c r="N22" s="55" t="n">
        <v>-734.5229901694686</v>
      </c>
      <c r="O22" s="49" t="inlineStr">
        <is>
          <t>ETN,EMR,PWR,HUBB,GEV</t>
        </is>
      </c>
      <c r="P22" s="56" t="inlineStr">
        <is>
          <t>★ 第③組：9/16 單日 94.5 分而 5 日 −2.88% ＝ 動能已重置</t>
        </is>
      </c>
    </row>
    <row r="23">
      <c r="A23" s="57">
        <f>ROW()-8</f>
        <v>15.0</v>
      </c>
      <c r="B23" s="6" t="inlineStr">
        <is>
          <t>家庭與個人護理</t>
        </is>
      </c>
      <c r="C23" s="9" t="inlineStr">
        <is>
          <t>Household &amp; Personal Care</t>
        </is>
      </c>
      <c r="D23" s="9" t="inlineStr">
        <is>
          <t>必需消費 Consumer Staples</t>
        </is>
      </c>
      <c r="E23" s="58" t="n">
        <v>87.27272727272727</v>
      </c>
      <c r="F23" s="58" t="n">
        <v>73.63636363636363</v>
      </c>
      <c r="G23" s="11" t="n">
        <v>0.000113248835726143</v>
      </c>
      <c r="H23" s="11" t="n">
        <v>-0.00317676331028971</v>
      </c>
      <c r="I23" s="59" t="n">
        <v>0.6</v>
      </c>
      <c r="J23" s="59" t="n">
        <v>0.64</v>
      </c>
      <c r="K23" s="60" t="n">
        <v>1.056700927664365</v>
      </c>
      <c r="L23" s="61" t="n">
        <v>0.08640644037640861</v>
      </c>
      <c r="M23" s="62" t="n">
        <v>-571.2034273848842</v>
      </c>
      <c r="N23" s="62" t="n">
        <v>-730.651807074442</v>
      </c>
      <c r="O23" s="9" t="inlineStr">
        <is>
          <t>PG,CL,KMB,CHD,EL</t>
        </is>
      </c>
      <c r="P23" s="6" t="inlineStr"/>
    </row>
    <row r="24">
      <c r="A24" s="57">
        <f>ROW()-8</f>
        <v>16.0</v>
      </c>
      <c r="B24" s="6" t="inlineStr">
        <is>
          <t>辦公樓REIT</t>
        </is>
      </c>
      <c r="C24" s="9" t="inlineStr">
        <is>
          <t>Office REITs</t>
        </is>
      </c>
      <c r="D24" s="9" t="inlineStr">
        <is>
          <t>房地產 Real Estate</t>
        </is>
      </c>
      <c r="E24" s="58" t="n">
        <v>86.36363636363636</v>
      </c>
      <c r="F24" s="58" t="n">
        <v>90</v>
      </c>
      <c r="G24" s="11" t="n">
        <v>0.002105665681455843</v>
      </c>
      <c r="H24" s="11" t="n">
        <v>0.0003164156649511085</v>
      </c>
      <c r="I24" s="59" t="n">
        <v>1</v>
      </c>
      <c r="J24" s="59" t="n">
        <v>0.55</v>
      </c>
      <c r="K24" s="60" t="n">
        <v>1.435241001538009</v>
      </c>
      <c r="L24" s="61" t="n">
        <v>0.08642301507426156</v>
      </c>
      <c r="M24" s="62" t="n">
        <v>70.51005867028969</v>
      </c>
      <c r="N24" s="62" t="n">
        <v>-70.60602097964555</v>
      </c>
      <c r="O24" s="9" t="inlineStr">
        <is>
          <t>BXP,VNO,SLG,HIW</t>
        </is>
      </c>
      <c r="P24" s="6" t="inlineStr"/>
    </row>
    <row r="25">
      <c r="A25" s="57">
        <f>ROW()-8</f>
        <v>17.0</v>
      </c>
      <c r="B25" s="6" t="inlineStr">
        <is>
          <t>AI資料中心建設</t>
        </is>
      </c>
      <c r="C25" s="9" t="inlineStr">
        <is>
          <t>AI Data Center Buildout</t>
        </is>
      </c>
      <c r="D25" s="9" t="inlineStr">
        <is>
          <t>資訊科技 Information Technology</t>
        </is>
      </c>
      <c r="E25" s="58" t="n">
        <v>85.45454545454545</v>
      </c>
      <c r="F25" s="58" t="n">
        <v>96.36363636363636</v>
      </c>
      <c r="G25" s="11" t="n">
        <v>0.02203038853327382</v>
      </c>
      <c r="H25" s="11" t="n">
        <v>-0.02745777537299599</v>
      </c>
      <c r="I25" s="59" t="n">
        <v>1</v>
      </c>
      <c r="J25" s="59" t="n">
        <v>0.48</v>
      </c>
      <c r="K25" s="60" t="n">
        <v>1.34496473187168</v>
      </c>
      <c r="L25" s="61" t="n">
        <v>0.4742518842296336</v>
      </c>
      <c r="M25" s="62" t="n">
        <v>-523.5590383138583</v>
      </c>
      <c r="N25" s="62" t="n">
        <v>-2392.565945063428</v>
      </c>
      <c r="O25" s="9" t="inlineStr">
        <is>
          <t>VRT,SMCI,ANET,MOD,CIEN</t>
        </is>
      </c>
      <c r="P25" s="6" t="inlineStr"/>
    </row>
    <row r="26">
      <c r="A26" s="57">
        <f>ROW()-8</f>
        <v>18.0</v>
      </c>
      <c r="B26" s="6" t="inlineStr">
        <is>
          <t>人力與商業服務</t>
        </is>
      </c>
      <c r="C26" s="9" t="inlineStr">
        <is>
          <t>Staffing &amp; Business Services</t>
        </is>
      </c>
      <c r="D26" s="9" t="inlineStr">
        <is>
          <t>工業 Industrials</t>
        </is>
      </c>
      <c r="E26" s="58" t="n">
        <v>84.54545454545455</v>
      </c>
      <c r="F26" s="58" t="n">
        <v>47.27272727272727</v>
      </c>
      <c r="G26" s="11" t="n">
        <v>-0.01267197160125182</v>
      </c>
      <c r="H26" s="11" t="n">
        <v>0.005551543168347495</v>
      </c>
      <c r="I26" s="59" t="n">
        <v>0.2</v>
      </c>
      <c r="J26" s="59" t="n">
        <v>0.5600000000000001</v>
      </c>
      <c r="K26" s="60" t="n">
        <v>1.223869059109687</v>
      </c>
      <c r="L26" s="61" t="n">
        <v>-0.202791030693377</v>
      </c>
      <c r="M26" s="62" t="n">
        <v>-581.5302985039349</v>
      </c>
      <c r="N26" s="62" t="n">
        <v>264.9714284715011</v>
      </c>
      <c r="O26" s="9" t="inlineStr">
        <is>
          <t>ADP,PAYX,MAN,RHI,CTAS</t>
        </is>
      </c>
      <c r="P26" s="6" t="inlineStr"/>
    </row>
    <row r="27">
      <c r="A27" s="57">
        <f>ROW()-8</f>
        <v>19.0</v>
      </c>
      <c r="B27" s="6" t="inlineStr">
        <is>
          <t>工業與物流REIT</t>
        </is>
      </c>
      <c r="C27" s="9" t="inlineStr">
        <is>
          <t>Industrial &amp; Logistics REITs</t>
        </is>
      </c>
      <c r="D27" s="9" t="inlineStr">
        <is>
          <t>房地產 Real Estate</t>
        </is>
      </c>
      <c r="E27" s="58" t="n">
        <v>83.63636363636363</v>
      </c>
      <c r="F27" s="58" t="n">
        <v>51.81818181818182</v>
      </c>
      <c r="G27" s="11" t="n">
        <v>-0.00506680604684262</v>
      </c>
      <c r="H27" s="11" t="n">
        <v>-0.002460022569619857</v>
      </c>
      <c r="I27" s="59" t="n">
        <v>0.75</v>
      </c>
      <c r="J27" s="59" t="n">
        <v>0.65</v>
      </c>
      <c r="K27" s="60" t="n">
        <v>1.238964433877962</v>
      </c>
      <c r="L27" s="61" t="n">
        <v>0.08581950091495867</v>
      </c>
      <c r="M27" s="62" t="n">
        <v>-261.5330111207509</v>
      </c>
      <c r="N27" s="62" t="n">
        <v>322.3396470999854</v>
      </c>
      <c r="O27" s="9" t="inlineStr">
        <is>
          <t>PLD,EGP,FR,STAG</t>
        </is>
      </c>
      <c r="P27" s="6" t="inlineStr"/>
    </row>
    <row r="28">
      <c r="A28" s="57">
        <f>ROW()-8</f>
        <v>20.0</v>
      </c>
      <c r="B28" s="6" t="inlineStr">
        <is>
          <t>串流影音</t>
        </is>
      </c>
      <c r="C28" s="9" t="inlineStr">
        <is>
          <t>Streaming Video</t>
        </is>
      </c>
      <c r="D28" s="9" t="inlineStr">
        <is>
          <t>通訊服務 Communication Services</t>
        </is>
      </c>
      <c r="E28" s="58" t="n">
        <v>82.72727272727273</v>
      </c>
      <c r="F28" s="58" t="n">
        <v>56.36363636363636</v>
      </c>
      <c r="G28" s="11" t="n">
        <v>-0.005480305990433726</v>
      </c>
      <c r="H28" s="11" t="n">
        <v>0.01326094283196833</v>
      </c>
      <c r="I28" s="59" t="n">
        <v>0.5</v>
      </c>
      <c r="J28" s="59" t="n">
        <v>0.75</v>
      </c>
      <c r="K28" s="60" t="n">
        <v>1.166114473930272</v>
      </c>
      <c r="L28" s="61" t="n">
        <v>-0.4746198375504532</v>
      </c>
      <c r="M28" s="62" t="n">
        <v>-2117.13188110672</v>
      </c>
      <c r="N28" s="62" t="n">
        <v>956.1932477617197</v>
      </c>
      <c r="O28" s="9" t="inlineStr">
        <is>
          <t>NFLX,DIS,WBD,ROKU</t>
        </is>
      </c>
      <c r="P28" s="6" t="inlineStr"/>
    </row>
    <row r="29">
      <c r="A29" s="57">
        <f>ROW()-8</f>
        <v>21.0</v>
      </c>
      <c r="B29" s="6" t="inlineStr">
        <is>
          <t>數位醫療與遠距醫療</t>
        </is>
      </c>
      <c r="C29" s="9" t="inlineStr">
        <is>
          <t>Digital Health &amp; Telehealth</t>
        </is>
      </c>
      <c r="D29" s="9" t="inlineStr">
        <is>
          <t>醫療保健 Health Care</t>
        </is>
      </c>
      <c r="E29" s="58" t="n">
        <v>81.81818181818183</v>
      </c>
      <c r="F29" s="58" t="n">
        <v>80</v>
      </c>
      <c r="G29" s="11" t="n">
        <v>-0.00386403894173884</v>
      </c>
      <c r="H29" s="11" t="n">
        <v>0.03728190988295133</v>
      </c>
      <c r="I29" s="59" t="n">
        <v>0.75</v>
      </c>
      <c r="J29" s="59" t="n">
        <v>0.7</v>
      </c>
      <c r="K29" s="60" t="n">
        <v>0.9557402059422179</v>
      </c>
      <c r="L29" s="61" t="n">
        <v>-0.191581033557987</v>
      </c>
      <c r="M29" s="62" t="n">
        <v>1.789333263907976</v>
      </c>
      <c r="N29" s="62" t="n">
        <v>-136.3528927460558</v>
      </c>
      <c r="O29" s="9" t="inlineStr">
        <is>
          <t>HIMS,TDOC,DOCS,OSCR</t>
        </is>
      </c>
      <c r="P29" s="6" t="inlineStr"/>
    </row>
    <row r="30">
      <c r="A30" s="57">
        <f>ROW()-8</f>
        <v>22.0</v>
      </c>
      <c r="B30" s="6" t="inlineStr">
        <is>
          <t>資料中心REIT</t>
        </is>
      </c>
      <c r="C30" s="9" t="inlineStr">
        <is>
          <t>Data Center REITs</t>
        </is>
      </c>
      <c r="D30" s="9" t="inlineStr">
        <is>
          <t>房地產 Real Estate</t>
        </is>
      </c>
      <c r="E30" s="58" t="n">
        <v>80.90909090909091</v>
      </c>
      <c r="F30" s="58" t="n">
        <v>89.09090909090909</v>
      </c>
      <c r="G30" s="11" t="n">
        <v>0.00957855401319474</v>
      </c>
      <c r="H30" s="11" t="n">
        <v>-0.03408256880763949</v>
      </c>
      <c r="I30" s="59" t="n">
        <v>1</v>
      </c>
      <c r="J30" s="59" t="n">
        <v>0.6</v>
      </c>
      <c r="K30" s="60" t="n">
        <v>1.18704841103682</v>
      </c>
      <c r="L30" s="61" t="n">
        <v>0.5188731062723523</v>
      </c>
      <c r="M30" s="62" t="n">
        <v>-300.0930912442223</v>
      </c>
      <c r="N30" s="62" t="n">
        <v>-748.4603578771826</v>
      </c>
      <c r="O30" s="9" t="inlineStr">
        <is>
          <t>EQIX,DLR</t>
        </is>
      </c>
      <c r="P30" s="6" t="inlineStr"/>
    </row>
    <row r="31">
      <c r="A31" s="57">
        <f>ROW()-8</f>
        <v>23.0</v>
      </c>
      <c r="B31" s="6" t="inlineStr">
        <is>
          <t>大型藥廠</t>
        </is>
      </c>
      <c r="C31" s="9" t="inlineStr">
        <is>
          <t>Large-cap Pharma</t>
        </is>
      </c>
      <c r="D31" s="9" t="inlineStr">
        <is>
          <t>醫療保健 Health Care</t>
        </is>
      </c>
      <c r="E31" s="58" t="n">
        <v>80</v>
      </c>
      <c r="F31" s="58" t="n">
        <v>79.09090909090909</v>
      </c>
      <c r="G31" s="11" t="n">
        <v>0.0003786682748338118</v>
      </c>
      <c r="H31" s="11" t="n">
        <v>0.002755908482171332</v>
      </c>
      <c r="I31" s="59" t="n">
        <v>1</v>
      </c>
      <c r="J31" s="59" t="n">
        <v>0.7</v>
      </c>
      <c r="K31" s="60" t="n">
        <v>0.785715915991252</v>
      </c>
      <c r="L31" s="61" t="n">
        <v>0.2028767186301885</v>
      </c>
      <c r="M31" s="62" t="n">
        <v>-469.2101942798664</v>
      </c>
      <c r="N31" s="62" t="n">
        <v>-7867.742580723522</v>
      </c>
      <c r="O31" s="9" t="inlineStr">
        <is>
          <t>LLY,JNJ,PFE,MRK,ABBV,BMY</t>
        </is>
      </c>
      <c r="P31" s="6" t="inlineStr"/>
    </row>
    <row r="32">
      <c r="A32" s="57">
        <f>ROW()-8</f>
        <v>24.0</v>
      </c>
      <c r="B32" s="6" t="inlineStr">
        <is>
          <t>支付與收單</t>
        </is>
      </c>
      <c r="C32" s="9" t="inlineStr">
        <is>
          <t>Payments &amp; Merchant Acquiring</t>
        </is>
      </c>
      <c r="D32" s="9" t="inlineStr">
        <is>
          <t>金融 Financials</t>
        </is>
      </c>
      <c r="E32" s="58" t="n">
        <v>79.09090909090909</v>
      </c>
      <c r="F32" s="58" t="n">
        <v>33.63636363636363</v>
      </c>
      <c r="G32" s="11" t="n">
        <v>-0.01863085197905652</v>
      </c>
      <c r="H32" s="11" t="n">
        <v>-0.004629860092419502</v>
      </c>
      <c r="I32" s="59" t="n">
        <v>0</v>
      </c>
      <c r="J32" s="59" t="n">
        <v>0.64</v>
      </c>
      <c r="K32" s="60" t="n">
        <v>0.9983795062508201</v>
      </c>
      <c r="L32" s="61" t="n">
        <v>-0.286816357183939</v>
      </c>
      <c r="M32" s="62" t="n">
        <v>-1822.745562904437</v>
      </c>
      <c r="N32" s="62" t="n">
        <v>2501.655654602409</v>
      </c>
      <c r="O32" s="9" t="inlineStr">
        <is>
          <t>V,MA,PYPL,GPN,TOST</t>
        </is>
      </c>
      <c r="P32" s="6" t="inlineStr"/>
    </row>
    <row r="33">
      <c r="A33" s="57">
        <f>ROW()-8</f>
        <v>25.0</v>
      </c>
      <c r="B33" s="6" t="inlineStr">
        <is>
          <t>工業自動化與機器人</t>
        </is>
      </c>
      <c r="C33" s="9" t="inlineStr">
        <is>
          <t>Industrial Automation &amp; Robotics</t>
        </is>
      </c>
      <c r="D33" s="9" t="inlineStr">
        <is>
          <t>工業 Industrials</t>
        </is>
      </c>
      <c r="E33" s="58" t="n">
        <v>78.18181818181819</v>
      </c>
      <c r="F33" s="58" t="n">
        <v>85.45454545454545</v>
      </c>
      <c r="G33" s="11" t="n">
        <v>0.006788472877597596</v>
      </c>
      <c r="H33" s="11" t="n">
        <v>-0.0341275552004261</v>
      </c>
      <c r="I33" s="59" t="n">
        <v>0.75</v>
      </c>
      <c r="J33" s="59" t="n">
        <v>0.55</v>
      </c>
      <c r="K33" s="60" t="n">
        <v>1.150485524548476</v>
      </c>
      <c r="L33" s="61" t="n">
        <v>0.2898512803232309</v>
      </c>
      <c r="M33" s="62" t="n">
        <v>-215.1288632355647</v>
      </c>
      <c r="N33" s="62" t="n">
        <v>-1792.070998168962</v>
      </c>
      <c r="O33" s="9" t="inlineStr">
        <is>
          <t>ROK,SYM,NDSN,TER</t>
        </is>
      </c>
      <c r="P33" s="6" t="inlineStr"/>
    </row>
    <row r="34">
      <c r="A34" s="57">
        <f>ROW()-8</f>
        <v>26.0</v>
      </c>
      <c r="B34" s="6" t="inlineStr">
        <is>
          <t>航太與國防</t>
        </is>
      </c>
      <c r="C34" s="9" t="inlineStr">
        <is>
          <t>Aerospace &amp; Defense</t>
        </is>
      </c>
      <c r="D34" s="9" t="inlineStr">
        <is>
          <t>工業 Industrials</t>
        </is>
      </c>
      <c r="E34" s="58" t="n">
        <v>77.27272727272727</v>
      </c>
      <c r="F34" s="58" t="n">
        <v>55.45454545454545</v>
      </c>
      <c r="G34" s="11" t="n">
        <v>-0.002601857682669221</v>
      </c>
      <c r="H34" s="11" t="n">
        <v>0.008583394769504649</v>
      </c>
      <c r="I34" s="59" t="n">
        <v>0.8333333333333334</v>
      </c>
      <c r="J34" s="59" t="n">
        <v>0.7</v>
      </c>
      <c r="K34" s="60" t="n">
        <v>1.640087692502753</v>
      </c>
      <c r="L34" s="61" t="n">
        <v>-0.0517130562517248</v>
      </c>
      <c r="M34" s="62" t="n">
        <v>-197.3634244021052</v>
      </c>
      <c r="N34" s="62" t="n">
        <v>-550.463209865591</v>
      </c>
      <c r="O34" s="9" t="inlineStr">
        <is>
          <t>LMT,RTX,NOC,GD,LHX,BA</t>
        </is>
      </c>
      <c r="P34" s="6" t="inlineStr"/>
    </row>
    <row r="35">
      <c r="A35" s="57">
        <f>ROW()-8</f>
        <v>27.0</v>
      </c>
      <c r="B35" s="6" t="inlineStr">
        <is>
          <t>教育與消費服務</t>
        </is>
      </c>
      <c r="C35" s="9" t="inlineStr">
        <is>
          <t>Education &amp; Consumer Services</t>
        </is>
      </c>
      <c r="D35" s="9" t="inlineStr">
        <is>
          <t>非必需消費 Consumer Discretionary</t>
        </is>
      </c>
      <c r="E35" s="58" t="n">
        <v>76.36363636363637</v>
      </c>
      <c r="F35" s="58" t="n">
        <v>23.63636363636364</v>
      </c>
      <c r="G35" s="11" t="n">
        <v>-0.01346540119022577</v>
      </c>
      <c r="H35" s="11" t="n">
        <v>0.006931417495858794</v>
      </c>
      <c r="I35" s="59" t="n">
        <v>0</v>
      </c>
      <c r="J35" s="59" t="n">
        <v>0.7333333333333333</v>
      </c>
      <c r="K35" s="60" t="n">
        <v>1.294809400730324</v>
      </c>
      <c r="L35" s="61" t="n">
        <v>-0.2106284805980068</v>
      </c>
      <c r="M35" s="62" t="n">
        <v>-119.2822238007081</v>
      </c>
      <c r="N35" s="62" t="n">
        <v>-85.30136987447212</v>
      </c>
      <c r="O35" s="9" t="inlineStr">
        <is>
          <t>LRN,HRB,SCI</t>
        </is>
      </c>
      <c r="P35" s="6" t="inlineStr"/>
    </row>
    <row r="36">
      <c r="A36" s="57">
        <f>ROW()-8</f>
        <v>28.0</v>
      </c>
      <c r="B36" s="6" t="inlineStr">
        <is>
          <t>酒精飲品</t>
        </is>
      </c>
      <c r="C36" s="9" t="inlineStr">
        <is>
          <t>Alcoholic Beverages</t>
        </is>
      </c>
      <c r="D36" s="9" t="inlineStr">
        <is>
          <t>必需消費 Consumer Staples</t>
        </is>
      </c>
      <c r="E36" s="58" t="n">
        <v>75.45454545454545</v>
      </c>
      <c r="F36" s="58" t="n">
        <v>57.27272727272727</v>
      </c>
      <c r="G36" s="11" t="n">
        <v>-0.005981426197709583</v>
      </c>
      <c r="H36" s="11" t="n">
        <v>0.005804994924511808</v>
      </c>
      <c r="I36" s="59" t="n">
        <v>0.75</v>
      </c>
      <c r="J36" s="59" t="n">
        <v>0.7</v>
      </c>
      <c r="K36" s="60" t="n">
        <v>1.157011724721882</v>
      </c>
      <c r="L36" s="61" t="n">
        <v>-0.2033801474624461</v>
      </c>
      <c r="M36" s="62" t="n">
        <v>-251.6683408632101</v>
      </c>
      <c r="N36" s="62" t="n">
        <v>-310.4525706545719</v>
      </c>
      <c r="O36" s="9" t="inlineStr">
        <is>
          <t>STZ,BF.B,TAP,DEO</t>
        </is>
      </c>
      <c r="P36" s="6" t="inlineStr"/>
    </row>
    <row r="37">
      <c r="A37" s="57">
        <f>ROW()-8</f>
        <v>29.0</v>
      </c>
      <c r="B37" s="6" t="inlineStr">
        <is>
          <t>傳媒與娛樂內容</t>
        </is>
      </c>
      <c r="C37" s="9" t="inlineStr">
        <is>
          <t>Media &amp; Entertainment Content</t>
        </is>
      </c>
      <c r="D37" s="9" t="inlineStr">
        <is>
          <t>通訊服務 Communication Services</t>
        </is>
      </c>
      <c r="E37" s="58" t="n">
        <v>74.54545454545455</v>
      </c>
      <c r="F37" s="58" t="n">
        <v>78.18181818181819</v>
      </c>
      <c r="G37" s="11" t="n">
        <v>-0.00804888510267654</v>
      </c>
      <c r="H37" s="11" t="n">
        <v>-0.01925019827617613</v>
      </c>
      <c r="I37" s="59" t="n">
        <v>0.5</v>
      </c>
      <c r="J37" s="59" t="n">
        <v>0.45</v>
      </c>
      <c r="K37" s="60" t="n">
        <v>1.111242703764281</v>
      </c>
      <c r="L37" s="61" t="n">
        <v>0.236457614560101</v>
      </c>
      <c r="M37" s="62" t="n">
        <v>-180.8884624365631</v>
      </c>
      <c r="N37" s="62" t="n">
        <v>-426.9616494547012</v>
      </c>
      <c r="O37" s="9" t="inlineStr">
        <is>
          <t>LYV,FWONK,NWSA,PARA</t>
        </is>
      </c>
      <c r="P37" s="6" t="inlineStr"/>
    </row>
    <row r="38">
      <c r="A38" s="57">
        <f>ROW()-8</f>
        <v>30.0</v>
      </c>
      <c r="B38" s="6" t="inlineStr">
        <is>
          <t>食品加工</t>
        </is>
      </c>
      <c r="C38" s="9" t="inlineStr">
        <is>
          <t>Packaged Food</t>
        </is>
      </c>
      <c r="D38" s="9" t="inlineStr">
        <is>
          <t>必需消費 Consumer Staples</t>
        </is>
      </c>
      <c r="E38" s="58" t="n">
        <v>73.63636363636363</v>
      </c>
      <c r="F38" s="58" t="n">
        <v>80.90909090909091</v>
      </c>
      <c r="G38" s="11" t="n">
        <v>0.004777772125334478</v>
      </c>
      <c r="H38" s="11" t="n">
        <v>-0.001207565236929886</v>
      </c>
      <c r="I38" s="59" t="n">
        <v>1</v>
      </c>
      <c r="J38" s="59" t="n">
        <v>0.6</v>
      </c>
      <c r="K38" s="60" t="n">
        <v>1.000992061015644</v>
      </c>
      <c r="L38" s="61" t="n">
        <v>0.3735844452842058</v>
      </c>
      <c r="M38" s="62" t="n">
        <v>-332.3958168838709</v>
      </c>
      <c r="N38" s="62" t="n">
        <v>-411.2675306048438</v>
      </c>
      <c r="O38" s="9" t="inlineStr">
        <is>
          <t>GIS,KHC,HSY,CAG</t>
        </is>
      </c>
      <c r="P38" s="6" t="inlineStr"/>
    </row>
    <row r="39">
      <c r="A39" s="57">
        <f>ROW()-8</f>
        <v>31.0</v>
      </c>
      <c r="B39" s="6" t="inlineStr">
        <is>
          <t>煙草與尼古丁</t>
        </is>
      </c>
      <c r="C39" s="9" t="inlineStr">
        <is>
          <t>Tobacco &amp; Nicotine</t>
        </is>
      </c>
      <c r="D39" s="9" t="inlineStr">
        <is>
          <t>必需消費 Consumer Staples</t>
        </is>
      </c>
      <c r="E39" s="58" t="n">
        <v>72.72727272727273</v>
      </c>
      <c r="F39" s="58" t="n">
        <v>59.09090909090909</v>
      </c>
      <c r="G39" s="11" t="n">
        <v>-0.002260610171001284</v>
      </c>
      <c r="H39" s="11" t="n">
        <v>0.00718832804751135</v>
      </c>
      <c r="I39" s="59" t="n">
        <v>0.6666666666666666</v>
      </c>
      <c r="J39" s="59" t="n">
        <v>0.6</v>
      </c>
      <c r="K39" s="60" t="n">
        <v>0.8250403452643589</v>
      </c>
      <c r="L39" s="61" t="n">
        <v>-0.111813119885324</v>
      </c>
      <c r="M39" s="62" t="n">
        <v>-485.4783593630632</v>
      </c>
      <c r="N39" s="62" t="n">
        <v>-676.7908678875182</v>
      </c>
      <c r="O39" s="9" t="inlineStr">
        <is>
          <t>PM,MO,TPB</t>
        </is>
      </c>
      <c r="P39" s="6" t="inlineStr"/>
    </row>
    <row r="40">
      <c r="A40" s="57">
        <f>ROW()-8</f>
        <v>32.0</v>
      </c>
      <c r="B40" s="6" t="inlineStr">
        <is>
          <t>IT服務與系統整合</t>
        </is>
      </c>
      <c r="C40" s="9" t="inlineStr">
        <is>
          <t>IT Services &amp; Consulting</t>
        </is>
      </c>
      <c r="D40" s="9" t="inlineStr">
        <is>
          <t>資訊科技 Information Technology</t>
        </is>
      </c>
      <c r="E40" s="58" t="n">
        <v>71.81818181818181</v>
      </c>
      <c r="F40" s="58" t="n">
        <v>9.090909090909092</v>
      </c>
      <c r="G40" s="11" t="n">
        <v>-0.03167567978175796</v>
      </c>
      <c r="H40" s="11" t="n">
        <v>0.03316730053850514</v>
      </c>
      <c r="I40" s="59" t="n">
        <v>0</v>
      </c>
      <c r="J40" s="59" t="n">
        <v>0.64</v>
      </c>
      <c r="K40" s="60" t="n">
        <v>1.001331788340923</v>
      </c>
      <c r="L40" s="61" t="n">
        <v>-0.5034760727167289</v>
      </c>
      <c r="M40" s="62" t="n">
        <v>-1209.216953887892</v>
      </c>
      <c r="N40" s="62" t="n">
        <v>1351.596634316817</v>
      </c>
      <c r="O40" s="9" t="inlineStr">
        <is>
          <t>ACN,IBM,INFY,CTSH,EPAM</t>
        </is>
      </c>
      <c r="P40" s="6" t="inlineStr"/>
    </row>
    <row r="41">
      <c r="A41" s="63">
        <f>ROW()-8</f>
        <v>33.0</v>
      </c>
      <c r="B41" s="36" t="inlineStr">
        <is>
          <t>電信營運商</t>
        </is>
      </c>
      <c r="C41" s="64" t="inlineStr">
        <is>
          <t>Telecom Carriers</t>
        </is>
      </c>
      <c r="D41" s="64" t="inlineStr">
        <is>
          <t>通訊服務 Communication Services</t>
        </is>
      </c>
      <c r="E41" s="65" t="n">
        <v>70.90909090909091</v>
      </c>
      <c r="F41" s="65" t="n">
        <v>4.545454545454546</v>
      </c>
      <c r="G41" s="40" t="n">
        <v>-0.02945367548431347</v>
      </c>
      <c r="H41" s="40" t="n">
        <v>0.007520563504833211</v>
      </c>
      <c r="I41" s="66" t="n">
        <v>0</v>
      </c>
      <c r="J41" s="66" t="n">
        <v>0.7333333333333333</v>
      </c>
      <c r="K41" s="67" t="n">
        <v>1.341607844866861</v>
      </c>
      <c r="L41" s="68" t="n">
        <v>-0.6173210050742517</v>
      </c>
      <c r="M41" s="69" t="n">
        <v>-1559.900865826294</v>
      </c>
      <c r="N41" s="69" t="n">
        <v>-460.4528834457648</v>
      </c>
      <c r="O41" s="64" t="inlineStr">
        <is>
          <t>T,VZ,TMUS</t>
        </is>
      </c>
      <c r="P41" s="38" t="inlineStr">
        <is>
          <t>✕ 迴避：債券代理股</t>
        </is>
      </c>
    </row>
    <row r="42">
      <c r="A42" s="47">
        <f>ROW()-8</f>
        <v>34.0</v>
      </c>
      <c r="B42" s="48" t="inlineStr">
        <is>
          <t>光通訊/CPO</t>
        </is>
      </c>
      <c r="C42" s="49" t="inlineStr">
        <is>
          <t>Optical Networking &amp; CPO</t>
        </is>
      </c>
      <c r="D42" s="49" t="inlineStr">
        <is>
          <t>資訊科技 Information Technology</t>
        </is>
      </c>
      <c r="E42" s="50" t="n">
        <v>70</v>
      </c>
      <c r="F42" s="50" t="n">
        <v>100</v>
      </c>
      <c r="G42" s="51" t="n">
        <v>0.05608786418291185</v>
      </c>
      <c r="H42" s="51" t="n">
        <v>-0.0657384131641906</v>
      </c>
      <c r="I42" s="52" t="n">
        <v>1</v>
      </c>
      <c r="J42" s="52" t="n">
        <v>0.52</v>
      </c>
      <c r="K42" s="53" t="n">
        <v>1.501115503766145</v>
      </c>
      <c r="L42" s="54" t="n">
        <v>0.8848906701645769</v>
      </c>
      <c r="M42" s="55" t="n">
        <v>4935.451371919242</v>
      </c>
      <c r="N42" s="55" t="n">
        <v>-13290.1480362023</v>
      </c>
      <c r="O42" s="49" t="inlineStr">
        <is>
          <t>COHR,LITE,AAOI,CRDO,POET</t>
        </is>
      </c>
      <c r="P42" s="56" t="inlineStr">
        <is>
          <t>★ 第⑤組（戰術）：9/16 全表最強，但 5 日 −6.57%、淨流出 −$132.9 億</t>
        </is>
      </c>
    </row>
    <row r="43">
      <c r="A43" s="57">
        <f>ROW()-8</f>
        <v>35.0</v>
      </c>
      <c r="B43" s="6" t="inlineStr">
        <is>
          <t>電商平台</t>
        </is>
      </c>
      <c r="C43" s="9" t="inlineStr">
        <is>
          <t>E-commerce Platforms</t>
        </is>
      </c>
      <c r="D43" s="9" t="inlineStr">
        <is>
          <t>非必需消費 Consumer Discretionary</t>
        </is>
      </c>
      <c r="E43" s="58" t="n">
        <v>69.09090909090909</v>
      </c>
      <c r="F43" s="58" t="n">
        <v>64.54545454545455</v>
      </c>
      <c r="G43" s="11" t="n">
        <v>-0.003226709086284307</v>
      </c>
      <c r="H43" s="11" t="n">
        <v>0.01900186276273819</v>
      </c>
      <c r="I43" s="59" t="n">
        <v>0.6</v>
      </c>
      <c r="J43" s="59" t="n">
        <v>0.6</v>
      </c>
      <c r="K43" s="60" t="n">
        <v>1.093185834544988</v>
      </c>
      <c r="L43" s="61" t="n">
        <v>-0.3115354485644842</v>
      </c>
      <c r="M43" s="62" t="n">
        <v>-2850.302158619314</v>
      </c>
      <c r="N43" s="62" t="n">
        <v>-1660.182987910546</v>
      </c>
      <c r="O43" s="9" t="inlineStr">
        <is>
          <t>AMZN,SHOP,EBAY,CHWY,W</t>
        </is>
      </c>
      <c r="P43" s="6" t="inlineStr"/>
    </row>
    <row r="44">
      <c r="A44" s="57">
        <f>ROW()-8</f>
        <v>36.0</v>
      </c>
      <c r="B44" s="6" t="inlineStr">
        <is>
          <t>大賣場與超巿</t>
        </is>
      </c>
      <c r="C44" s="9" t="inlineStr">
        <is>
          <t>Hypermarkets &amp; Grocery</t>
        </is>
      </c>
      <c r="D44" s="9" t="inlineStr">
        <is>
          <t>必需消費 Consumer Staples</t>
        </is>
      </c>
      <c r="E44" s="58" t="n">
        <v>68.18181818181817</v>
      </c>
      <c r="F44" s="58" t="n">
        <v>31.81818181818182</v>
      </c>
      <c r="G44" s="11" t="n">
        <v>-0.01508406553067891</v>
      </c>
      <c r="H44" s="11" t="n">
        <v>0.03973597241687199</v>
      </c>
      <c r="I44" s="59" t="n">
        <v>0</v>
      </c>
      <c r="J44" s="59" t="n">
        <v>0.64</v>
      </c>
      <c r="K44" s="60" t="n">
        <v>0.9946361351316393</v>
      </c>
      <c r="L44" s="61" t="n">
        <v>-0.3471302501283363</v>
      </c>
      <c r="M44" s="62" t="n">
        <v>-3533.550017982758</v>
      </c>
      <c r="N44" s="62" t="n">
        <v>-3937.494781462476</v>
      </c>
      <c r="O44" s="9" t="inlineStr">
        <is>
          <t>WMT,COST,KR,BJ,ACI</t>
        </is>
      </c>
      <c r="P44" s="6" t="inlineStr"/>
    </row>
    <row r="45">
      <c r="A45" s="47">
        <f>ROW()-8</f>
        <v>37.0</v>
      </c>
      <c r="B45" s="48" t="inlineStr">
        <is>
          <t>EDA與半導體IP</t>
        </is>
      </c>
      <c r="C45" s="49" t="inlineStr">
        <is>
          <t>EDA &amp; Semiconductor IP</t>
        </is>
      </c>
      <c r="D45" s="49" t="inlineStr">
        <is>
          <t>資訊科技 Information Technology</t>
        </is>
      </c>
      <c r="E45" s="50" t="n">
        <v>67.27272727272727</v>
      </c>
      <c r="F45" s="50" t="n">
        <v>98.18181818181819</v>
      </c>
      <c r="G45" s="51" t="n">
        <v>0.01995424007499073</v>
      </c>
      <c r="H45" s="51" t="n">
        <v>-0.04287828324787479</v>
      </c>
      <c r="I45" s="52" t="n">
        <v>1</v>
      </c>
      <c r="J45" s="52" t="n">
        <v>0.5333333333333333</v>
      </c>
      <c r="K45" s="53" t="n">
        <v>1.020034717450762</v>
      </c>
      <c r="L45" s="54" t="n">
        <v>0.1447496012949523</v>
      </c>
      <c r="M45" s="55" t="n">
        <v>545.4707222497423</v>
      </c>
      <c r="N45" s="55" t="n">
        <v>-2978.494795871438</v>
      </c>
      <c r="O45" s="49" t="inlineStr">
        <is>
          <t>SNPS,CDNS,ARM</t>
        </is>
      </c>
      <c r="P45" s="56" t="inlineStr">
        <is>
          <t>★ 第⑤組（戰術）</t>
        </is>
      </c>
    </row>
    <row r="46">
      <c r="A46" s="57">
        <f>ROW()-8</f>
        <v>38.0</v>
      </c>
      <c r="B46" s="6" t="inlineStr">
        <is>
          <t>晶圓代工/IDM</t>
        </is>
      </c>
      <c r="C46" s="9" t="inlineStr">
        <is>
          <t>Foundry &amp; IDM</t>
        </is>
      </c>
      <c r="D46" s="9" t="inlineStr">
        <is>
          <t>資訊科技 Information Technology</t>
        </is>
      </c>
      <c r="E46" s="58" t="n">
        <v>66.36363636363637</v>
      </c>
      <c r="F46" s="58" t="n">
        <v>95.45454545454545</v>
      </c>
      <c r="G46" s="11" t="n">
        <v>0.02474223677113119</v>
      </c>
      <c r="H46" s="11" t="n">
        <v>-0.0397025966754182</v>
      </c>
      <c r="I46" s="59" t="n">
        <v>1</v>
      </c>
      <c r="J46" s="59" t="n">
        <v>0.5</v>
      </c>
      <c r="K46" s="60" t="n">
        <v>1.167900721975732</v>
      </c>
      <c r="L46" s="61" t="n">
        <v>0.3606249913731656</v>
      </c>
      <c r="M46" s="62" t="n">
        <v>-2547.778545529014</v>
      </c>
      <c r="N46" s="62" t="n">
        <v>-16107.26264212243</v>
      </c>
      <c r="O46" s="9" t="inlineStr">
        <is>
          <t>TSM,INTC,GFS,UMC</t>
        </is>
      </c>
      <c r="P46" s="6" t="inlineStr"/>
    </row>
    <row r="47">
      <c r="A47" s="57">
        <f>ROW()-8</f>
        <v>39.0</v>
      </c>
      <c r="B47" s="6" t="inlineStr">
        <is>
          <t>機械與重工</t>
        </is>
      </c>
      <c r="C47" s="9" t="inlineStr">
        <is>
          <t>Machinery &amp; Heavy Equipment</t>
        </is>
      </c>
      <c r="D47" s="9" t="inlineStr">
        <is>
          <t>工業 Industrials</t>
        </is>
      </c>
      <c r="E47" s="58" t="n">
        <v>65.45454545454545</v>
      </c>
      <c r="F47" s="58" t="n">
        <v>60.90909090909091</v>
      </c>
      <c r="G47" s="11" t="n">
        <v>-0.01115598957887896</v>
      </c>
      <c r="H47" s="11" t="n">
        <v>-0.02332312423415062</v>
      </c>
      <c r="I47" s="59" t="n">
        <v>0.4</v>
      </c>
      <c r="J47" s="59" t="n">
        <v>0.52</v>
      </c>
      <c r="K47" s="60" t="n">
        <v>1.35311918506013</v>
      </c>
      <c r="L47" s="61" t="n">
        <v>0.07449631251919434</v>
      </c>
      <c r="M47" s="62" t="n">
        <v>-1329.52678865939</v>
      </c>
      <c r="N47" s="62" t="n">
        <v>-1381.770962679674</v>
      </c>
      <c r="O47" s="9" t="inlineStr">
        <is>
          <t>CAT,DE,CMI,PCAR,HON</t>
        </is>
      </c>
      <c r="P47" s="6" t="inlineStr"/>
    </row>
    <row r="48">
      <c r="A48" s="57">
        <f>ROW()-8</f>
        <v>40.0</v>
      </c>
      <c r="B48" s="6" t="inlineStr">
        <is>
          <t>太空與衛星</t>
        </is>
      </c>
      <c r="C48" s="9" t="inlineStr">
        <is>
          <t>Space &amp; Satellites</t>
        </is>
      </c>
      <c r="D48" s="9" t="inlineStr">
        <is>
          <t>工業 Industrials</t>
        </is>
      </c>
      <c r="E48" s="58" t="n">
        <v>64.54545454545455</v>
      </c>
      <c r="F48" s="58" t="n">
        <v>90.90909090909091</v>
      </c>
      <c r="G48" s="11" t="n">
        <v>0.002917803692385279</v>
      </c>
      <c r="H48" s="11" t="n">
        <v>-0.03487881857679986</v>
      </c>
      <c r="I48" s="59" t="n">
        <v>1</v>
      </c>
      <c r="J48" s="59" t="n">
        <v>0.44</v>
      </c>
      <c r="K48" s="60" t="n">
        <v>1.007558831252322</v>
      </c>
      <c r="L48" s="61" t="n">
        <v>0.5998760494217601</v>
      </c>
      <c r="M48" s="62" t="n">
        <v>754.5348222901979</v>
      </c>
      <c r="N48" s="62" t="n">
        <v>-1547.864531791982</v>
      </c>
      <c r="O48" s="9" t="inlineStr">
        <is>
          <t>RKLB,ASTS,LUNR,PL,RDW</t>
        </is>
      </c>
      <c r="P48" s="6" t="inlineStr"/>
    </row>
    <row r="49">
      <c r="A49" s="57">
        <f>ROW()-8</f>
        <v>41.0</v>
      </c>
      <c r="B49" s="6" t="inlineStr">
        <is>
          <t>酒店與郵輪</t>
        </is>
      </c>
      <c r="C49" s="9" t="inlineStr">
        <is>
          <t>Hotels &amp; Cruise Lines</t>
        </is>
      </c>
      <c r="D49" s="9" t="inlineStr">
        <is>
          <t>非必需消費 Consumer Discretionary</t>
        </is>
      </c>
      <c r="E49" s="58" t="n">
        <v>63.63636363636363</v>
      </c>
      <c r="F49" s="58" t="n">
        <v>86.36363636363636</v>
      </c>
      <c r="G49" s="11" t="n">
        <v>0.006628961106606513</v>
      </c>
      <c r="H49" s="11" t="n">
        <v>-0.01053815092502253</v>
      </c>
      <c r="I49" s="59" t="n">
        <v>0.6</v>
      </c>
      <c r="J49" s="59" t="n">
        <v>0.4</v>
      </c>
      <c r="K49" s="60" t="n">
        <v>1.239484164233422</v>
      </c>
      <c r="L49" s="61" t="n">
        <v>0.1337067081945577</v>
      </c>
      <c r="M49" s="62" t="n">
        <v>-105.892515476059</v>
      </c>
      <c r="N49" s="62" t="n">
        <v>-2374.495540742455</v>
      </c>
      <c r="O49" s="9" t="inlineStr">
        <is>
          <t>MAR,HLT,RCL,CCL,NCLH</t>
        </is>
      </c>
      <c r="P49" s="6" t="inlineStr"/>
    </row>
    <row r="50">
      <c r="A50" s="57">
        <f>ROW()-8</f>
        <v>42.0</v>
      </c>
      <c r="B50" s="6" t="inlineStr">
        <is>
          <t>醫療與長者住宅REIT</t>
        </is>
      </c>
      <c r="C50" s="9" t="inlineStr">
        <is>
          <t>Health Care REITs</t>
        </is>
      </c>
      <c r="D50" s="9" t="inlineStr">
        <is>
          <t>房地產 Real Estate</t>
        </is>
      </c>
      <c r="E50" s="58" t="n">
        <v>62.72727272727273</v>
      </c>
      <c r="F50" s="58" t="n">
        <v>81.81818181818183</v>
      </c>
      <c r="G50" s="11" t="n">
        <v>0.00207002012829105</v>
      </c>
      <c r="H50" s="11" t="n">
        <v>-0.006668435185528065</v>
      </c>
      <c r="I50" s="59" t="n">
        <v>1</v>
      </c>
      <c r="J50" s="59" t="n">
        <v>0.65</v>
      </c>
      <c r="K50" s="60" t="n">
        <v>0.9806790167599057</v>
      </c>
      <c r="L50" s="61" t="n">
        <v>0.1422775945191958</v>
      </c>
      <c r="M50" s="62" t="n">
        <v>-44.35831631601089</v>
      </c>
      <c r="N50" s="62" t="n">
        <v>-1544.620792649193</v>
      </c>
      <c r="O50" s="9" t="inlineStr">
        <is>
          <t>WELL,VTR,OHI,DOC</t>
        </is>
      </c>
      <c r="P50" s="6" t="inlineStr"/>
    </row>
    <row r="51">
      <c r="A51" s="57">
        <f>ROW()-8</f>
        <v>43.0</v>
      </c>
      <c r="B51" s="6" t="inlineStr">
        <is>
          <t>企業軟體/SaaS</t>
        </is>
      </c>
      <c r="C51" s="9" t="inlineStr">
        <is>
          <t>Enterprise Software &amp; SaaS</t>
        </is>
      </c>
      <c r="D51" s="9" t="inlineStr">
        <is>
          <t>資訊科技 Information Technology</t>
        </is>
      </c>
      <c r="E51" s="58" t="n">
        <v>61.81818181818181</v>
      </c>
      <c r="F51" s="58" t="n">
        <v>27.27272727272727</v>
      </c>
      <c r="G51" s="11" t="n">
        <v>-0.01511959658762487</v>
      </c>
      <c r="H51" s="11" t="n">
        <v>0.03074051652368892</v>
      </c>
      <c r="I51" s="59" t="n">
        <v>0.2</v>
      </c>
      <c r="J51" s="59" t="n">
        <v>0.5600000000000001</v>
      </c>
      <c r="K51" s="60" t="n">
        <v>0.725793846913046</v>
      </c>
      <c r="L51" s="61" t="n">
        <v>-0.2404726473224379</v>
      </c>
      <c r="M51" s="62" t="n">
        <v>-2195.442189415107</v>
      </c>
      <c r="N51" s="62" t="n">
        <v>-2266.687994898543</v>
      </c>
      <c r="O51" s="9" t="inlineStr">
        <is>
          <t>CRM,NOW,WDAY,ADBE,TEAM</t>
        </is>
      </c>
      <c r="P51" s="6" t="inlineStr"/>
    </row>
    <row r="52">
      <c r="A52" s="63">
        <f>ROW()-8</f>
        <v>44.0</v>
      </c>
      <c r="B52" s="36" t="inlineStr">
        <is>
          <t>住宅建築商</t>
        </is>
      </c>
      <c r="C52" s="64" t="inlineStr">
        <is>
          <t>Homebuilders</t>
        </is>
      </c>
      <c r="D52" s="64" t="inlineStr">
        <is>
          <t>非必需消費 Consumer Discretionary</t>
        </is>
      </c>
      <c r="E52" s="65" t="n">
        <v>60.90909090909091</v>
      </c>
      <c r="F52" s="65" t="n">
        <v>11.81818181818182</v>
      </c>
      <c r="G52" s="40" t="n">
        <v>-0.01476215642058902</v>
      </c>
      <c r="H52" s="40" t="n">
        <v>-0.01227668754952371</v>
      </c>
      <c r="I52" s="66" t="n">
        <v>0</v>
      </c>
      <c r="J52" s="66" t="n">
        <v>0.52</v>
      </c>
      <c r="K52" s="67" t="n">
        <v>2.023833363545572</v>
      </c>
      <c r="L52" s="68" t="n">
        <v>-0.03785229880527323</v>
      </c>
      <c r="M52" s="69" t="n">
        <v>-1007.324354243372</v>
      </c>
      <c r="N52" s="69" t="n">
        <v>112.493211945552</v>
      </c>
      <c r="O52" s="64" t="inlineStr">
        <is>
          <t>DHI,LEN,PHM,NVR,TOL</t>
        </is>
      </c>
      <c r="P52" s="38" t="inlineStr">
        <is>
          <t>✕ 迴避：9/17 新屋開工為向下催化劑</t>
        </is>
      </c>
    </row>
    <row r="53">
      <c r="A53" s="63">
        <f>ROW()-8</f>
        <v>45.0</v>
      </c>
      <c r="B53" s="36" t="inlineStr">
        <is>
          <t>頁岩E&amp;P勘探生產</t>
        </is>
      </c>
      <c r="C53" s="64" t="inlineStr">
        <is>
          <t>Shale E&amp;P</t>
        </is>
      </c>
      <c r="D53" s="64" t="inlineStr">
        <is>
          <t>能源 Energy</t>
        </is>
      </c>
      <c r="E53" s="65" t="n">
        <v>60</v>
      </c>
      <c r="F53" s="65" t="n">
        <v>0</v>
      </c>
      <c r="G53" s="40" t="n">
        <v>-0.06417641655309222</v>
      </c>
      <c r="H53" s="40" t="n">
        <v>-0.02426412139357703</v>
      </c>
      <c r="I53" s="66" t="n">
        <v>0</v>
      </c>
      <c r="J53" s="66" t="n">
        <v>0.5600000000000001</v>
      </c>
      <c r="K53" s="67" t="n">
        <v>4.570299591997716</v>
      </c>
      <c r="L53" s="68" t="n">
        <v>-0.634785972595572</v>
      </c>
      <c r="M53" s="69" t="n">
        <v>-3384.148527923089</v>
      </c>
      <c r="N53" s="69" t="n">
        <v>228.4496785554285</v>
      </c>
      <c r="O53" s="64" t="inlineStr">
        <is>
          <t>COP,EOG,FANG,DVN,OXY</t>
        </is>
      </c>
      <c r="P53" s="38" t="inlineStr">
        <is>
          <t>✕ 迴避：9/16 111 組最差，成交 4.57x</t>
        </is>
      </c>
    </row>
    <row r="54">
      <c r="A54" s="57">
        <f>ROW()-8</f>
        <v>46.0</v>
      </c>
      <c r="B54" s="6" t="inlineStr">
        <is>
          <t>特種化工</t>
        </is>
      </c>
      <c r="C54" s="9" t="inlineStr">
        <is>
          <t>Specialty Chemicals</t>
        </is>
      </c>
      <c r="D54" s="9" t="inlineStr">
        <is>
          <t>原材料 Materials</t>
        </is>
      </c>
      <c r="E54" s="58" t="n">
        <v>59.09090909090909</v>
      </c>
      <c r="F54" s="58" t="n">
        <v>50.90909090909091</v>
      </c>
      <c r="G54" s="11" t="n">
        <v>-0.0112552924717729</v>
      </c>
      <c r="H54" s="11" t="n">
        <v>-0.03155844215866022</v>
      </c>
      <c r="I54" s="59" t="n">
        <v>0.4</v>
      </c>
      <c r="J54" s="59" t="n">
        <v>0.48</v>
      </c>
      <c r="K54" s="60" t="n">
        <v>1.093052247895241</v>
      </c>
      <c r="L54" s="61" t="n">
        <v>0.0123973972469206</v>
      </c>
      <c r="M54" s="62" t="n">
        <v>-786.7471038915889</v>
      </c>
      <c r="N54" s="62" t="n">
        <v>-409.8907207071743</v>
      </c>
      <c r="O54" s="9" t="inlineStr">
        <is>
          <t>LIN,APD,SHW,ECL,ALB</t>
        </is>
      </c>
      <c r="P54" s="6" t="inlineStr"/>
    </row>
    <row r="55">
      <c r="A55" s="57">
        <f>ROW()-8</f>
        <v>47.0</v>
      </c>
      <c r="B55" s="6" t="inlineStr">
        <is>
          <t>非酒精飲品</t>
        </is>
      </c>
      <c r="C55" s="9" t="inlineStr">
        <is>
          <t>Beverages (Non-Alcoholic)</t>
        </is>
      </c>
      <c r="D55" s="9" t="inlineStr">
        <is>
          <t>必需消費 Consumer Staples</t>
        </is>
      </c>
      <c r="E55" s="58" t="n">
        <v>58.18181818181818</v>
      </c>
      <c r="F55" s="58" t="n">
        <v>52.72727272727272</v>
      </c>
      <c r="G55" s="11" t="n">
        <v>0.002581891552155824</v>
      </c>
      <c r="H55" s="11" t="n">
        <v>0.008268248703778625</v>
      </c>
      <c r="I55" s="59" t="n">
        <v>0.6</v>
      </c>
      <c r="J55" s="59" t="n">
        <v>0.64</v>
      </c>
      <c r="K55" s="60" t="n">
        <v>1.081765513338371</v>
      </c>
      <c r="L55" s="61" t="n">
        <v>0.03845925303451159</v>
      </c>
      <c r="M55" s="62" t="n">
        <v>-2062.461194189821</v>
      </c>
      <c r="N55" s="62" t="n">
        <v>-5111.112913921993</v>
      </c>
      <c r="O55" s="9" t="inlineStr">
        <is>
          <t>KO,PEP,MNST,CELH,KDP</t>
        </is>
      </c>
      <c r="P55" s="6" t="inlineStr"/>
    </row>
    <row r="56">
      <c r="A56" s="57">
        <f>ROW()-8</f>
        <v>48.0</v>
      </c>
      <c r="B56" s="6" t="inlineStr">
        <is>
          <t>雲端基建/IaaS/Neocloud</t>
        </is>
      </c>
      <c r="C56" s="9" t="inlineStr">
        <is>
          <t>Cloud Infrastructure &amp; Neoclouds</t>
        </is>
      </c>
      <c r="D56" s="9" t="inlineStr">
        <is>
          <t>資訊科技 Information Technology</t>
        </is>
      </c>
      <c r="E56" s="58" t="n">
        <v>57.27272727272727</v>
      </c>
      <c r="F56" s="58" t="n">
        <v>53.63636363636364</v>
      </c>
      <c r="G56" s="11" t="n">
        <v>0.001987267675361881</v>
      </c>
      <c r="H56" s="11" t="n">
        <v>-0.04937556954322053</v>
      </c>
      <c r="I56" s="59" t="n">
        <v>0.4</v>
      </c>
      <c r="J56" s="59" t="n">
        <v>0.4</v>
      </c>
      <c r="K56" s="60" t="n">
        <v>0.8754733643064041</v>
      </c>
      <c r="L56" s="61" t="n">
        <v>-0.2910383769200358</v>
      </c>
      <c r="M56" s="62" t="n">
        <v>-9988.383571057033</v>
      </c>
      <c r="N56" s="62" t="n">
        <v>-2908.265272067041</v>
      </c>
      <c r="O56" s="9" t="inlineStr">
        <is>
          <t>MSFT,AMZN,GOOGL,NBIS,CRWV</t>
        </is>
      </c>
      <c r="P56" s="6" t="inlineStr"/>
    </row>
    <row r="57">
      <c r="A57" s="57">
        <f>ROW()-8</f>
        <v>49.0</v>
      </c>
      <c r="B57" s="6" t="inlineStr">
        <is>
          <t>航空公司</t>
        </is>
      </c>
      <c r="C57" s="9" t="inlineStr">
        <is>
          <t>Airlines</t>
        </is>
      </c>
      <c r="D57" s="9" t="inlineStr">
        <is>
          <t>工業 Industrials</t>
        </is>
      </c>
      <c r="E57" s="58" t="n">
        <v>56.36363636363636</v>
      </c>
      <c r="F57" s="58" t="n">
        <v>48.18181818181818</v>
      </c>
      <c r="G57" s="11" t="n">
        <v>-0.006879818297613194</v>
      </c>
      <c r="H57" s="11" t="n">
        <v>-0.006287710080204456</v>
      </c>
      <c r="I57" s="59" t="n">
        <v>0.25</v>
      </c>
      <c r="J57" s="59" t="n">
        <v>0.6</v>
      </c>
      <c r="K57" s="60" t="n">
        <v>1.913320636323157</v>
      </c>
      <c r="L57" s="61" t="n">
        <v>-0.327521743124931</v>
      </c>
      <c r="M57" s="62" t="n">
        <v>-1392.112805460418</v>
      </c>
      <c r="N57" s="62" t="n">
        <v>-815.6591651178969</v>
      </c>
      <c r="O57" s="9" t="inlineStr">
        <is>
          <t>DAL,UAL,AAL,LUV</t>
        </is>
      </c>
      <c r="P57" s="6" t="inlineStr"/>
    </row>
    <row r="58">
      <c r="A58" s="57">
        <f>ROW()-8</f>
        <v>50.0</v>
      </c>
      <c r="B58" s="6" t="inlineStr">
        <is>
          <t>腫瘤與細胞治療</t>
        </is>
      </c>
      <c r="C58" s="9" t="inlineStr">
        <is>
          <t>Oncology &amp; Cell Therapy</t>
        </is>
      </c>
      <c r="D58" s="9" t="inlineStr">
        <is>
          <t>醫療保健 Health Care</t>
        </is>
      </c>
      <c r="E58" s="58" t="n">
        <v>55.45454545454545</v>
      </c>
      <c r="F58" s="58" t="n">
        <v>54.54545454545454</v>
      </c>
      <c r="G58" s="11" t="n">
        <v>-0.009673869598981005</v>
      </c>
      <c r="H58" s="11" t="n">
        <v>-0.02946982572001189</v>
      </c>
      <c r="I58" s="59" t="n">
        <v>0.375</v>
      </c>
      <c r="J58" s="59" t="n">
        <v>0.4</v>
      </c>
      <c r="K58" s="60" t="n">
        <v>1.80556426328161</v>
      </c>
      <c r="L58" s="61" t="n">
        <v>0.2377223944540707</v>
      </c>
      <c r="M58" s="62" t="n">
        <v>-261.7085054432026</v>
      </c>
      <c r="N58" s="62" t="n">
        <v>48.01742685647518</v>
      </c>
      <c r="O58" s="9" t="inlineStr">
        <is>
          <t>LEGN,IOVA,ALLO,ARVN,RVMD,NKTX,FATE,CRVS</t>
        </is>
      </c>
      <c r="P58" s="6" t="inlineStr"/>
    </row>
    <row r="59">
      <c r="A59" s="57">
        <f>ROW()-8</f>
        <v>51.0</v>
      </c>
      <c r="B59" s="6" t="inlineStr">
        <is>
          <t>工程建設/EPC</t>
        </is>
      </c>
      <c r="C59" s="9" t="inlineStr">
        <is>
          <t>Engineering &amp; Construction</t>
        </is>
      </c>
      <c r="D59" s="9" t="inlineStr">
        <is>
          <t>工業 Industrials</t>
        </is>
      </c>
      <c r="E59" s="58" t="n">
        <v>54.54545454545454</v>
      </c>
      <c r="F59" s="58" t="n">
        <v>65.45454545454545</v>
      </c>
      <c r="G59" s="11" t="n">
        <v>-0.00482239608839552</v>
      </c>
      <c r="H59" s="11" t="n">
        <v>-0.01325002639796735</v>
      </c>
      <c r="I59" s="59" t="n">
        <v>0.5</v>
      </c>
      <c r="J59" s="59" t="n">
        <v>0.4666666666666667</v>
      </c>
      <c r="K59" s="60" t="n">
        <v>0.9237630476738531</v>
      </c>
      <c r="L59" s="61" t="n">
        <v>0.02696237846464918</v>
      </c>
      <c r="M59" s="62" t="n">
        <v>-449.9024494306719</v>
      </c>
      <c r="N59" s="62" t="n">
        <v>-464.8962178823077</v>
      </c>
      <c r="O59" s="9" t="inlineStr">
        <is>
          <t>J,ACM,FLR,MTZ,PRIM,EME</t>
        </is>
      </c>
      <c r="P59" s="6" t="inlineStr"/>
    </row>
    <row r="60">
      <c r="A60" s="57">
        <f>ROW()-8</f>
        <v>52.0</v>
      </c>
      <c r="B60" s="6" t="inlineStr">
        <is>
          <t>類比/功率半導體</t>
        </is>
      </c>
      <c r="C60" s="9" t="inlineStr">
        <is>
          <t>Analog &amp; Power Semiconductors</t>
        </is>
      </c>
      <c r="D60" s="9" t="inlineStr">
        <is>
          <t>資訊科技 Information Technology</t>
        </is>
      </c>
      <c r="E60" s="58" t="n">
        <v>53.63636363636364</v>
      </c>
      <c r="F60" s="58" t="n">
        <v>25.45454545454545</v>
      </c>
      <c r="G60" s="11" t="n">
        <v>-0.02535678323211459</v>
      </c>
      <c r="H60" s="11" t="n">
        <v>-0.02715486597482675</v>
      </c>
      <c r="I60" s="59" t="n">
        <v>0.4</v>
      </c>
      <c r="J60" s="59" t="n">
        <v>0.52</v>
      </c>
      <c r="K60" s="60" t="n">
        <v>1.443324219918481</v>
      </c>
      <c r="L60" s="61" t="n">
        <v>-0.3661702962206175</v>
      </c>
      <c r="M60" s="62" t="n">
        <v>-2417.850745006119</v>
      </c>
      <c r="N60" s="62" t="n">
        <v>-2547.114599642901</v>
      </c>
      <c r="O60" s="9" t="inlineStr">
        <is>
          <t>TXN,ADI,ON,MPWR,NXPI</t>
        </is>
      </c>
      <c r="P60" s="6" t="inlineStr"/>
    </row>
    <row r="61">
      <c r="A61" s="63">
        <f>ROW()-8</f>
        <v>53.0</v>
      </c>
      <c r="B61" s="36" t="inlineStr">
        <is>
          <t>綜合油氣巨頭</t>
        </is>
      </c>
      <c r="C61" s="64" t="inlineStr">
        <is>
          <t>Integrated Oil &amp; Gas</t>
        </is>
      </c>
      <c r="D61" s="64" t="inlineStr">
        <is>
          <t>能源 Energy</t>
        </is>
      </c>
      <c r="E61" s="65" t="n">
        <v>52.72727272727272</v>
      </c>
      <c r="F61" s="65" t="n">
        <v>5.454545454545454</v>
      </c>
      <c r="G61" s="40" t="n">
        <v>-0.03202204322521696</v>
      </c>
      <c r="H61" s="40" t="n">
        <v>-0.008059281882165759</v>
      </c>
      <c r="I61" s="66" t="n">
        <v>0</v>
      </c>
      <c r="J61" s="66" t="n">
        <v>0.6</v>
      </c>
      <c r="K61" s="67" t="n">
        <v>1.014242161411618</v>
      </c>
      <c r="L61" s="68" t="n">
        <v>-0.2552681769184487</v>
      </c>
      <c r="M61" s="69" t="n">
        <v>-2405.012290421296</v>
      </c>
      <c r="N61" s="69" t="n">
        <v>-1805.513203267613</v>
      </c>
      <c r="O61" s="64" t="inlineStr">
        <is>
          <t>XOM,CVX</t>
        </is>
      </c>
      <c r="P61" s="38" t="inlineStr">
        <is>
          <t>✕ 迴避</t>
        </is>
      </c>
    </row>
    <row r="62">
      <c r="A62" s="57">
        <f>ROW()-8</f>
        <v>54.0</v>
      </c>
      <c r="B62" s="6" t="inlineStr">
        <is>
          <t>互動遊戲</t>
        </is>
      </c>
      <c r="C62" s="9" t="inlineStr">
        <is>
          <t>Interactive Gaming</t>
        </is>
      </c>
      <c r="D62" s="9" t="inlineStr">
        <is>
          <t>通訊服務 Communication Services</t>
        </is>
      </c>
      <c r="E62" s="58" t="n">
        <v>51.81818181818182</v>
      </c>
      <c r="F62" s="58" t="n">
        <v>26.36363636363636</v>
      </c>
      <c r="G62" s="11" t="n">
        <v>-0.02442702717131939</v>
      </c>
      <c r="H62" s="11" t="n">
        <v>0.03460520089168129</v>
      </c>
      <c r="I62" s="59" t="n">
        <v>0.3333333333333333</v>
      </c>
      <c r="J62" s="59" t="n">
        <v>0.6</v>
      </c>
      <c r="K62" s="60" t="n">
        <v>0.8563173280978302</v>
      </c>
      <c r="L62" s="61" t="n">
        <v>-0.4865911165572566</v>
      </c>
      <c r="M62" s="62" t="n">
        <v>-602.9156597656107</v>
      </c>
      <c r="N62" s="62" t="n">
        <v>-168.7435555450075</v>
      </c>
      <c r="O62" s="9" t="inlineStr">
        <is>
          <t>TTWO,RBLX,PLTK</t>
        </is>
      </c>
      <c r="P62" s="6" t="inlineStr"/>
    </row>
    <row r="63">
      <c r="A63" s="57">
        <f>ROW()-8</f>
        <v>55.0</v>
      </c>
      <c r="B63" s="6" t="inlineStr">
        <is>
          <t>特殊型REIT（自存倉/賭場/廣告牌）</t>
        </is>
      </c>
      <c r="C63" s="9" t="inlineStr">
        <is>
          <t>Specialty REITs</t>
        </is>
      </c>
      <c r="D63" s="9" t="inlineStr">
        <is>
          <t>房地產 Real Estate</t>
        </is>
      </c>
      <c r="E63" s="58" t="n">
        <v>50.90909090909091</v>
      </c>
      <c r="F63" s="58" t="n">
        <v>43.63636363636363</v>
      </c>
      <c r="G63" s="11" t="n">
        <v>-0.006195162323371584</v>
      </c>
      <c r="H63" s="11" t="n">
        <v>-0.01139693959867838</v>
      </c>
      <c r="I63" s="59" t="n">
        <v>0.2</v>
      </c>
      <c r="J63" s="59" t="n">
        <v>0.44</v>
      </c>
      <c r="K63" s="60" t="n">
        <v>1.172873173856071</v>
      </c>
      <c r="L63" s="61" t="n">
        <v>-0.1431046510196771</v>
      </c>
      <c r="M63" s="62" t="n">
        <v>-537.4082555820131</v>
      </c>
      <c r="N63" s="62" t="n">
        <v>-916.0736594099276</v>
      </c>
      <c r="O63" s="9" t="inlineStr">
        <is>
          <t>PSA,EXR,VICI,GLPI,LAMR</t>
        </is>
      </c>
      <c r="P63" s="6" t="inlineStr"/>
    </row>
    <row r="64">
      <c r="A64" s="57">
        <f>ROW()-8</f>
        <v>56.0</v>
      </c>
      <c r="B64" s="6" t="inlineStr">
        <is>
          <t>大型生物科技</t>
        </is>
      </c>
      <c r="C64" s="9" t="inlineStr">
        <is>
          <t>Large-cap Biotech</t>
        </is>
      </c>
      <c r="D64" s="9" t="inlineStr">
        <is>
          <t>醫療保健 Health Care</t>
        </is>
      </c>
      <c r="E64" s="58" t="n">
        <v>50</v>
      </c>
      <c r="F64" s="58" t="n">
        <v>82.72727272727273</v>
      </c>
      <c r="G64" s="11" t="n">
        <v>0.001707956317383963</v>
      </c>
      <c r="H64" s="11" t="n">
        <v>-0.01116162897236239</v>
      </c>
      <c r="I64" s="59" t="n">
        <v>1</v>
      </c>
      <c r="J64" s="59" t="n">
        <v>0.6</v>
      </c>
      <c r="K64" s="60" t="n">
        <v>0.9044532847183198</v>
      </c>
      <c r="L64" s="61" t="n">
        <v>0.3756959428804322</v>
      </c>
      <c r="M64" s="62" t="n">
        <v>-454.2319827666647</v>
      </c>
      <c r="N64" s="62" t="n">
        <v>-3366.258139822828</v>
      </c>
      <c r="O64" s="9" t="inlineStr">
        <is>
          <t>AMGN,GILD,REGN,VRTX,BIIB</t>
        </is>
      </c>
      <c r="P64" s="6" t="inlineStr"/>
    </row>
    <row r="65">
      <c r="A65" s="57">
        <f>ROW()-8</f>
        <v>57.0</v>
      </c>
      <c r="B65" s="6" t="inlineStr">
        <is>
          <t>AI加速晶片/GPU</t>
        </is>
      </c>
      <c r="C65" s="9" t="inlineStr">
        <is>
          <t>AI Accelerators &amp; GPU</t>
        </is>
      </c>
      <c r="D65" s="9" t="inlineStr">
        <is>
          <t>資訊科技 Information Technology</t>
        </is>
      </c>
      <c r="E65" s="58" t="n">
        <v>49.09090909090909</v>
      </c>
      <c r="F65" s="58" t="n">
        <v>88.18181818181819</v>
      </c>
      <c r="G65" s="11" t="n">
        <v>0.01536322441578886</v>
      </c>
      <c r="H65" s="11" t="n">
        <v>-0.03722874961917666</v>
      </c>
      <c r="I65" s="59" t="n">
        <v>1</v>
      </c>
      <c r="J65" s="59" t="n">
        <v>0.45</v>
      </c>
      <c r="K65" s="60" t="n">
        <v>1.023088573577205</v>
      </c>
      <c r="L65" s="61" t="n">
        <v>0.4625633114793725</v>
      </c>
      <c r="M65" s="62" t="n">
        <v>-11915.53608404539</v>
      </c>
      <c r="N65" s="62" t="n">
        <v>-67291.65027296728</v>
      </c>
      <c r="O65" s="9" t="inlineStr">
        <is>
          <t>NVDA,AMD,AVGO,MRVL</t>
        </is>
      </c>
      <c r="P65" s="6" t="inlineStr"/>
    </row>
    <row r="66">
      <c r="A66" s="57">
        <f>ROW()-8</f>
        <v>58.0</v>
      </c>
      <c r="B66" s="6" t="inlineStr">
        <is>
          <t>通訊塔REIT</t>
        </is>
      </c>
      <c r="C66" s="9" t="inlineStr">
        <is>
          <t>Tower REITs</t>
        </is>
      </c>
      <c r="D66" s="9" t="inlineStr">
        <is>
          <t>房地產 Real Estate</t>
        </is>
      </c>
      <c r="E66" s="58" t="n">
        <v>48.18181818181818</v>
      </c>
      <c r="F66" s="58" t="n">
        <v>38.18181818181819</v>
      </c>
      <c r="G66" s="11" t="n">
        <v>-0.008291189869343</v>
      </c>
      <c r="H66" s="11" t="n">
        <v>-0.01893205107418383</v>
      </c>
      <c r="I66" s="59" t="n">
        <v>0.3333333333333333</v>
      </c>
      <c r="J66" s="59" t="n">
        <v>0.4</v>
      </c>
      <c r="K66" s="60" t="n">
        <v>1.453713038789735</v>
      </c>
      <c r="L66" s="61" t="n">
        <v>0.02065476372708327</v>
      </c>
      <c r="M66" s="62" t="n">
        <v>-752.2638070222997</v>
      </c>
      <c r="N66" s="62" t="n">
        <v>-360.8399592520014</v>
      </c>
      <c r="O66" s="9" t="inlineStr">
        <is>
          <t>AMT,CCI,SBAC</t>
        </is>
      </c>
      <c r="P66" s="6" t="inlineStr"/>
    </row>
    <row r="67">
      <c r="A67" s="57">
        <f>ROW()-8</f>
        <v>59.0</v>
      </c>
      <c r="B67" s="6" t="inlineStr">
        <is>
          <t>包裝與建材</t>
        </is>
      </c>
      <c r="C67" s="9" t="inlineStr">
        <is>
          <t>Packaging &amp; Construction Materials</t>
        </is>
      </c>
      <c r="D67" s="9" t="inlineStr">
        <is>
          <t>原材料 Materials</t>
        </is>
      </c>
      <c r="E67" s="58" t="n">
        <v>47.27272727272727</v>
      </c>
      <c r="F67" s="58" t="n">
        <v>28.18181818181818</v>
      </c>
      <c r="G67" s="11" t="n">
        <v>-0.009537044464126976</v>
      </c>
      <c r="H67" s="11" t="n">
        <v>-0.01248212350355882</v>
      </c>
      <c r="I67" s="59" t="n">
        <v>0.4</v>
      </c>
      <c r="J67" s="59" t="n">
        <v>0.48</v>
      </c>
      <c r="K67" s="60" t="n">
        <v>1.274649110856187</v>
      </c>
      <c r="L67" s="61" t="n">
        <v>-0.3195429984979706</v>
      </c>
      <c r="M67" s="62" t="n">
        <v>-676.1276398067545</v>
      </c>
      <c r="N67" s="62" t="n">
        <v>-188.9749265739486</v>
      </c>
      <c r="O67" s="9" t="inlineStr">
        <is>
          <t>VMC,MLM,CRH,IP,PKG</t>
        </is>
      </c>
      <c r="P67" s="6" t="inlineStr"/>
    </row>
    <row r="68">
      <c r="A68" s="57">
        <f>ROW()-8</f>
        <v>60.0</v>
      </c>
      <c r="B68" s="6" t="inlineStr">
        <is>
          <t>水務公用</t>
        </is>
      </c>
      <c r="C68" s="9" t="inlineStr">
        <is>
          <t>Water Utilities</t>
        </is>
      </c>
      <c r="D68" s="9" t="inlineStr">
        <is>
          <t>公用事業 Utilities</t>
        </is>
      </c>
      <c r="E68" s="58" t="n">
        <v>46.36363636363636</v>
      </c>
      <c r="F68" s="58" t="n">
        <v>75.45454545454545</v>
      </c>
      <c r="G68" s="11" t="n">
        <v>0.003865540339879425</v>
      </c>
      <c r="H68" s="11" t="n">
        <v>-0.01828819422707373</v>
      </c>
      <c r="I68" s="59" t="n">
        <v>1</v>
      </c>
      <c r="J68" s="59" t="n">
        <v>0.52</v>
      </c>
      <c r="K68" s="60" t="n">
        <v>0.8389124043897062</v>
      </c>
      <c r="L68" s="61" t="n">
        <v>0.3616819208846861</v>
      </c>
      <c r="M68" s="62" t="n">
        <v>-91.1761559153791</v>
      </c>
      <c r="N68" s="62" t="n">
        <v>-741.6164826246928</v>
      </c>
      <c r="O68" s="9" t="inlineStr">
        <is>
          <t>AWK,WTRG,CWT,AWR,HTO</t>
        </is>
      </c>
      <c r="P68" s="6" t="inlineStr"/>
    </row>
    <row r="69">
      <c r="A69" s="57">
        <f>ROW()-8</f>
        <v>61.0</v>
      </c>
      <c r="B69" s="6" t="inlineStr">
        <is>
          <t>基礎化工與化肥</t>
        </is>
      </c>
      <c r="C69" s="9" t="inlineStr">
        <is>
          <t>Commodity Chemicals &amp; Fertilizers</t>
        </is>
      </c>
      <c r="D69" s="9" t="inlineStr">
        <is>
          <t>原材料 Materials</t>
        </is>
      </c>
      <c r="E69" s="58" t="n">
        <v>45.45454545454545</v>
      </c>
      <c r="F69" s="58" t="n">
        <v>60</v>
      </c>
      <c r="G69" s="11" t="n">
        <v>-0.01322274764409996</v>
      </c>
      <c r="H69" s="11" t="n">
        <v>-0.02160378980626743</v>
      </c>
      <c r="I69" s="59" t="n">
        <v>0.2</v>
      </c>
      <c r="J69" s="59" t="n">
        <v>0.32</v>
      </c>
      <c r="K69" s="60" t="n">
        <v>1.163124917493853</v>
      </c>
      <c r="L69" s="61" t="n">
        <v>0.5691549651002136</v>
      </c>
      <c r="M69" s="62" t="n">
        <v>47.89402951932052</v>
      </c>
      <c r="N69" s="62" t="n">
        <v>-1415.072807303173</v>
      </c>
      <c r="O69" s="9" t="inlineStr">
        <is>
          <t>DOW,LYB,CF,MOS,NTR</t>
        </is>
      </c>
      <c r="P69" s="6" t="inlineStr"/>
    </row>
    <row r="70">
      <c r="A70" s="57">
        <f>ROW()-8</f>
        <v>62.0</v>
      </c>
      <c r="B70" s="6" t="inlineStr">
        <is>
          <t>鐵路運輸</t>
        </is>
      </c>
      <c r="C70" s="9" t="inlineStr">
        <is>
          <t>Railroads</t>
        </is>
      </c>
      <c r="D70" s="9" t="inlineStr">
        <is>
          <t>工業 Industrials</t>
        </is>
      </c>
      <c r="E70" s="58" t="n">
        <v>44.54545454545455</v>
      </c>
      <c r="F70" s="58" t="n">
        <v>21.81818181818182</v>
      </c>
      <c r="G70" s="11" t="n">
        <v>-0.01216145704669517</v>
      </c>
      <c r="H70" s="11" t="n">
        <v>-0.01418602463821106</v>
      </c>
      <c r="I70" s="59" t="n">
        <v>0</v>
      </c>
      <c r="J70" s="59" t="n">
        <v>0.4666666666666667</v>
      </c>
      <c r="K70" s="60" t="n">
        <v>1.122207555629804</v>
      </c>
      <c r="L70" s="61" t="n">
        <v>-0.2758029586191281</v>
      </c>
      <c r="M70" s="62" t="n">
        <v>-1079.833148684536</v>
      </c>
      <c r="N70" s="62" t="n">
        <v>-1628.172417027371</v>
      </c>
      <c r="O70" s="9" t="inlineStr">
        <is>
          <t>UNP,CSX,NSC</t>
        </is>
      </c>
      <c r="P70" s="6" t="inlineStr"/>
    </row>
    <row r="71">
      <c r="A71" s="57">
        <f>ROW()-8</f>
        <v>63.0</v>
      </c>
      <c r="B71" s="6" t="inlineStr">
        <is>
          <t>消費金融與BNPL</t>
        </is>
      </c>
      <c r="C71" s="9" t="inlineStr">
        <is>
          <t>Consumer Finance &amp; BNPL</t>
        </is>
      </c>
      <c r="D71" s="9" t="inlineStr">
        <is>
          <t>金融 Financials</t>
        </is>
      </c>
      <c r="E71" s="58" t="n">
        <v>43.63636363636363</v>
      </c>
      <c r="F71" s="58" t="n">
        <v>12.72727272727273</v>
      </c>
      <c r="G71" s="11" t="n">
        <v>-0.01814887876354856</v>
      </c>
      <c r="H71" s="11" t="n">
        <v>-0.01520878716252394</v>
      </c>
      <c r="I71" s="59" t="n">
        <v>0</v>
      </c>
      <c r="J71" s="59" t="n">
        <v>0.52</v>
      </c>
      <c r="K71" s="60" t="n">
        <v>1.571259863658363</v>
      </c>
      <c r="L71" s="61" t="n">
        <v>-0.344676401592467</v>
      </c>
      <c r="M71" s="62" t="n">
        <v>-1142.55784453665</v>
      </c>
      <c r="N71" s="62" t="n">
        <v>120.6107599831176</v>
      </c>
      <c r="O71" s="9" t="inlineStr">
        <is>
          <t>AXP,COF,SYF,SOFI,AFRM</t>
        </is>
      </c>
      <c r="P71" s="6" t="inlineStr"/>
    </row>
    <row r="72">
      <c r="A72" s="57">
        <f>ROW()-8</f>
        <v>64.0</v>
      </c>
      <c r="B72" s="6" t="inlineStr">
        <is>
          <t>樓宇產品與HVAC</t>
        </is>
      </c>
      <c r="C72" s="9" t="inlineStr">
        <is>
          <t>Building Products &amp; HVAC</t>
        </is>
      </c>
      <c r="D72" s="9" t="inlineStr">
        <is>
          <t>工業 Industrials</t>
        </is>
      </c>
      <c r="E72" s="58" t="n">
        <v>42.72727272727273</v>
      </c>
      <c r="F72" s="58" t="n">
        <v>62.72727272727273</v>
      </c>
      <c r="G72" s="11" t="n">
        <v>0.0007486298154283366</v>
      </c>
      <c r="H72" s="11" t="n">
        <v>-0.04011296934051212</v>
      </c>
      <c r="I72" s="59" t="n">
        <v>0.8</v>
      </c>
      <c r="J72" s="59" t="n">
        <v>0.4</v>
      </c>
      <c r="K72" s="60" t="n">
        <v>1.279824811560725</v>
      </c>
      <c r="L72" s="61" t="n">
        <v>0.03755054691468844</v>
      </c>
      <c r="M72" s="62" t="n">
        <v>-353.1169310366544</v>
      </c>
      <c r="N72" s="62" t="n">
        <v>-1012.94468033792</v>
      </c>
      <c r="O72" s="9" t="inlineStr">
        <is>
          <t>CARR,TT,JCI,LII,AAON</t>
        </is>
      </c>
      <c r="P72" s="6" t="inlineStr"/>
    </row>
    <row r="73">
      <c r="A73" s="57">
        <f>ROW()-8</f>
        <v>65.0</v>
      </c>
      <c r="B73" s="6" t="inlineStr">
        <is>
          <t>傳統汽車與零部件</t>
        </is>
      </c>
      <c r="C73" s="9" t="inlineStr">
        <is>
          <t>Autos &amp; Auto Parts</t>
        </is>
      </c>
      <c r="D73" s="9" t="inlineStr">
        <is>
          <t>非必需消費 Consumer Discretionary</t>
        </is>
      </c>
      <c r="E73" s="58" t="n">
        <v>41.81818181818181</v>
      </c>
      <c r="F73" s="58" t="n">
        <v>37.27272727272727</v>
      </c>
      <c r="G73" s="11" t="n">
        <v>-0.01035679357519406</v>
      </c>
      <c r="H73" s="11" t="n">
        <v>-0.01646429629983137</v>
      </c>
      <c r="I73" s="59" t="n">
        <v>0.2</v>
      </c>
      <c r="J73" s="59" t="n">
        <v>0.4</v>
      </c>
      <c r="K73" s="60" t="n">
        <v>1.340150720659382</v>
      </c>
      <c r="L73" s="61" t="n">
        <v>-0.6650689822963699</v>
      </c>
      <c r="M73" s="62" t="n">
        <v>-471.6689800211248</v>
      </c>
      <c r="N73" s="62" t="n">
        <v>-552.7549353547793</v>
      </c>
      <c r="O73" s="9" t="inlineStr">
        <is>
          <t>GM,F,APTV,LEA,MGA</t>
        </is>
      </c>
      <c r="P73" s="6" t="inlineStr"/>
    </row>
    <row r="74">
      <c r="A74" s="57">
        <f>ROW()-8</f>
        <v>66.0</v>
      </c>
      <c r="B74" s="6" t="inlineStr">
        <is>
          <t>黃金與貴金屬礦</t>
        </is>
      </c>
      <c r="C74" s="9" t="inlineStr">
        <is>
          <t>Gold &amp; Precious Metals Miners</t>
        </is>
      </c>
      <c r="D74" s="9" t="inlineStr">
        <is>
          <t>原材料 Materials</t>
        </is>
      </c>
      <c r="E74" s="58" t="n">
        <v>40.90909090909091</v>
      </c>
      <c r="F74" s="58" t="n">
        <v>34.54545454545455</v>
      </c>
      <c r="G74" s="11" t="n">
        <v>-0.01446613107358006</v>
      </c>
      <c r="H74" s="11" t="n">
        <v>-0.06061927310267412</v>
      </c>
      <c r="I74" s="59" t="n">
        <v>0</v>
      </c>
      <c r="J74" s="59" t="n">
        <v>0.3666666666666667</v>
      </c>
      <c r="K74" s="60" t="n">
        <v>0.8377548488914444</v>
      </c>
      <c r="L74" s="61" t="n">
        <v>0.1829668502436109</v>
      </c>
      <c r="M74" s="62" t="n">
        <v>-654.5074480145468</v>
      </c>
      <c r="N74" s="62" t="n">
        <v>550.1758432494622</v>
      </c>
      <c r="O74" s="9" t="inlineStr">
        <is>
          <t>NEM,GOLD,AEM,AU,KGC,RGLD</t>
        </is>
      </c>
      <c r="P74" s="6" t="inlineStr"/>
    </row>
    <row r="75">
      <c r="A75" s="57">
        <f>ROW()-8</f>
        <v>67.0</v>
      </c>
      <c r="B75" s="6" t="inlineStr">
        <is>
          <t>銅與基本金屬</t>
        </is>
      </c>
      <c r="C75" s="9" t="inlineStr">
        <is>
          <t>Copper &amp; Base Metals</t>
        </is>
      </c>
      <c r="D75" s="9" t="inlineStr">
        <is>
          <t>原材料 Materials</t>
        </is>
      </c>
      <c r="E75" s="58" t="n">
        <v>40</v>
      </c>
      <c r="F75" s="58" t="n">
        <v>76.36363636363637</v>
      </c>
      <c r="G75" s="11" t="n">
        <v>-0.001206336968974764</v>
      </c>
      <c r="H75" s="11" t="n">
        <v>-0.09856654245483709</v>
      </c>
      <c r="I75" s="59" t="n">
        <v>0.75</v>
      </c>
      <c r="J75" s="59" t="n">
        <v>0.3</v>
      </c>
      <c r="K75" s="60" t="n">
        <v>0.8450249163482678</v>
      </c>
      <c r="L75" s="61" t="n">
        <v>0.472942979811051</v>
      </c>
      <c r="M75" s="62" t="n">
        <v>81.46150187575432</v>
      </c>
      <c r="N75" s="62" t="n">
        <v>1506.538622155951</v>
      </c>
      <c r="O75" s="9" t="inlineStr">
        <is>
          <t>FCX,SCCO,TECK,HBM</t>
        </is>
      </c>
      <c r="P75" s="6" t="inlineStr"/>
    </row>
    <row r="76">
      <c r="A76" s="57">
        <f>ROW()-8</f>
        <v>68.0</v>
      </c>
      <c r="B76" s="6" t="inlineStr">
        <is>
          <t>大型全能銀行</t>
        </is>
      </c>
      <c r="C76" s="9" t="inlineStr">
        <is>
          <t>Money-Center Banks</t>
        </is>
      </c>
      <c r="D76" s="9" t="inlineStr">
        <is>
          <t>金融 Financials</t>
        </is>
      </c>
      <c r="E76" s="58" t="n">
        <v>39.09090909090909</v>
      </c>
      <c r="F76" s="58" t="n">
        <v>15.45454545454545</v>
      </c>
      <c r="G76" s="11" t="n">
        <v>-0.02268795610671689</v>
      </c>
      <c r="H76" s="11" t="n">
        <v>-0.03931935365661965</v>
      </c>
      <c r="I76" s="59" t="n">
        <v>0</v>
      </c>
      <c r="J76" s="59" t="n">
        <v>0.5</v>
      </c>
      <c r="K76" s="60" t="n">
        <v>1.559896112200128</v>
      </c>
      <c r="L76" s="61" t="n">
        <v>-0.2547798899154334</v>
      </c>
      <c r="M76" s="62" t="n">
        <v>-2638.604233008671</v>
      </c>
      <c r="N76" s="62" t="n">
        <v>-3323.331566122619</v>
      </c>
      <c r="O76" s="9" t="inlineStr">
        <is>
          <t>JPM,BAC,C,WFC</t>
        </is>
      </c>
      <c r="P76" s="6" t="inlineStr"/>
    </row>
    <row r="77">
      <c r="A77" s="57">
        <f>ROW()-8</f>
        <v>69.0</v>
      </c>
      <c r="B77" s="6" t="inlineStr">
        <is>
          <t>量子運算</t>
        </is>
      </c>
      <c r="C77" s="9" t="inlineStr">
        <is>
          <t>Quantum Computing</t>
        </is>
      </c>
      <c r="D77" s="9" t="inlineStr">
        <is>
          <t>資訊科技 Information Technology</t>
        </is>
      </c>
      <c r="E77" s="58" t="n">
        <v>38.18181818181819</v>
      </c>
      <c r="F77" s="58" t="n">
        <v>58.18181818181818</v>
      </c>
      <c r="G77" s="11" t="n">
        <v>-0.003417987984413812</v>
      </c>
      <c r="H77" s="11" t="n">
        <v>-0.02943726232427513</v>
      </c>
      <c r="I77" s="59" t="n">
        <v>0.25</v>
      </c>
      <c r="J77" s="59" t="n">
        <v>0.35</v>
      </c>
      <c r="K77" s="60" t="n">
        <v>0.9369052444846904</v>
      </c>
      <c r="L77" s="61" t="n">
        <v>0.1851195281699884</v>
      </c>
      <c r="M77" s="62" t="n">
        <v>30.95287536065389</v>
      </c>
      <c r="N77" s="62" t="n">
        <v>-1064.139908884408</v>
      </c>
      <c r="O77" s="9" t="inlineStr">
        <is>
          <t>IONQ,RGTI,QBTS,QUBT</t>
        </is>
      </c>
      <c r="P77" s="6" t="inlineStr"/>
    </row>
    <row r="78">
      <c r="A78" s="57">
        <f>ROW()-8</f>
        <v>70.0</v>
      </c>
      <c r="B78" s="6" t="inlineStr">
        <is>
          <t>廢物管理與環境服務</t>
        </is>
      </c>
      <c r="C78" s="9" t="inlineStr">
        <is>
          <t>Waste &amp; Environmental Services</t>
        </is>
      </c>
      <c r="D78" s="9" t="inlineStr">
        <is>
          <t>工業 Industrials</t>
        </is>
      </c>
      <c r="E78" s="58" t="n">
        <v>37.27272727272727</v>
      </c>
      <c r="F78" s="58" t="n">
        <v>20.90909090909091</v>
      </c>
      <c r="G78" s="11" t="n">
        <v>-0.00976427889462228</v>
      </c>
      <c r="H78" s="11" t="n">
        <v>-0.009975172143173561</v>
      </c>
      <c r="I78" s="59" t="n">
        <v>0.4</v>
      </c>
      <c r="J78" s="59" t="n">
        <v>0.48</v>
      </c>
      <c r="K78" s="60" t="n">
        <v>1.091668970045509</v>
      </c>
      <c r="L78" s="61" t="n">
        <v>-0.1642615940679916</v>
      </c>
      <c r="M78" s="62" t="n">
        <v>-940.413030647121</v>
      </c>
      <c r="N78" s="62" t="n">
        <v>-2388.963126046692</v>
      </c>
      <c r="O78" s="9" t="inlineStr">
        <is>
          <t>WM,RSG,WCN,CLH,CWST</t>
        </is>
      </c>
      <c r="P78" s="6" t="inlineStr"/>
    </row>
    <row r="79">
      <c r="A79" s="57">
        <f>ROW()-8</f>
        <v>71.0</v>
      </c>
      <c r="B79" s="6" t="inlineStr">
        <is>
          <t>博彩與線上博彩</t>
        </is>
      </c>
      <c r="C79" s="9" t="inlineStr">
        <is>
          <t>Gaming &amp; Online Betting</t>
        </is>
      </c>
      <c r="D79" s="9" t="inlineStr">
        <is>
          <t>非必需消費 Consumer Discretionary</t>
        </is>
      </c>
      <c r="E79" s="58" t="n">
        <v>36.36363636363637</v>
      </c>
      <c r="F79" s="58" t="n">
        <v>22.72727272727273</v>
      </c>
      <c r="G79" s="11" t="n">
        <v>-0.01558837336455618</v>
      </c>
      <c r="H79" s="11" t="n">
        <v>-0.02465477225942614</v>
      </c>
      <c r="I79" s="59" t="n">
        <v>0</v>
      </c>
      <c r="J79" s="59" t="n">
        <v>0.4</v>
      </c>
      <c r="K79" s="60" t="n">
        <v>1.309084694002597</v>
      </c>
      <c r="L79" s="61" t="n">
        <v>-0.391594555998843</v>
      </c>
      <c r="M79" s="62" t="n">
        <v>-371.3669731651311</v>
      </c>
      <c r="N79" s="62" t="n">
        <v>-590.2080476401251</v>
      </c>
      <c r="O79" s="9" t="inlineStr">
        <is>
          <t>LVS,MGM,DKNG,FLUT</t>
        </is>
      </c>
      <c r="P79" s="6" t="inlineStr"/>
    </row>
    <row r="80">
      <c r="A80" s="70">
        <f>ROW()-8</f>
        <v>72.0</v>
      </c>
      <c r="B80" s="71" t="inlineStr">
        <is>
          <t>LNG液化天然氣</t>
        </is>
      </c>
      <c r="C80" s="72" t="inlineStr">
        <is>
          <t>LNG &amp; Gas Export</t>
        </is>
      </c>
      <c r="D80" s="72" t="inlineStr">
        <is>
          <t>能源 Energy</t>
        </is>
      </c>
      <c r="E80" s="73" t="n">
        <v>35.45454545454545</v>
      </c>
      <c r="F80" s="73" t="n">
        <v>35.45454545454545</v>
      </c>
      <c r="G80" s="74" t="n">
        <v>-0.005155162589326645</v>
      </c>
      <c r="H80" s="75" t="inlineStr">
        <is>
          <t>n/a（數據缺陷）</t>
        </is>
      </c>
      <c r="I80" s="76" t="n">
        <v>0.4</v>
      </c>
      <c r="J80" s="76" t="n">
        <v>0.36</v>
      </c>
      <c r="K80" s="77" t="n">
        <v>1.128918162575949</v>
      </c>
      <c r="L80" s="78" t="n">
        <v>-0.4700997863925108</v>
      </c>
      <c r="M80" s="79" t="n">
        <v>-241.961316090427</v>
      </c>
      <c r="N80" s="79" t="n">
        <v>-1293.057963500137</v>
      </c>
      <c r="O80" s="72" t="inlineStr">
        <is>
          <t>LNG,NFE,GLNG,VG,EE</t>
        </is>
      </c>
      <c r="P80" s="80" t="inlineStr">
        <is>
          <t>⚠ 數據缺陷：成分股 NFE 反向拆股未還原（9/11 $0.33 → 9/15 $12.77），本列 5 日漲跌與 9/10、9/14 分數不可用。詳見「數據來源與限制」頁</t>
        </is>
      </c>
    </row>
    <row r="81">
      <c r="A81" s="63">
        <f>ROW()-8</f>
        <v>73.0</v>
      </c>
      <c r="B81" s="36" t="inlineStr">
        <is>
          <t>海上鑽井與設備</t>
        </is>
      </c>
      <c r="C81" s="64" t="inlineStr">
        <is>
          <t>Offshore Drilling &amp; Equipment</t>
        </is>
      </c>
      <c r="D81" s="64" t="inlineStr">
        <is>
          <t>能源 Energy</t>
        </is>
      </c>
      <c r="E81" s="65" t="n">
        <v>34.54545454545455</v>
      </c>
      <c r="F81" s="65" t="n">
        <v>2.727272727272727</v>
      </c>
      <c r="G81" s="40" t="n">
        <v>-0.05474274823977462</v>
      </c>
      <c r="H81" s="40" t="n">
        <v>-0.03359240084746007</v>
      </c>
      <c r="I81" s="66" t="n">
        <v>0</v>
      </c>
      <c r="J81" s="66" t="n">
        <v>0.4</v>
      </c>
      <c r="K81" s="67" t="n">
        <v>1.170080346346773</v>
      </c>
      <c r="L81" s="68" t="n">
        <v>-0.2560350994663351</v>
      </c>
      <c r="M81" s="69" t="n">
        <v>-344.2423695354723</v>
      </c>
      <c r="N81" s="69" t="n">
        <v>-112.774792451555</v>
      </c>
      <c r="O81" s="64" t="inlineStr">
        <is>
          <t>RIG,VAL,NE,TDW</t>
        </is>
      </c>
      <c r="P81" s="38" t="inlineStr">
        <is>
          <t>✕ 迴避</t>
        </is>
      </c>
    </row>
    <row r="82">
      <c r="A82" s="57">
        <f>ROW()-8</f>
        <v>74.0</v>
      </c>
      <c r="B82" s="6" t="inlineStr">
        <is>
          <t>專門零售</t>
        </is>
      </c>
      <c r="C82" s="9" t="inlineStr">
        <is>
          <t>Specialty Retail</t>
        </is>
      </c>
      <c r="D82" s="9" t="inlineStr">
        <is>
          <t>非必需消費 Consumer Discretionary</t>
        </is>
      </c>
      <c r="E82" s="58" t="n">
        <v>33.63636363636363</v>
      </c>
      <c r="F82" s="58" t="n">
        <v>30</v>
      </c>
      <c r="G82" s="11" t="n">
        <v>-0.008304932766422279</v>
      </c>
      <c r="H82" s="11" t="n">
        <v>-0.005408330672249551</v>
      </c>
      <c r="I82" s="59" t="n">
        <v>0.2</v>
      </c>
      <c r="J82" s="59" t="n">
        <v>0.4</v>
      </c>
      <c r="K82" s="60" t="n">
        <v>1.172686723781091</v>
      </c>
      <c r="L82" s="61" t="n">
        <v>-0.2579683943341135</v>
      </c>
      <c r="M82" s="62" t="n">
        <v>-2725.802326117525</v>
      </c>
      <c r="N82" s="62" t="n">
        <v>-6149.698004383579</v>
      </c>
      <c r="O82" s="9" t="inlineStr">
        <is>
          <t>HD,LOW,TJX,ROST,BBY</t>
        </is>
      </c>
      <c r="P82" s="6" t="inlineStr"/>
    </row>
    <row r="83">
      <c r="A83" s="57">
        <f>ROW()-8</f>
        <v>75.0</v>
      </c>
      <c r="B83" s="6" t="inlineStr">
        <is>
          <t>地產開發與服務</t>
        </is>
      </c>
      <c r="C83" s="9" t="inlineStr">
        <is>
          <t>Real Estate Services &amp; Development</t>
        </is>
      </c>
      <c r="D83" s="9" t="inlineStr">
        <is>
          <t>房地產 Real Estate</t>
        </is>
      </c>
      <c r="E83" s="58" t="n">
        <v>32.72727272727273</v>
      </c>
      <c r="F83" s="58" t="n">
        <v>30.90909090909091</v>
      </c>
      <c r="G83" s="11" t="n">
        <v>-0.01526591969293294</v>
      </c>
      <c r="H83" s="11" t="n">
        <v>-0.04470911416258927</v>
      </c>
      <c r="I83" s="59" t="n">
        <v>0.4</v>
      </c>
      <c r="J83" s="59" t="n">
        <v>0.4</v>
      </c>
      <c r="K83" s="60" t="n">
        <v>1.394781617842213</v>
      </c>
      <c r="L83" s="61" t="n">
        <v>-0.002615073307610416</v>
      </c>
      <c r="M83" s="62" t="n">
        <v>-398.6066891786653</v>
      </c>
      <c r="N83" s="62" t="n">
        <v>-834.202156497376</v>
      </c>
      <c r="O83" s="9" t="inlineStr">
        <is>
          <t>CBRE,JLL,Z,COMP,OPEN</t>
        </is>
      </c>
      <c r="P83" s="6" t="inlineStr"/>
    </row>
    <row r="84">
      <c r="A84" s="57">
        <f>ROW()-8</f>
        <v>76.0</v>
      </c>
      <c r="B84" s="6" t="inlineStr">
        <is>
          <t>醫療保險與管理式醫療</t>
        </is>
      </c>
      <c r="C84" s="9" t="inlineStr">
        <is>
          <t>Managed Care &amp; Health Insurers</t>
        </is>
      </c>
      <c r="D84" s="9" t="inlineStr">
        <is>
          <t>醫療保健 Health Care</t>
        </is>
      </c>
      <c r="E84" s="58" t="n">
        <v>31.81818181818182</v>
      </c>
      <c r="F84" s="58" t="n">
        <v>24.54545454545455</v>
      </c>
      <c r="G84" s="11" t="n">
        <v>-0.01946967054663844</v>
      </c>
      <c r="H84" s="11" t="n">
        <v>-0.0002121686138643053</v>
      </c>
      <c r="I84" s="59" t="n">
        <v>0.2</v>
      </c>
      <c r="J84" s="59" t="n">
        <v>0.52</v>
      </c>
      <c r="K84" s="60" t="n">
        <v>1.090294127979009</v>
      </c>
      <c r="L84" s="61" t="n">
        <v>-0.3177426985829114</v>
      </c>
      <c r="M84" s="62" t="n">
        <v>-2099.004430473789</v>
      </c>
      <c r="N84" s="62" t="n">
        <v>-6956.86867753243</v>
      </c>
      <c r="O84" s="9" t="inlineStr">
        <is>
          <t>UNH,ELV,CI,HUM,CNC</t>
        </is>
      </c>
      <c r="P84" s="6" t="inlineStr"/>
    </row>
    <row r="85">
      <c r="A85" s="57">
        <f>ROW()-8</f>
        <v>77.0</v>
      </c>
      <c r="B85" s="6" t="inlineStr">
        <is>
          <t>燃氣公用</t>
        </is>
      </c>
      <c r="C85" s="9" t="inlineStr">
        <is>
          <t>Gas Utilities</t>
        </is>
      </c>
      <c r="D85" s="9" t="inlineStr">
        <is>
          <t>公用事業 Utilities</t>
        </is>
      </c>
      <c r="E85" s="58" t="n">
        <v>30.90909090909091</v>
      </c>
      <c r="F85" s="58" t="n">
        <v>66.36363636363637</v>
      </c>
      <c r="G85" s="11" t="n">
        <v>0.0003898708685706742</v>
      </c>
      <c r="H85" s="11" t="n">
        <v>-0.01815919754188544</v>
      </c>
      <c r="I85" s="59" t="n">
        <v>1</v>
      </c>
      <c r="J85" s="59" t="n">
        <v>0.5</v>
      </c>
      <c r="K85" s="60" t="n">
        <v>1.136957709296645</v>
      </c>
      <c r="L85" s="61" t="n">
        <v>0.1983121183483797</v>
      </c>
      <c r="M85" s="62" t="n">
        <v>-246.4056962570765</v>
      </c>
      <c r="N85" s="62" t="n">
        <v>-1313.949087574426</v>
      </c>
      <c r="O85" s="9" t="inlineStr">
        <is>
          <t>ATO,NI,SR,NJR</t>
        </is>
      </c>
      <c r="P85" s="6" t="inlineStr"/>
    </row>
    <row r="86">
      <c r="A86" s="57">
        <f>ROW()-8</f>
        <v>78.0</v>
      </c>
      <c r="B86" s="6" t="inlineStr">
        <is>
          <t>交易所與金融數據</t>
        </is>
      </c>
      <c r="C86" s="9" t="inlineStr">
        <is>
          <t>Exchanges &amp; Market Data</t>
        </is>
      </c>
      <c r="D86" s="9" t="inlineStr">
        <is>
          <t>金融 Financials</t>
        </is>
      </c>
      <c r="E86" s="58" t="n">
        <v>30</v>
      </c>
      <c r="F86" s="58" t="n">
        <v>46.36363636363636</v>
      </c>
      <c r="G86" s="11" t="n">
        <v>-0.009334692167461545</v>
      </c>
      <c r="H86" s="11" t="n">
        <v>-0.0359541498606003</v>
      </c>
      <c r="I86" s="59" t="n">
        <v>0.2</v>
      </c>
      <c r="J86" s="59" t="n">
        <v>0.44</v>
      </c>
      <c r="K86" s="60" t="n">
        <v>1.019314222699961</v>
      </c>
      <c r="L86" s="61" t="n">
        <v>-0.004450396889259622</v>
      </c>
      <c r="M86" s="62" t="n">
        <v>-613.0358462751445</v>
      </c>
      <c r="N86" s="62" t="n">
        <v>-3463.662295473597</v>
      </c>
      <c r="O86" s="9" t="inlineStr">
        <is>
          <t>CME,ICE,NDAQ,CBOE,SPGI</t>
        </is>
      </c>
      <c r="P86" s="6" t="inlineStr"/>
    </row>
    <row r="87">
      <c r="A87" s="57">
        <f>ROW()-8</f>
        <v>79.0</v>
      </c>
      <c r="B87" s="6" t="inlineStr">
        <is>
          <t>服裝與奢侈品</t>
        </is>
      </c>
      <c r="C87" s="9" t="inlineStr">
        <is>
          <t>Apparel &amp; Luxury Goods</t>
        </is>
      </c>
      <c r="D87" s="9" t="inlineStr">
        <is>
          <t>非必需消費 Consumer Discretionary</t>
        </is>
      </c>
      <c r="E87" s="58" t="n">
        <v>29.09090909090909</v>
      </c>
      <c r="F87" s="58" t="n">
        <v>42.72727272727273</v>
      </c>
      <c r="G87" s="11" t="n">
        <v>-0.001345512874351606</v>
      </c>
      <c r="H87" s="11" t="n">
        <v>-0.01762765473072825</v>
      </c>
      <c r="I87" s="59" t="n">
        <v>0.6</v>
      </c>
      <c r="J87" s="59" t="n">
        <v>0.6</v>
      </c>
      <c r="K87" s="60" t="n">
        <v>1.143603548828702</v>
      </c>
      <c r="L87" s="61" t="n">
        <v>-0.1474239533831183</v>
      </c>
      <c r="M87" s="62" t="n">
        <v>-1744.425202296537</v>
      </c>
      <c r="N87" s="62" t="n">
        <v>-3830.552961805467</v>
      </c>
      <c r="O87" s="9" t="inlineStr">
        <is>
          <t>NKE,LULU,RL,DECK,ONON</t>
        </is>
      </c>
      <c r="P87" s="6" t="inlineStr"/>
    </row>
    <row r="88">
      <c r="A88" s="57">
        <f>ROW()-8</f>
        <v>80.0</v>
      </c>
      <c r="B88" s="6" t="inlineStr">
        <is>
          <t>有線/寬頻/衛星</t>
        </is>
      </c>
      <c r="C88" s="9" t="inlineStr">
        <is>
          <t>Cable, Broadband &amp; Satellite</t>
        </is>
      </c>
      <c r="D88" s="9" t="inlineStr">
        <is>
          <t>通訊服務 Communication Services</t>
        </is>
      </c>
      <c r="E88" s="58" t="n">
        <v>28.18181818181818</v>
      </c>
      <c r="F88" s="58" t="n">
        <v>32.72727272727273</v>
      </c>
      <c r="G88" s="11" t="n">
        <v>-0.02121903900805126</v>
      </c>
      <c r="H88" s="11" t="n">
        <v>-0.0249182727212659</v>
      </c>
      <c r="I88" s="59" t="n">
        <v>0.3333333333333333</v>
      </c>
      <c r="J88" s="59" t="n">
        <v>0.3333333333333333</v>
      </c>
      <c r="K88" s="60" t="n">
        <v>0.9862143054842814</v>
      </c>
      <c r="L88" s="61" t="n">
        <v>-0.4790106851706214</v>
      </c>
      <c r="M88" s="62" t="n">
        <v>-529.9992530014121</v>
      </c>
      <c r="N88" s="62" t="n">
        <v>-1760.901264833973</v>
      </c>
      <c r="O88" s="9" t="inlineStr">
        <is>
          <t>CMCSA,CHTR,ASTS</t>
        </is>
      </c>
      <c r="P88" s="6" t="inlineStr"/>
    </row>
    <row r="89">
      <c r="A89" s="63">
        <f>ROW()-8</f>
        <v>81.0</v>
      </c>
      <c r="B89" s="36" t="inlineStr">
        <is>
          <t>貨運與物流</t>
        </is>
      </c>
      <c r="C89" s="64" t="inlineStr">
        <is>
          <t>Freight &amp; Logistics</t>
        </is>
      </c>
      <c r="D89" s="64" t="inlineStr">
        <is>
          <t>工業 Industrials</t>
        </is>
      </c>
      <c r="E89" s="65" t="n">
        <v>27.27272727272727</v>
      </c>
      <c r="F89" s="65" t="n">
        <v>1.818181818181818</v>
      </c>
      <c r="G89" s="40" t="n">
        <v>-0.04943397566347705</v>
      </c>
      <c r="H89" s="40" t="n">
        <v>-0.04691219796770252</v>
      </c>
      <c r="I89" s="66" t="n">
        <v>0</v>
      </c>
      <c r="J89" s="66" t="n">
        <v>0.4</v>
      </c>
      <c r="K89" s="67" t="n">
        <v>3.151718117991294</v>
      </c>
      <c r="L89" s="68" t="n">
        <v>-0.5681303934358862</v>
      </c>
      <c r="M89" s="69" t="n">
        <v>-1692.506783119527</v>
      </c>
      <c r="N89" s="69" t="n">
        <v>-1060.694831634663</v>
      </c>
      <c r="O89" s="64" t="inlineStr">
        <is>
          <t>UPS,FDX,ODFL,JBHT,XPO</t>
        </is>
      </c>
      <c r="P89" s="38" t="inlineStr">
        <is>
          <t>✕ 迴避：FDX 指引，成交 3.15x</t>
        </is>
      </c>
    </row>
    <row r="90">
      <c r="A90" s="57">
        <f>ROW()-8</f>
        <v>82.0</v>
      </c>
      <c r="B90" s="6" t="inlineStr">
        <is>
          <t>藥品分銷與藥房</t>
        </is>
      </c>
      <c r="C90" s="9" t="inlineStr">
        <is>
          <t>Drug Distribution &amp; Pharmacy</t>
        </is>
      </c>
      <c r="D90" s="9" t="inlineStr">
        <is>
          <t>醫療保健 Health Care</t>
        </is>
      </c>
      <c r="E90" s="58" t="n">
        <v>26.36363636363636</v>
      </c>
      <c r="F90" s="58" t="n">
        <v>14.54545454545454</v>
      </c>
      <c r="G90" s="11" t="n">
        <v>-0.01456112009123639</v>
      </c>
      <c r="H90" s="11" t="n">
        <v>-0.02226696006701923</v>
      </c>
      <c r="I90" s="59" t="n">
        <v>0.25</v>
      </c>
      <c r="J90" s="59" t="n">
        <v>0.3</v>
      </c>
      <c r="K90" s="60" t="n">
        <v>0.9950517902292514</v>
      </c>
      <c r="L90" s="61" t="n">
        <v>-0.07383457409547886</v>
      </c>
      <c r="M90" s="62" t="n">
        <v>-1822.702426583254</v>
      </c>
      <c r="N90" s="62" t="n">
        <v>-3088.53786234371</v>
      </c>
      <c r="O90" s="9" t="inlineStr">
        <is>
          <t>MCK,COR,CAH,CVS</t>
        </is>
      </c>
      <c r="P90" s="6" t="inlineStr"/>
    </row>
    <row r="91">
      <c r="A91" s="57">
        <f>ROW()-8</f>
        <v>83.0</v>
      </c>
      <c r="B91" s="6" t="inlineStr">
        <is>
          <t>基因治療與基因編輯</t>
        </is>
      </c>
      <c r="C91" s="9" t="inlineStr">
        <is>
          <t>Gene Editing &amp; Gene Therapy</t>
        </is>
      </c>
      <c r="D91" s="9" t="inlineStr">
        <is>
          <t>醫療保健 Health Care</t>
        </is>
      </c>
      <c r="E91" s="58" t="n">
        <v>25.45454545454545</v>
      </c>
      <c r="F91" s="58" t="n">
        <v>83.63636363636363</v>
      </c>
      <c r="G91" s="11" t="n">
        <v>0.004535788171859216</v>
      </c>
      <c r="H91" s="11" t="n">
        <v>-0.05506953302463047</v>
      </c>
      <c r="I91" s="59" t="n">
        <v>0.6666666666666666</v>
      </c>
      <c r="J91" s="59" t="n">
        <v>0.3333333333333333</v>
      </c>
      <c r="K91" s="60" t="n">
        <v>1.773556207193844</v>
      </c>
      <c r="L91" s="61" t="n">
        <v>0.3405695027761459</v>
      </c>
      <c r="M91" s="62" t="n">
        <v>-106.1517701327814</v>
      </c>
      <c r="N91" s="62" t="n">
        <v>-227.1015558767737</v>
      </c>
      <c r="O91" s="9" t="inlineStr">
        <is>
          <t>CRSP,NTLA,BEAM</t>
        </is>
      </c>
      <c r="P91" s="6" t="inlineStr"/>
    </row>
    <row r="92">
      <c r="A92" s="57">
        <f>ROW()-8</f>
        <v>84.0</v>
      </c>
      <c r="B92" s="6" t="inlineStr">
        <is>
          <t>保險經紀</t>
        </is>
      </c>
      <c r="C92" s="9" t="inlineStr">
        <is>
          <t>Insurance Brokers</t>
        </is>
      </c>
      <c r="D92" s="9" t="inlineStr">
        <is>
          <t>金融 Financials</t>
        </is>
      </c>
      <c r="E92" s="58" t="n">
        <v>24.54545454545455</v>
      </c>
      <c r="F92" s="58" t="n">
        <v>18.18181818181818</v>
      </c>
      <c r="G92" s="11" t="n">
        <v>-0.01971287271048255</v>
      </c>
      <c r="H92" s="11" t="n">
        <v>-0.006856613385590959</v>
      </c>
      <c r="I92" s="59" t="n">
        <v>0</v>
      </c>
      <c r="J92" s="59" t="n">
        <v>0.45</v>
      </c>
      <c r="K92" s="60" t="n">
        <v>2.346600033046988</v>
      </c>
      <c r="L92" s="61" t="n">
        <v>-0.3685457532482229</v>
      </c>
      <c r="M92" s="62" t="n">
        <v>-420.711011090151</v>
      </c>
      <c r="N92" s="62" t="n">
        <v>-1340.577807918623</v>
      </c>
      <c r="O92" s="9" t="inlineStr">
        <is>
          <t>AON,AJG,BRO,WTW</t>
        </is>
      </c>
      <c r="P92" s="6" t="inlineStr"/>
    </row>
    <row r="93">
      <c r="A93" s="57">
        <f>ROW()-8</f>
        <v>85.0</v>
      </c>
      <c r="B93" s="6" t="inlineStr">
        <is>
          <t>農產品與農業投入</t>
        </is>
      </c>
      <c r="C93" s="9" t="inlineStr">
        <is>
          <t>Agricultural Products &amp; Inputs</t>
        </is>
      </c>
      <c r="D93" s="9" t="inlineStr">
        <is>
          <t>必需消費 Consumer Staples</t>
        </is>
      </c>
      <c r="E93" s="58" t="n">
        <v>23.63636363636364</v>
      </c>
      <c r="F93" s="58" t="n">
        <v>7.272727272727272</v>
      </c>
      <c r="G93" s="11" t="n">
        <v>-0.01985867230227745</v>
      </c>
      <c r="H93" s="11" t="n">
        <v>-0.02573805646056504</v>
      </c>
      <c r="I93" s="59" t="n">
        <v>0</v>
      </c>
      <c r="J93" s="59" t="n">
        <v>0.44</v>
      </c>
      <c r="K93" s="60" t="n">
        <v>1.277406243432123</v>
      </c>
      <c r="L93" s="61" t="n">
        <v>-0.341298836675157</v>
      </c>
      <c r="M93" s="62" t="n">
        <v>-968.2130042771296</v>
      </c>
      <c r="N93" s="62" t="n">
        <v>-2217.31934426007</v>
      </c>
      <c r="O93" s="9" t="inlineStr">
        <is>
          <t>ADM,BG,TSN,INGR,CTVA</t>
        </is>
      </c>
      <c r="P93" s="6" t="inlineStr"/>
    </row>
    <row r="94">
      <c r="A94" s="57">
        <f>ROW()-8</f>
        <v>86.0</v>
      </c>
      <c r="B94" s="6" t="inlineStr">
        <is>
          <t>中游與管道</t>
        </is>
      </c>
      <c r="C94" s="9" t="inlineStr">
        <is>
          <t>Midstream &amp; Pipelines</t>
        </is>
      </c>
      <c r="D94" s="9" t="inlineStr">
        <is>
          <t>能源 Energy</t>
        </is>
      </c>
      <c r="E94" s="58" t="n">
        <v>22.72727272727273</v>
      </c>
      <c r="F94" s="58" t="n">
        <v>50</v>
      </c>
      <c r="G94" s="11" t="n">
        <v>-0.01233666006356982</v>
      </c>
      <c r="H94" s="11" t="n">
        <v>-0.03356271933569044</v>
      </c>
      <c r="I94" s="59" t="n">
        <v>0.2</v>
      </c>
      <c r="J94" s="59" t="n">
        <v>0.4</v>
      </c>
      <c r="K94" s="60" t="n">
        <v>1.176675287018607</v>
      </c>
      <c r="L94" s="61" t="n">
        <v>0.08183328710743543</v>
      </c>
      <c r="M94" s="62" t="n">
        <v>-296.1528951134534</v>
      </c>
      <c r="N94" s="62" t="n">
        <v>-2533.883809151124</v>
      </c>
      <c r="O94" s="9" t="inlineStr">
        <is>
          <t>KMI,WMB,ET,EPD,OKE</t>
        </is>
      </c>
      <c r="P94" s="6" t="inlineStr"/>
    </row>
    <row r="95">
      <c r="A95" s="57">
        <f>ROW()-8</f>
        <v>87.0</v>
      </c>
      <c r="B95" s="6" t="inlineStr">
        <is>
          <t>電動車與新能源車</t>
        </is>
      </c>
      <c r="C95" s="9" t="inlineStr">
        <is>
          <t>EV &amp; New Energy Vehicles</t>
        </is>
      </c>
      <c r="D95" s="9" t="inlineStr">
        <is>
          <t>非必需消費 Consumer Discretionary</t>
        </is>
      </c>
      <c r="E95" s="58" t="n">
        <v>21.81818181818182</v>
      </c>
      <c r="F95" s="58" t="n">
        <v>44.54545454545455</v>
      </c>
      <c r="G95" s="11" t="n">
        <v>-0.0117197760709784</v>
      </c>
      <c r="H95" s="11" t="n">
        <v>-0.0428475783204928</v>
      </c>
      <c r="I95" s="59" t="n">
        <v>0.3333333333333333</v>
      </c>
      <c r="J95" s="59" t="n">
        <v>0.2666666666666667</v>
      </c>
      <c r="K95" s="60" t="n">
        <v>1.349301420899586</v>
      </c>
      <c r="L95" s="61" t="n">
        <v>-0.101747028269415</v>
      </c>
      <c r="M95" s="62" t="n">
        <v>-4320.11120103496</v>
      </c>
      <c r="N95" s="62" t="n">
        <v>-15269.79159780831</v>
      </c>
      <c r="O95" s="9" t="inlineStr">
        <is>
          <t>TSLA,RIVN,LCID</t>
        </is>
      </c>
      <c r="P95" s="6" t="inlineStr"/>
    </row>
    <row r="96">
      <c r="A96" s="57">
        <f>ROW()-8</f>
        <v>88.0</v>
      </c>
      <c r="B96" s="6" t="inlineStr">
        <is>
          <t>半導體設備</t>
        </is>
      </c>
      <c r="C96" s="9" t="inlineStr">
        <is>
          <t>Semiconductor Equipment</t>
        </is>
      </c>
      <c r="D96" s="9" t="inlineStr">
        <is>
          <t>資訊科技 Information Technology</t>
        </is>
      </c>
      <c r="E96" s="58" t="n">
        <v>20.90909090909091</v>
      </c>
      <c r="F96" s="58" t="n">
        <v>63.63636363636363</v>
      </c>
      <c r="G96" s="11" t="n">
        <v>0.001590889714558097</v>
      </c>
      <c r="H96" s="11" t="n">
        <v>-0.1060410866223301</v>
      </c>
      <c r="I96" s="59" t="n">
        <v>0.6</v>
      </c>
      <c r="J96" s="59" t="n">
        <v>0.4</v>
      </c>
      <c r="K96" s="60" t="n">
        <v>0.9400468275743783</v>
      </c>
      <c r="L96" s="61" t="n">
        <v>0.380661449333584</v>
      </c>
      <c r="M96" s="62" t="n">
        <v>-3142.270335408239</v>
      </c>
      <c r="N96" s="62" t="n">
        <v>-21648.21790478342</v>
      </c>
      <c r="O96" s="9" t="inlineStr">
        <is>
          <t>AMAT,LRCX,KLAC,ASML,TER</t>
        </is>
      </c>
      <c r="P96" s="6" t="inlineStr"/>
    </row>
    <row r="97">
      <c r="A97" s="63">
        <f>ROW()-8</f>
        <v>89.0</v>
      </c>
      <c r="B97" s="36" t="inlineStr">
        <is>
          <t>區域與社區銀行</t>
        </is>
      </c>
      <c r="C97" s="64" t="inlineStr">
        <is>
          <t>Regional Banks</t>
        </is>
      </c>
      <c r="D97" s="64" t="inlineStr">
        <is>
          <t>金融 Financials</t>
        </is>
      </c>
      <c r="E97" s="65" t="n">
        <v>20</v>
      </c>
      <c r="F97" s="65" t="n">
        <v>0.9090909090909091</v>
      </c>
      <c r="G97" s="40" t="n">
        <v>-0.0390930658160346</v>
      </c>
      <c r="H97" s="40" t="n">
        <v>-0.03992248899813056</v>
      </c>
      <c r="I97" s="66" t="n">
        <v>0</v>
      </c>
      <c r="J97" s="66" t="n">
        <v>0.4</v>
      </c>
      <c r="K97" s="67" t="n">
        <v>2.400681526121513</v>
      </c>
      <c r="L97" s="68" t="n">
        <v>-0.8410951980565429</v>
      </c>
      <c r="M97" s="69" t="n">
        <v>-1361.501006867863</v>
      </c>
      <c r="N97" s="69" t="n">
        <v>-1575.429492833345</v>
      </c>
      <c r="O97" s="64" t="inlineStr">
        <is>
          <t>USB,PNC,TFC,MTB,ZION</t>
        </is>
      </c>
      <c r="P97" s="38" t="inlineStr">
        <is>
          <t>✕ 迴避：成交 2.40x</t>
        </is>
      </c>
    </row>
    <row r="98">
      <c r="A98" s="57">
        <f>ROW()-8</f>
        <v>90.0</v>
      </c>
      <c r="B98" s="6" t="inlineStr">
        <is>
          <t>餐飲連鎖</t>
        </is>
      </c>
      <c r="C98" s="9" t="inlineStr">
        <is>
          <t>Restaurants</t>
        </is>
      </c>
      <c r="D98" s="9" t="inlineStr">
        <is>
          <t>非必需消費 Consumer Discretionary</t>
        </is>
      </c>
      <c r="E98" s="58" t="n">
        <v>19.09090909090909</v>
      </c>
      <c r="F98" s="58" t="n">
        <v>36.36363636363637</v>
      </c>
      <c r="G98" s="11" t="n">
        <v>-0.01335553019182563</v>
      </c>
      <c r="H98" s="11" t="n">
        <v>-0.03340008445229459</v>
      </c>
      <c r="I98" s="59" t="n">
        <v>0.2</v>
      </c>
      <c r="J98" s="59" t="n">
        <v>0.36</v>
      </c>
      <c r="K98" s="60" t="n">
        <v>1.502019524022505</v>
      </c>
      <c r="L98" s="61" t="n">
        <v>-0.1969131953341677</v>
      </c>
      <c r="M98" s="62" t="n">
        <v>-2110.719902728678</v>
      </c>
      <c r="N98" s="62" t="n">
        <v>-6315.282627504884</v>
      </c>
      <c r="O98" s="9" t="inlineStr">
        <is>
          <t>MCD,SBUX,CMG,YUM,DRI</t>
        </is>
      </c>
      <c r="P98" s="6" t="inlineStr"/>
    </row>
    <row r="99">
      <c r="A99" s="57">
        <f>ROW()-8</f>
        <v>91.0</v>
      </c>
      <c r="B99" s="6" t="inlineStr">
        <is>
          <t>資產管理</t>
        </is>
      </c>
      <c r="C99" s="9" t="inlineStr">
        <is>
          <t>Asset Management</t>
        </is>
      </c>
      <c r="D99" s="9" t="inlineStr">
        <is>
          <t>金融 Financials</t>
        </is>
      </c>
      <c r="E99" s="58" t="n">
        <v>18.18181818181818</v>
      </c>
      <c r="F99" s="58" t="n">
        <v>19.09090909090909</v>
      </c>
      <c r="G99" s="11" t="n">
        <v>-0.01740698092478307</v>
      </c>
      <c r="H99" s="11" t="n">
        <v>-0.03985865168071501</v>
      </c>
      <c r="I99" s="59" t="n">
        <v>0</v>
      </c>
      <c r="J99" s="59" t="n">
        <v>0.3</v>
      </c>
      <c r="K99" s="60" t="n">
        <v>1.192563822134295</v>
      </c>
      <c r="L99" s="61" t="n">
        <v>-0.1442929579768654</v>
      </c>
      <c r="M99" s="62" t="n">
        <v>-190.405886017567</v>
      </c>
      <c r="N99" s="62" t="n">
        <v>-1076.672598759269</v>
      </c>
      <c r="O99" s="9" t="inlineStr">
        <is>
          <t>BLK,TROW,BEN,AMG</t>
        </is>
      </c>
      <c r="P99" s="6" t="inlineStr"/>
    </row>
    <row r="100">
      <c r="A100" s="57">
        <f>ROW()-8</f>
        <v>92.0</v>
      </c>
      <c r="B100" s="6" t="inlineStr">
        <is>
          <t>必需品分銷</t>
        </is>
      </c>
      <c r="C100" s="9" t="inlineStr">
        <is>
          <t>Staples Distribution</t>
        </is>
      </c>
      <c r="D100" s="9" t="inlineStr">
        <is>
          <t>必需消費 Consumer Staples</t>
        </is>
      </c>
      <c r="E100" s="58" t="n">
        <v>17.27272727272727</v>
      </c>
      <c r="F100" s="58" t="n">
        <v>71.81818181818181</v>
      </c>
      <c r="G100" s="11" t="n">
        <v>0.01199761101691599</v>
      </c>
      <c r="H100" s="11" t="n">
        <v>-0.03241231269079325</v>
      </c>
      <c r="I100" s="59" t="n">
        <v>0.75</v>
      </c>
      <c r="J100" s="59" t="n">
        <v>0.45</v>
      </c>
      <c r="K100" s="60" t="n">
        <v>2.205888894744637</v>
      </c>
      <c r="L100" s="61" t="n">
        <v>-0.1754626374720161</v>
      </c>
      <c r="M100" s="62" t="n">
        <v>-340.6634799835885</v>
      </c>
      <c r="N100" s="62" t="n">
        <v>-2076.785059331724</v>
      </c>
      <c r="O100" s="9" t="inlineStr">
        <is>
          <t>SYY,USFD,PFGC,CHEF</t>
        </is>
      </c>
      <c r="P100" s="6" t="inlineStr"/>
    </row>
    <row r="101">
      <c r="A101" s="57">
        <f>ROW()-8</f>
        <v>93.0</v>
      </c>
      <c r="B101" s="6" t="inlineStr">
        <is>
          <t>受監管電力公用</t>
        </is>
      </c>
      <c r="C101" s="9" t="inlineStr">
        <is>
          <t>Regulated Electric Utilities</t>
        </is>
      </c>
      <c r="D101" s="9" t="inlineStr">
        <is>
          <t>公用事業 Utilities</t>
        </is>
      </c>
      <c r="E101" s="58" t="n">
        <v>16.36363636363636</v>
      </c>
      <c r="F101" s="58" t="n">
        <v>72.72727272727273</v>
      </c>
      <c r="G101" s="11" t="n">
        <v>0.0002469206015659031</v>
      </c>
      <c r="H101" s="11" t="n">
        <v>-0.02960060113654306</v>
      </c>
      <c r="I101" s="59" t="n">
        <v>0.8</v>
      </c>
      <c r="J101" s="59" t="n">
        <v>0.28</v>
      </c>
      <c r="K101" s="60" t="n">
        <v>1.331407410130431</v>
      </c>
      <c r="L101" s="61" t="n">
        <v>0.2000898687599058</v>
      </c>
      <c r="M101" s="62" t="n">
        <v>-909.495232763484</v>
      </c>
      <c r="N101" s="62" t="n">
        <v>-7033.244836742276</v>
      </c>
      <c r="O101" s="9" t="inlineStr">
        <is>
          <t>DUK,SO,AEP,D,XEL</t>
        </is>
      </c>
      <c r="P101" s="6" t="inlineStr"/>
    </row>
    <row r="102">
      <c r="A102" s="57">
        <f>ROW()-8</f>
        <v>94.0</v>
      </c>
      <c r="B102" s="6" t="inlineStr">
        <is>
          <t>GLP-1減重與代謝</t>
        </is>
      </c>
      <c r="C102" s="9" t="inlineStr">
        <is>
          <t>GLP-1 &amp; Metabolic</t>
        </is>
      </c>
      <c r="D102" s="9" t="inlineStr">
        <is>
          <t>醫療保健 Health Care</t>
        </is>
      </c>
      <c r="E102" s="58" t="n">
        <v>15.45454545454545</v>
      </c>
      <c r="F102" s="58" t="n">
        <v>40.90909090909091</v>
      </c>
      <c r="G102" s="11" t="n">
        <v>-0.00725918347712376</v>
      </c>
      <c r="H102" s="11" t="n">
        <v>-0.04601777429242582</v>
      </c>
      <c r="I102" s="59" t="n">
        <v>0.5</v>
      </c>
      <c r="J102" s="59" t="n">
        <v>0.35</v>
      </c>
      <c r="K102" s="60" t="n">
        <v>1.061973863634301</v>
      </c>
      <c r="L102" s="61" t="n">
        <v>0.02468043590040469</v>
      </c>
      <c r="M102" s="62" t="n">
        <v>-1064.416677713794</v>
      </c>
      <c r="N102" s="62" t="n">
        <v>-6946.028236440703</v>
      </c>
      <c r="O102" s="9" t="inlineStr">
        <is>
          <t>LLY,NVO,VKTX,ALT</t>
        </is>
      </c>
      <c r="P102" s="6" t="inlineStr"/>
    </row>
    <row r="103">
      <c r="A103" s="57">
        <f>ROW()-8</f>
        <v>95.0</v>
      </c>
      <c r="B103" s="6" t="inlineStr">
        <is>
          <t>住宅公寓REIT</t>
        </is>
      </c>
      <c r="C103" s="9" t="inlineStr">
        <is>
          <t>Residential &amp; Apartment REITs</t>
        </is>
      </c>
      <c r="D103" s="9" t="inlineStr">
        <is>
          <t>房地產 Real Estate</t>
        </is>
      </c>
      <c r="E103" s="58" t="n">
        <v>14.54545454545454</v>
      </c>
      <c r="F103" s="58" t="n">
        <v>17.27272727272727</v>
      </c>
      <c r="G103" s="11" t="n">
        <v>-0.01465071391445431</v>
      </c>
      <c r="H103" s="11" t="n">
        <v>-0.03495204854130529</v>
      </c>
      <c r="I103" s="59" t="n">
        <v>0</v>
      </c>
      <c r="J103" s="59" t="n">
        <v>0.3333333333333333</v>
      </c>
      <c r="K103" s="60" t="n">
        <v>1.756829205584532</v>
      </c>
      <c r="L103" s="61" t="n">
        <v>0.2738295086960117</v>
      </c>
      <c r="M103" s="62" t="n">
        <v>-252.806690412939</v>
      </c>
      <c r="N103" s="62" t="n">
        <v>-840.6223961061542</v>
      </c>
      <c r="O103" s="9" t="inlineStr">
        <is>
          <t>MAA,INVH,AMH</t>
        </is>
      </c>
      <c r="P103" s="6" t="inlineStr"/>
    </row>
    <row r="104">
      <c r="A104" s="57">
        <f>ROW()-8</f>
        <v>96.0</v>
      </c>
      <c r="B104" s="6" t="inlineStr">
        <is>
          <t>IPP與電力交易商</t>
        </is>
      </c>
      <c r="C104" s="9" t="inlineStr">
        <is>
          <t>IPPs &amp; Power Traders</t>
        </is>
      </c>
      <c r="D104" s="9" t="inlineStr">
        <is>
          <t>公用事業 Utilities</t>
        </is>
      </c>
      <c r="E104" s="58" t="n">
        <v>13.63636363636363</v>
      </c>
      <c r="F104" s="58" t="n">
        <v>74.54545454545455</v>
      </c>
      <c r="G104" s="11" t="n">
        <v>0.00574759384654272</v>
      </c>
      <c r="H104" s="11" t="n">
        <v>-0.08931323580536532</v>
      </c>
      <c r="I104" s="59" t="n">
        <v>0.75</v>
      </c>
      <c r="J104" s="59" t="n">
        <v>0.3</v>
      </c>
      <c r="K104" s="60" t="n">
        <v>1.021883770047663</v>
      </c>
      <c r="L104" s="61" t="n">
        <v>0.4234929370759483</v>
      </c>
      <c r="M104" s="62" t="n">
        <v>-286.7587069912286</v>
      </c>
      <c r="N104" s="62" t="n">
        <v>-5528.069881265299</v>
      </c>
      <c r="O104" s="9" t="inlineStr">
        <is>
          <t>CEG,VST,NRG,TLN</t>
        </is>
      </c>
      <c r="P104" s="6" t="inlineStr"/>
    </row>
    <row r="105">
      <c r="A105" s="63">
        <f>ROW()-8</f>
        <v>97.0</v>
      </c>
      <c r="B105" s="36" t="inlineStr">
        <is>
          <t>再生能源與太陽能</t>
        </is>
      </c>
      <c r="C105" s="64" t="inlineStr">
        <is>
          <t>Renewables &amp; Solar</t>
        </is>
      </c>
      <c r="D105" s="64" t="inlineStr">
        <is>
          <t>公用事業 Utilities</t>
        </is>
      </c>
      <c r="E105" s="65" t="n">
        <v>12.72727272727273</v>
      </c>
      <c r="F105" s="65" t="n">
        <v>10</v>
      </c>
      <c r="G105" s="40" t="n">
        <v>-0.02669146544435608</v>
      </c>
      <c r="H105" s="40" t="n">
        <v>-0.04589176073470269</v>
      </c>
      <c r="I105" s="66" t="n">
        <v>0</v>
      </c>
      <c r="J105" s="66" t="n">
        <v>0.32</v>
      </c>
      <c r="K105" s="67" t="n">
        <v>1.344794069117841</v>
      </c>
      <c r="L105" s="68" t="n">
        <v>-0.4815201793988505</v>
      </c>
      <c r="M105" s="69" t="n">
        <v>-1110.648604125347</v>
      </c>
      <c r="N105" s="69" t="n">
        <v>-4215.82894924324</v>
      </c>
      <c r="O105" s="64" t="inlineStr">
        <is>
          <t>NEE,FSLR,ENPH,RUN,NXT</t>
        </is>
      </c>
      <c r="P105" s="38" t="inlineStr">
        <is>
          <t>✕ 迴避</t>
        </is>
      </c>
    </row>
    <row r="106">
      <c r="A106" s="57">
        <f>ROW()-8</f>
        <v>98.0</v>
      </c>
      <c r="B106" s="6" t="inlineStr">
        <is>
          <t>零售與購物中心REIT</t>
        </is>
      </c>
      <c r="C106" s="9" t="inlineStr">
        <is>
          <t>Retail REITs</t>
        </is>
      </c>
      <c r="D106" s="9" t="inlineStr">
        <is>
          <t>房地產 Real Estate</t>
        </is>
      </c>
      <c r="E106" s="58" t="n">
        <v>11.81818181818182</v>
      </c>
      <c r="F106" s="58" t="n">
        <v>16.36363636363636</v>
      </c>
      <c r="G106" s="11" t="n">
        <v>-0.01471516943084721</v>
      </c>
      <c r="H106" s="11" t="n">
        <v>-0.03005989263595044</v>
      </c>
      <c r="I106" s="59" t="n">
        <v>0</v>
      </c>
      <c r="J106" s="59" t="n">
        <v>0.36</v>
      </c>
      <c r="K106" s="60" t="n">
        <v>1.73359091161239</v>
      </c>
      <c r="L106" s="61" t="n">
        <v>-0.1403413879627556</v>
      </c>
      <c r="M106" s="62" t="n">
        <v>-628.2079647875095</v>
      </c>
      <c r="N106" s="62" t="n">
        <v>-2747.721741389784</v>
      </c>
      <c r="O106" s="9" t="inlineStr">
        <is>
          <t>SPG,O,KIM,REG,FRT</t>
        </is>
      </c>
      <c r="P106" s="6" t="inlineStr"/>
    </row>
    <row r="107">
      <c r="A107" s="57">
        <f>ROW()-8</f>
        <v>99.0</v>
      </c>
      <c r="B107" s="6" t="inlineStr">
        <is>
          <t>記憶體/HBM</t>
        </is>
      </c>
      <c r="C107" s="9" t="inlineStr">
        <is>
          <t>Memory &amp; HBM</t>
        </is>
      </c>
      <c r="D107" s="9" t="inlineStr">
        <is>
          <t>資訊科技 Information Technology</t>
        </is>
      </c>
      <c r="E107" s="58" t="n">
        <v>10.90909090909091</v>
      </c>
      <c r="F107" s="58" t="n">
        <v>68.18181818181817</v>
      </c>
      <c r="G107" s="11" t="n">
        <v>0.004656178968243802</v>
      </c>
      <c r="H107" s="11" t="n">
        <v>-0.1218751410992572</v>
      </c>
      <c r="I107" s="59" t="n">
        <v>0.75</v>
      </c>
      <c r="J107" s="59" t="n">
        <v>0.2</v>
      </c>
      <c r="K107" s="60" t="n">
        <v>0.7841569502151337</v>
      </c>
      <c r="L107" s="61" t="n">
        <v>0.4887238340458825</v>
      </c>
      <c r="M107" s="62" t="n">
        <v>-11823.08107563208</v>
      </c>
      <c r="N107" s="62" t="n">
        <v>-57434.16905695888</v>
      </c>
      <c r="O107" s="9" t="inlineStr">
        <is>
          <t>MU,WDC,SNDK,STX</t>
        </is>
      </c>
      <c r="P107" s="6" t="inlineStr"/>
    </row>
    <row r="108">
      <c r="A108" s="57">
        <f>ROW()-8</f>
        <v>100.0</v>
      </c>
      <c r="B108" s="6" t="inlineStr">
        <is>
          <t>另類資產與私募信貸</t>
        </is>
      </c>
      <c r="C108" s="9" t="inlineStr">
        <is>
          <t>Alternatives &amp; Private Credit</t>
        </is>
      </c>
      <c r="D108" s="9" t="inlineStr">
        <is>
          <t>金融 Financials</t>
        </is>
      </c>
      <c r="E108" s="58" t="n">
        <v>10</v>
      </c>
      <c r="F108" s="58" t="n">
        <v>13.63636363636363</v>
      </c>
      <c r="G108" s="11" t="n">
        <v>-0.0252592699207713</v>
      </c>
      <c r="H108" s="11" t="n">
        <v>-0.06120114648570185</v>
      </c>
      <c r="I108" s="59" t="n">
        <v>0</v>
      </c>
      <c r="J108" s="59" t="n">
        <v>0.2</v>
      </c>
      <c r="K108" s="60" t="n">
        <v>1.058490654026809</v>
      </c>
      <c r="L108" s="61" t="n">
        <v>-0.02261379635749979</v>
      </c>
      <c r="M108" s="62" t="n">
        <v>-480.8988613967585</v>
      </c>
      <c r="N108" s="62" t="n">
        <v>-2871.319047095287</v>
      </c>
      <c r="O108" s="9" t="inlineStr">
        <is>
          <t>BX,KKR,APO,ARES,OWL</t>
        </is>
      </c>
      <c r="P108" s="6" t="inlineStr"/>
    </row>
    <row r="109">
      <c r="A109" s="63">
        <f>ROW()-8</f>
        <v>101.0</v>
      </c>
      <c r="B109" s="36" t="inlineStr">
        <is>
          <t>油田服務</t>
        </is>
      </c>
      <c r="C109" s="64" t="inlineStr">
        <is>
          <t>Oilfield Services</t>
        </is>
      </c>
      <c r="D109" s="64" t="inlineStr">
        <is>
          <t>能源 Energy</t>
        </is>
      </c>
      <c r="E109" s="65" t="n">
        <v>9.090909090909092</v>
      </c>
      <c r="F109" s="65" t="n">
        <v>10.90909090909091</v>
      </c>
      <c r="G109" s="40" t="n">
        <v>-0.02770368686654942</v>
      </c>
      <c r="H109" s="40" t="n">
        <v>-0.09601159387579683</v>
      </c>
      <c r="I109" s="66" t="n">
        <v>0</v>
      </c>
      <c r="J109" s="66" t="n">
        <v>0.2</v>
      </c>
      <c r="K109" s="67" t="n">
        <v>1.837349039126675</v>
      </c>
      <c r="L109" s="68" t="n">
        <v>0.2752472871782147</v>
      </c>
      <c r="M109" s="69" t="n">
        <v>-749.3743505946595</v>
      </c>
      <c r="N109" s="69" t="n">
        <v>-2294.906914949061</v>
      </c>
      <c r="O109" s="64" t="inlineStr">
        <is>
          <t>SLB,HAL,BKR,WFRD</t>
        </is>
      </c>
      <c r="P109" s="38" t="inlineStr">
        <is>
          <t>✕ 迴避</t>
        </is>
      </c>
    </row>
    <row r="110">
      <c r="A110" s="57">
        <f>ROW()-8</f>
        <v>102.0</v>
      </c>
      <c r="B110" s="6" t="inlineStr">
        <is>
          <t>鋁業</t>
        </is>
      </c>
      <c r="C110" s="9" t="inlineStr">
        <is>
          <t>Aluminum</t>
        </is>
      </c>
      <c r="D110" s="9" t="inlineStr">
        <is>
          <t>原材料 Materials</t>
        </is>
      </c>
      <c r="E110" s="58" t="n">
        <v>8.181818181818182</v>
      </c>
      <c r="F110" s="58" t="n">
        <v>70.90909090909091</v>
      </c>
      <c r="G110" s="11" t="n">
        <v>0.004249107781003329</v>
      </c>
      <c r="H110" s="11" t="n">
        <v>-0.1148280302968937</v>
      </c>
      <c r="I110" s="59" t="n">
        <v>0.6666666666666666</v>
      </c>
      <c r="J110" s="59" t="n">
        <v>0.2</v>
      </c>
      <c r="K110" s="60" t="n">
        <v>0.9985254216153256</v>
      </c>
      <c r="L110" s="61" t="n">
        <v>0.5208482371658527</v>
      </c>
      <c r="M110" s="62" t="n">
        <v>-104.774793278749</v>
      </c>
      <c r="N110" s="62" t="n">
        <v>-646.0349669375688</v>
      </c>
      <c r="O110" s="9" t="inlineStr">
        <is>
          <t>AA,CENX,KALU</t>
        </is>
      </c>
      <c r="P110" s="6" t="inlineStr"/>
    </row>
    <row r="111">
      <c r="A111" s="57">
        <f>ROW()-8</f>
        <v>103.0</v>
      </c>
      <c r="B111" s="6" t="inlineStr">
        <is>
          <t>家居耐用與休閒用品</t>
        </is>
      </c>
      <c r="C111" s="9" t="inlineStr">
        <is>
          <t>Household Durables &amp; Leisure Products</t>
        </is>
      </c>
      <c r="D111" s="9" t="inlineStr">
        <is>
          <t>非必需消費 Consumer Discretionary</t>
        </is>
      </c>
      <c r="E111" s="58" t="n">
        <v>7.272727272727272</v>
      </c>
      <c r="F111" s="58" t="n">
        <v>39.09090909090909</v>
      </c>
      <c r="G111" s="11" t="n">
        <v>-0.009654815558675728</v>
      </c>
      <c r="H111" s="11" t="n">
        <v>-0.05651061818579128</v>
      </c>
      <c r="I111" s="59" t="n">
        <v>0.25</v>
      </c>
      <c r="J111" s="59" t="n">
        <v>0.25</v>
      </c>
      <c r="K111" s="60" t="n">
        <v>1.416662438585777</v>
      </c>
      <c r="L111" s="61" t="n">
        <v>0.01883440594074449</v>
      </c>
      <c r="M111" s="62" t="n">
        <v>-270.2641880500501</v>
      </c>
      <c r="N111" s="62" t="n">
        <v>-790.96564627053</v>
      </c>
      <c r="O111" s="9" t="inlineStr">
        <is>
          <t>WHR,MHK,POOL,BC</t>
        </is>
      </c>
      <c r="P111" s="6" t="inlineStr"/>
    </row>
    <row r="112">
      <c r="A112" s="63">
        <f>ROW()-8</f>
        <v>104.0</v>
      </c>
      <c r="B112" s="36" t="inlineStr">
        <is>
          <t>數位資產金融與礦業轉HPC</t>
        </is>
      </c>
      <c r="C112" s="64" t="inlineStr">
        <is>
          <t>Digital Assets, Crypto Financials &amp; BTC Miners→HPC</t>
        </is>
      </c>
      <c r="D112" s="64" t="inlineStr">
        <is>
          <t>金融 Financials</t>
        </is>
      </c>
      <c r="E112" s="65" t="n">
        <v>6.363636363636363</v>
      </c>
      <c r="F112" s="65" t="n">
        <v>8.181818181818182</v>
      </c>
      <c r="G112" s="40" t="n">
        <v>-0.02105433971964219</v>
      </c>
      <c r="H112" s="40" t="n">
        <v>-0.08102027485263708</v>
      </c>
      <c r="I112" s="66" t="n">
        <v>0.3333333333333333</v>
      </c>
      <c r="J112" s="66" t="n">
        <v>0.2666666666666667</v>
      </c>
      <c r="K112" s="67" t="n">
        <v>1.629205148414091</v>
      </c>
      <c r="L112" s="68" t="n">
        <v>-0.208153828957185</v>
      </c>
      <c r="M112" s="69" t="n">
        <v>-3743.040723551246</v>
      </c>
      <c r="N112" s="69" t="n">
        <v>-8124.230113005249</v>
      </c>
      <c r="O112" s="64" t="inlineStr">
        <is>
          <t>COIN,HOOD,CRCL,MARA,RIOT,IREN</t>
        </is>
      </c>
      <c r="P112" s="38" t="inlineStr">
        <is>
          <t>✕ 迴避</t>
        </is>
      </c>
    </row>
    <row r="113">
      <c r="A113" s="57">
        <f>ROW()-8</f>
        <v>105.0</v>
      </c>
      <c r="B113" s="6" t="inlineStr">
        <is>
          <t>煤炭</t>
        </is>
      </c>
      <c r="C113" s="9" t="inlineStr">
        <is>
          <t>Coal</t>
        </is>
      </c>
      <c r="D113" s="9" t="inlineStr">
        <is>
          <t>能源 Energy</t>
        </is>
      </c>
      <c r="E113" s="58" t="n">
        <v>5.454545454545454</v>
      </c>
      <c r="F113" s="58" t="n">
        <v>84.54545454545455</v>
      </c>
      <c r="G113" s="11" t="n">
        <v>0.004697270121049058</v>
      </c>
      <c r="H113" s="11" t="n">
        <v>-0.1195041678585502</v>
      </c>
      <c r="I113" s="59" t="n">
        <v>0.6</v>
      </c>
      <c r="J113" s="59" t="n">
        <v>0.12</v>
      </c>
      <c r="K113" s="60" t="n">
        <v>1.156172507451684</v>
      </c>
      <c r="L113" s="61" t="n">
        <v>0.3394163956398477</v>
      </c>
      <c r="M113" s="62" t="n">
        <v>-115.2638245493528</v>
      </c>
      <c r="N113" s="62" t="n">
        <v>-528.9257144250926</v>
      </c>
      <c r="O113" s="9" t="inlineStr">
        <is>
          <t>BTU,AMR,HCC,CNR,METC</t>
        </is>
      </c>
      <c r="P113" s="6" t="inlineStr"/>
    </row>
    <row r="114">
      <c r="A114" s="57">
        <f>ROW()-8</f>
        <v>106.0</v>
      </c>
      <c r="B114" s="6" t="inlineStr">
        <is>
          <t>白銀礦</t>
        </is>
      </c>
      <c r="C114" s="9" t="inlineStr">
        <is>
          <t>Silver Miners</t>
        </is>
      </c>
      <c r="D114" s="9" t="inlineStr">
        <is>
          <t>原材料 Materials</t>
        </is>
      </c>
      <c r="E114" s="58" t="n">
        <v>4.545454545454546</v>
      </c>
      <c r="F114" s="58" t="n">
        <v>6.363636363636363</v>
      </c>
      <c r="G114" s="11" t="n">
        <v>-0.02951006569377443</v>
      </c>
      <c r="H114" s="11" t="n">
        <v>-0.1171999787633475</v>
      </c>
      <c r="I114" s="59" t="n">
        <v>0</v>
      </c>
      <c r="J114" s="59" t="n">
        <v>0.15</v>
      </c>
      <c r="K114" s="60" t="n">
        <v>1.147755632559872</v>
      </c>
      <c r="L114" s="61" t="n">
        <v>0.0811962042603166</v>
      </c>
      <c r="M114" s="62" t="n">
        <v>-837.3380623158224</v>
      </c>
      <c r="N114" s="62" t="n">
        <v>-1412.03818158714</v>
      </c>
      <c r="O114" s="9" t="inlineStr">
        <is>
          <t>PAAS,HL,AG,CDE</t>
        </is>
      </c>
      <c r="P114" s="6" t="inlineStr"/>
    </row>
    <row r="115">
      <c r="A115" s="63">
        <f>ROW()-8</f>
        <v>107.0</v>
      </c>
      <c r="B115" s="36" t="inlineStr">
        <is>
          <t>投行與資本巿場</t>
        </is>
      </c>
      <c r="C115" s="64" t="inlineStr">
        <is>
          <t>Investment Banks &amp; Capital Markets</t>
        </is>
      </c>
      <c r="D115" s="64" t="inlineStr">
        <is>
          <t>金融 Financials</t>
        </is>
      </c>
      <c r="E115" s="65" t="n">
        <v>3.636363636363636</v>
      </c>
      <c r="F115" s="65" t="n">
        <v>3.636363636363636</v>
      </c>
      <c r="G115" s="40" t="n">
        <v>-0.03482447543323637</v>
      </c>
      <c r="H115" s="40" t="n">
        <v>-0.1051111949893337</v>
      </c>
      <c r="I115" s="66" t="n">
        <v>0</v>
      </c>
      <c r="J115" s="66" t="n">
        <v>0.12</v>
      </c>
      <c r="K115" s="67" t="n">
        <v>1.912319612114992</v>
      </c>
      <c r="L115" s="68" t="n">
        <v>-0.2464401204987494</v>
      </c>
      <c r="M115" s="69" t="n">
        <v>-3571.67453402825</v>
      </c>
      <c r="N115" s="69" t="n">
        <v>-5021.353866719292</v>
      </c>
      <c r="O115" s="64" t="inlineStr">
        <is>
          <t>GS,MS,EVR,LAZ,JEF</t>
        </is>
      </c>
      <c r="P115" s="38" t="inlineStr">
        <is>
          <t>✕ 迴避</t>
        </is>
      </c>
    </row>
    <row r="116">
      <c r="A116" s="63">
        <f>ROW()-8</f>
        <v>108.0</v>
      </c>
      <c r="B116" s="36" t="inlineStr">
        <is>
          <t>小型模組化核能SMR</t>
        </is>
      </c>
      <c r="C116" s="64" t="inlineStr">
        <is>
          <t>Small Modular Reactors</t>
        </is>
      </c>
      <c r="D116" s="64" t="inlineStr">
        <is>
          <t>公用事業 Utilities</t>
        </is>
      </c>
      <c r="E116" s="65" t="n">
        <v>2.727272727272727</v>
      </c>
      <c r="F116" s="65" t="n">
        <v>45.45454545454545</v>
      </c>
      <c r="G116" s="40" t="n">
        <v>-0.009365805132885568</v>
      </c>
      <c r="H116" s="40" t="n">
        <v>-0.1773847684564628</v>
      </c>
      <c r="I116" s="66" t="n">
        <v>0.25</v>
      </c>
      <c r="J116" s="66" t="n">
        <v>0.1</v>
      </c>
      <c r="K116" s="67" t="n">
        <v>1.163572964998719</v>
      </c>
      <c r="L116" s="68" t="n">
        <v>0.6378055101661795</v>
      </c>
      <c r="M116" s="69" t="n">
        <v>-59.16702571191225</v>
      </c>
      <c r="N116" s="69" t="n">
        <v>-2060.801371546432</v>
      </c>
      <c r="O116" s="64" t="inlineStr">
        <is>
          <t>OKLO,SMR,NNE,ASPI</t>
        </is>
      </c>
      <c r="P116" s="38" t="inlineStr">
        <is>
          <t>✕ 迴避：5 日 −17.74%</t>
        </is>
      </c>
    </row>
    <row r="117">
      <c r="A117" s="63">
        <f>ROW()-8</f>
        <v>109.0</v>
      </c>
      <c r="B117" s="36" t="inlineStr">
        <is>
          <t>稀土與關鍵礦產</t>
        </is>
      </c>
      <c r="C117" s="64" t="inlineStr">
        <is>
          <t>Rare Earths &amp; Critical Minerals</t>
        </is>
      </c>
      <c r="D117" s="64" t="inlineStr">
        <is>
          <t>原材料 Materials</t>
        </is>
      </c>
      <c r="E117" s="65" t="n">
        <v>1.818181818181818</v>
      </c>
      <c r="F117" s="65" t="n">
        <v>40</v>
      </c>
      <c r="G117" s="40" t="n">
        <v>-0.02002807458410231</v>
      </c>
      <c r="H117" s="40" t="n">
        <v>-0.139617142775145</v>
      </c>
      <c r="I117" s="66" t="n">
        <v>0.1666666666666667</v>
      </c>
      <c r="J117" s="66" t="n">
        <v>0.1666666666666667</v>
      </c>
      <c r="K117" s="67" t="n">
        <v>0.9888084175617778</v>
      </c>
      <c r="L117" s="68" t="n">
        <v>0.4110380749659336</v>
      </c>
      <c r="M117" s="69" t="n">
        <v>-99.95447447369554</v>
      </c>
      <c r="N117" s="69" t="n">
        <v>-1596.107396200005</v>
      </c>
      <c r="O117" s="64" t="inlineStr">
        <is>
          <t>MP,USAR,UUUU,TMC,ALOY,NB</t>
        </is>
      </c>
      <c r="P117" s="38" t="inlineStr">
        <is>
          <t>✕ 迴避</t>
        </is>
      </c>
    </row>
    <row r="118">
      <c r="A118" s="57">
        <f>ROW()-8</f>
        <v>110.0</v>
      </c>
      <c r="B118" s="6" t="inlineStr">
        <is>
          <t>臨床期中小型生技</t>
        </is>
      </c>
      <c r="C118" s="9" t="inlineStr">
        <is>
          <t>Clinical-stage SMID Biotech</t>
        </is>
      </c>
      <c r="D118" s="9" t="inlineStr">
        <is>
          <t>醫療保健 Health Care</t>
        </is>
      </c>
      <c r="E118" s="58" t="n">
        <v>0.9090909090909091</v>
      </c>
      <c r="F118" s="58" t="n">
        <v>20</v>
      </c>
      <c r="G118" s="11" t="n">
        <v>-0.02812860504303963</v>
      </c>
      <c r="H118" s="11" t="n">
        <v>-0.1024105665525313</v>
      </c>
      <c r="I118" s="59" t="n">
        <v>0.2857142857142857</v>
      </c>
      <c r="J118" s="59" t="n">
        <v>0.2571428571428571</v>
      </c>
      <c r="K118" s="60" t="n">
        <v>2.482372852292603</v>
      </c>
      <c r="L118" s="61" t="n">
        <v>-0.2354133855050133</v>
      </c>
      <c r="M118" s="62" t="n">
        <v>-223.0625239914133</v>
      </c>
      <c r="N118" s="62" t="n">
        <v>-947.1783697610277</v>
      </c>
      <c r="O118" s="9" t="inlineStr">
        <is>
          <t>DNLI,ALEC,SANA,VKTX,MDGL,IONS,DTIL</t>
        </is>
      </c>
      <c r="P118" s="6" t="inlineStr"/>
    </row>
    <row r="119">
      <c r="A119" s="63">
        <f>ROW()-8</f>
        <v>111.0</v>
      </c>
      <c r="B119" s="36" t="inlineStr">
        <is>
          <t>鈾與核燃料</t>
        </is>
      </c>
      <c r="C119" s="64" t="inlineStr">
        <is>
          <t>Uranium &amp; Nuclear Fuel</t>
        </is>
      </c>
      <c r="D119" s="64" t="inlineStr">
        <is>
          <t>能源 Energy</t>
        </is>
      </c>
      <c r="E119" s="65" t="n">
        <v>0</v>
      </c>
      <c r="F119" s="65" t="n">
        <v>41.81818181818181</v>
      </c>
      <c r="G119" s="40" t="n">
        <v>-0.01201040864802885</v>
      </c>
      <c r="H119" s="40" t="n">
        <v>-0.1631842558044488</v>
      </c>
      <c r="I119" s="66" t="n">
        <v>0.2</v>
      </c>
      <c r="J119" s="66" t="n">
        <v>0.04</v>
      </c>
      <c r="K119" s="67" t="n">
        <v>1.200591854288557</v>
      </c>
      <c r="L119" s="68" t="n">
        <v>0.4068140107014086</v>
      </c>
      <c r="M119" s="69" t="n">
        <v>-143.2374856556969</v>
      </c>
      <c r="N119" s="69" t="n">
        <v>-1563.688837455494</v>
      </c>
      <c r="O119" s="64" t="inlineStr">
        <is>
          <t>CCJ,UEC,LEU,UUUU,DNN</t>
        </is>
      </c>
      <c r="P119" s="38" t="inlineStr">
        <is>
          <t>✕ 迴避：5 日廣度 0.04</t>
        </is>
      </c>
    </row>
    <row r="121">
      <c r="B121" s="7" t="inlineStr">
        <is>
          <t>9/16 全市中位漲跌</t>
        </is>
      </c>
      <c r="G121" s="12" t="n">
        <v>-0.004868052726254568</v>
      </c>
      <c r="O121" s="2" t="inlineStr">
        <is>
          <t>市場面板檔數 1,658（平衡面板：僅計每個計分日及其前一日均有報價的股票）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4F9D"/>
    <outlinePr summaryBelow="1" summaryRight="1"/>
    <pageSetUpPr/>
  </sheetPr>
  <dimension ref="A1:G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3" customWidth="1" min="4" max="4"/>
    <col width="52" customWidth="1" min="5" max="5"/>
    <col width="34" customWidth="1" min="6" max="6"/>
    <col width="20" customWidth="1" min="7" max="7"/>
  </cols>
  <sheetData>
    <row r="1" ht="22" customHeight="1">
      <c r="A1" s="1" t="inlineStr">
        <is>
          <t>未來 3 個交易日催化劑日程</t>
        </is>
      </c>
    </row>
    <row r="2">
      <c r="A2" s="2" t="inlineStr">
        <is>
          <t>基準 2026-09-16 美東收市　·　時間為美東時間</t>
        </is>
      </c>
    </row>
    <row r="8" ht="30" customHeight="1">
      <c r="A8" s="17" t="inlineStr">
        <is>
          <t>日期</t>
        </is>
      </c>
      <c r="B8" s="17" t="inlineStr">
        <is>
          <t>星期</t>
        </is>
      </c>
      <c r="C8" s="17" t="inlineStr">
        <is>
          <t>事件</t>
        </is>
      </c>
      <c r="D8" s="17" t="inlineStr">
        <is>
          <t>時間 (ET)</t>
        </is>
      </c>
      <c r="E8" s="17" t="inlineStr">
        <is>
          <t>為何重要</t>
        </is>
      </c>
      <c r="F8" s="17" t="inlineStr">
        <is>
          <t>衝擊哪些清單項目</t>
        </is>
      </c>
      <c r="G8" s="17" t="inlineStr">
        <is>
          <t>方向偏好</t>
        </is>
      </c>
    </row>
    <row r="9" ht="44" customHeight="1">
      <c r="A9" s="7" t="inlineStr">
        <is>
          <t>2026-09-17</t>
        </is>
      </c>
      <c r="B9" s="81" t="inlineStr">
        <is>
          <t>四</t>
        </is>
      </c>
      <c r="C9" s="5" t="inlineStr">
        <is>
          <t>8 月新屋開工 + 營建許可</t>
        </is>
      </c>
      <c r="D9" s="81" t="inlineStr">
        <is>
          <t>08:30</t>
        </is>
      </c>
      <c r="E9" s="6" t="inlineStr">
        <is>
          <t>10Y 在 5% ＝ 30 年按揭跟升。這是本週唯一直接針對利率敏感板塊的數據</t>
        </is>
      </c>
      <c r="F9" s="6" t="inlineStr">
        <is>
          <t>迴避：DHI、LEN（已在 2.0–2.5x 量能下跌）</t>
        </is>
      </c>
      <c r="G9" s="6" t="inlineStr">
        <is>
          <t>利空建商</t>
        </is>
      </c>
    </row>
    <row r="10" ht="44" customHeight="1">
      <c r="A10" s="7" t="inlineStr">
        <is>
          <t>2026-09-17</t>
        </is>
      </c>
      <c r="B10" s="81" t="inlineStr">
        <is>
          <t>四</t>
        </is>
      </c>
      <c r="C10" s="5" t="inlineStr">
        <is>
          <t>初領失業救濟金</t>
        </is>
      </c>
      <c r="D10" s="81" t="inlineStr">
        <is>
          <t>08:30</t>
        </is>
      </c>
      <c r="E10" s="6" t="inlineStr">
        <is>
          <t>Warsh 稱經濟「正在走強」並以就業數據佐證。強數據 ＝ 再加息機率上升 ＝ 孳息再上</t>
        </is>
      </c>
      <c r="F10" s="6" t="inlineStr">
        <is>
          <t>受惠：TRV、RNR、AIG、CB（息差）／迴避：OKLO、CCJ、MP</t>
        </is>
      </c>
      <c r="G10" s="6" t="inlineStr">
        <is>
          <t>強數據利好保險、利空長久期</t>
        </is>
      </c>
    </row>
    <row r="11" ht="44" customHeight="1">
      <c r="A11" s="7" t="inlineStr">
        <is>
          <t>2026-09-17</t>
        </is>
      </c>
      <c r="B11" s="81" t="inlineStr">
        <is>
          <t>四</t>
        </is>
      </c>
      <c r="C11" s="5" t="inlineStr">
        <is>
          <t>FOMC 靜默期結束，官員開始發言</t>
        </is>
      </c>
      <c r="D11" s="81" t="inlineStr">
        <is>
          <t>全日</t>
        </is>
      </c>
      <c r="E11" s="6" t="inlineStr">
        <is>
          <t>點陣圖顯示 16/18 預期年內再加一次——官員措辭將決定市場如何定價「下一次」</t>
        </is>
      </c>
      <c r="F11" s="6" t="inlineStr">
        <is>
          <t>全表；尤其第④組保險與所有迴避項目</t>
        </is>
      </c>
      <c r="G11" s="6" t="inlineStr">
        <is>
          <t>偏鷹 → 強化本清單配置</t>
        </is>
      </c>
    </row>
    <row r="12" ht="44" customHeight="1">
      <c r="A12" s="82" t="inlineStr">
        <is>
          <t>2026-09-17</t>
        </is>
      </c>
      <c r="B12" s="83" t="inlineStr">
        <is>
          <t>四</t>
        </is>
      </c>
      <c r="C12" s="71" t="inlineStr">
        <is>
          <t>沙特 East–West 輸油管修復進展／衛星影像</t>
        </is>
      </c>
      <c r="D12" s="83" t="inlineStr">
        <is>
          <t>不定</t>
        </is>
      </c>
      <c r="E12" s="84" t="inlineStr">
        <is>
          <t>★ 本清單最大單一變數。能源部長稱「數日」vs 業界估計 5–6 週，兩者矛盾</t>
        </is>
      </c>
      <c r="F12" s="84" t="inlineStr">
        <is>
          <t>全表：決定狀態 A 或狀態 B</t>
        </is>
      </c>
      <c r="G12" s="84" t="inlineStr">
        <is>
          <t>見「情境矩陣」頁</t>
        </is>
      </c>
    </row>
    <row r="13" ht="44" customHeight="1">
      <c r="A13" s="7" t="inlineStr">
        <is>
          <t>2026-09-18</t>
        </is>
      </c>
      <c r="B13" s="81" t="inlineStr">
        <is>
          <t>五</t>
        </is>
      </c>
      <c r="C13" s="5" t="inlineStr">
        <is>
          <t>日本央行議息</t>
        </is>
      </c>
      <c r="D13" s="81" t="inlineStr">
        <is>
          <t>日本時間上午，美股盤前</t>
        </is>
      </c>
      <c r="E13" s="6" t="inlineStr">
        <is>
          <t>美 10Y 在 5% 之際若 BOJ 轉鷹 → 日圓套息平倉 → 全球久期衝擊</t>
        </is>
      </c>
      <c r="F13" s="6" t="inlineStr">
        <is>
          <t>第③組 GEV／ETN、第⑤組 AI 半導體（高 beta 最先被拋）</t>
        </is>
      </c>
      <c r="G13" s="6" t="inlineStr">
        <is>
          <t>風險事件，非方向事件</t>
        </is>
      </c>
    </row>
    <row r="14" ht="44" customHeight="1">
      <c r="A14" s="7" t="inlineStr">
        <is>
          <t>2026-09-18</t>
        </is>
      </c>
      <c r="B14" s="81" t="inlineStr">
        <is>
          <t>五</t>
        </is>
      </c>
      <c r="C14" s="5" t="inlineStr">
        <is>
          <t>四巫日（季度期權期指同時到期）+ 標普季度再平衡</t>
        </is>
      </c>
      <c r="D14" s="81" t="inlineStr">
        <is>
          <t>收市</t>
        </is>
      </c>
      <c r="E14" s="6" t="inlineStr">
        <is>
          <t>9 月第三個週五。巨額 gamma 到期 → 當日走勢多由倉位而非基本面決定</t>
        </is>
      </c>
      <c r="F14" s="6" t="inlineStr">
        <is>
          <t>第⑤組 AI 半導體（單日彈 5–9% 最易被打回）；低 beta 高廣度項目相對安全</t>
        </is>
      </c>
      <c r="G14" s="6" t="inlineStr">
        <is>
          <t>波動放大；宜避免追高</t>
        </is>
      </c>
    </row>
    <row r="15" ht="44" customHeight="1">
      <c r="A15" s="7" t="inlineStr">
        <is>
          <t>2026-09-18</t>
        </is>
      </c>
      <c r="B15" s="81" t="inlineStr">
        <is>
          <t>五</t>
        </is>
      </c>
      <c r="C15" s="5" t="inlineStr">
        <is>
          <t>8 月工業生產、經濟諮商局領先指標</t>
        </is>
      </c>
      <c r="D15" s="81" t="inlineStr">
        <is>
          <t>09:15 / 10:00</t>
        </is>
      </c>
      <c r="E15" s="6" t="inlineStr">
        <is>
          <t>若領先指標走弱而 Fed 仍鷹 → 滯脹定價，利好防守性醫療</t>
        </is>
      </c>
      <c r="F15" s="6" t="inlineStr">
        <is>
          <t>第②組 THC、UHS、HCA、EHC</t>
        </is>
      </c>
      <c r="G15" s="6" t="inlineStr">
        <is>
          <t>弱數據利好醫療服務</t>
        </is>
      </c>
    </row>
    <row r="16" ht="44" customHeight="1">
      <c r="A16" s="7" t="inlineStr">
        <is>
          <t>2026-09-21</t>
        </is>
      </c>
      <c r="B16" s="81" t="inlineStr">
        <is>
          <t>一</t>
        </is>
      </c>
      <c r="C16" s="5" t="inlineStr">
        <is>
          <t>到期後倉位重置</t>
        </is>
      </c>
      <c r="D16" s="81" t="inlineStr">
        <is>
          <t>開市</t>
        </is>
      </c>
      <c r="E16" s="6" t="inlineStr">
        <is>
          <t>四巫日後的第一個交易日，被 gamma 壓抑的走勢通常於此釋放</t>
        </is>
      </c>
      <c r="F16" s="6" t="inlineStr">
        <is>
          <t>全表</t>
        </is>
      </c>
      <c r="G16" s="6" t="inlineStr">
        <is>
          <t>趨勢確認日</t>
        </is>
      </c>
    </row>
    <row r="17" ht="44" customHeight="1">
      <c r="A17" s="7" t="inlineStr">
        <is>
          <t>2026-09-21</t>
        </is>
      </c>
      <c r="B17" s="81" t="inlineStr">
        <is>
          <t>一</t>
        </is>
      </c>
      <c r="C17" s="5" t="inlineStr">
        <is>
          <t>Hormuz 航運事件／戰爭險費率更新</t>
        </is>
      </c>
      <c r="D17" s="81" t="inlineStr">
        <is>
          <t>不定</t>
        </is>
      </c>
      <c r="E17" s="6" t="inlineStr">
        <is>
          <t>自上週六起已有至少兩艘船隻在 Hormuz 遇襲。費率已由船體價值 0.25% 升至 7.5–10%</t>
        </is>
      </c>
      <c r="F17" s="6" t="inlineStr">
        <is>
          <t>第④組 RNR（戰爭再保）／第①組煉油</t>
        </is>
      </c>
      <c r="G17" s="6" t="inlineStr">
        <is>
          <t>再有襲擊 → 狀態 B</t>
        </is>
      </c>
    </row>
    <row r="18" ht="44" customHeight="1">
      <c r="A18" s="7" t="inlineStr">
        <is>
          <t>2026-09-30</t>
        </is>
      </c>
      <c r="B18" s="81" t="inlineStr">
        <is>
          <t>（參考）</t>
        </is>
      </c>
      <c r="C18" s="5" t="inlineStr">
        <is>
          <t>俄羅斯柴油出口禁令到期日</t>
        </is>
      </c>
      <c r="D18" s="81" t="inlineStr">
        <is>
          <t>—</t>
        </is>
      </c>
      <c r="E18" s="6" t="inlineStr">
        <is>
          <t>禁令已延長至 9/30。俄佔全球柴油約 10%，8 月煉油量 380 萬桶/日為二十年最低</t>
        </is>
      </c>
      <c r="F18" s="6" t="inlineStr">
        <is>
          <t>第①組全部：若不續期，柴油裂解可能回落</t>
        </is>
      </c>
      <c r="G18" s="6" t="inlineStr">
        <is>
          <t>本清單 3 日窗口外，但屬第①組主要失效條件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860B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1" customWidth="1" min="4" max="4"/>
    <col width="11" customWidth="1" min="5" max="5"/>
    <col width="13" customWidth="1" min="6" max="6"/>
    <col width="46" customWidth="1" min="7" max="7"/>
  </cols>
  <sheetData>
    <row r="1" ht="22" customHeight="1">
      <c r="A1" s="1" t="inlineStr">
        <is>
          <t>兩態情境矩陣　Scenario Matrix</t>
        </is>
      </c>
    </row>
    <row r="2">
      <c r="A2" s="2" t="inlineStr">
        <is>
          <t>狀態機率為可調整輸入（黃底藍字）；期望值 ＝ P(A)×A 報酬 + P(B)×B 報酬，報酬分 −2 至 +2</t>
        </is>
      </c>
    </row>
    <row r="4" ht="32" customHeight="1">
      <c r="B4" s="3" t="inlineStr">
        <is>
          <t>狀態 A：輸油管如期重啟、油續回落</t>
        </is>
      </c>
      <c r="C4" s="6" t="inlineStr">
        <is>
          <t>美國能源部長 Chris Wright 稱沙特 East–West 管「數日內」恢復；油價自 $105.83 / $102.43 進一步回落，通脹預期降溫，長端孳息喘定</t>
        </is>
      </c>
      <c r="D4" s="14" t="inlineStr">
        <is>
          <t>P(A)</t>
        </is>
      </c>
      <c r="E4" s="15" t="n">
        <v>0.55</v>
      </c>
    </row>
    <row r="5" ht="32" customHeight="1">
      <c r="B5" s="3" t="inlineStr">
        <is>
          <t>狀態 B：修復需 5–6 週或再有襲擊、油再爆</t>
        </is>
      </c>
      <c r="C5" s="6" t="inlineStr">
        <is>
          <t>業界估計修復需 5–6 週，與官方說法矛盾；或 Hormuz 再有船隻遇襲（上週六以來已至少兩艘）。油再破頂，孳息續升</t>
        </is>
      </c>
      <c r="D5" s="14" t="inlineStr">
        <is>
          <t>P(B)</t>
        </is>
      </c>
      <c r="E5" s="16">
        <f>1-E4</f>
        <v>0.44999999999999996</v>
      </c>
    </row>
    <row r="7">
      <c r="A7" s="9" t="inlineStr">
        <is>
          <t>機率為分析員主觀設定：能源部長的公開表態具體且可證偽，但業界修復估計與之矛盾，故未給予壓倒性權重。改動 E4 即可重算下表。</t>
        </is>
      </c>
    </row>
    <row r="9" ht="30" customHeight="1">
      <c r="A9" s="17" t="inlineStr">
        <is>
          <t>組別</t>
        </is>
      </c>
      <c r="B9" s="17" t="inlineStr">
        <is>
          <t>主題</t>
        </is>
      </c>
      <c r="C9" s="17" t="inlineStr">
        <is>
          <t>在狀態 A 下的機制</t>
        </is>
      </c>
      <c r="D9" s="17" t="inlineStr">
        <is>
          <t>A 報酬
−2~+2</t>
        </is>
      </c>
      <c r="E9" s="17" t="inlineStr">
        <is>
          <t>B 報酬
−2~+2</t>
        </is>
      </c>
      <c r="F9" s="17" t="inlineStr">
        <is>
          <t>期望值</t>
        </is>
      </c>
      <c r="G9" s="17" t="inlineStr">
        <is>
          <t>在狀態 B 下的機制</t>
        </is>
      </c>
    </row>
    <row r="10" ht="46" customHeight="1">
      <c r="A10" s="85" t="inlineStr">
        <is>
          <t>①</t>
        </is>
      </c>
      <c r="B10" s="48" t="inlineStr">
        <is>
          <t>煉油與成品油</t>
        </is>
      </c>
      <c r="C10" s="56" t="inlineStr">
        <is>
          <t>原料成本下降而中東逾 20% 煉油產能實體損毀未復 → 裂解價差維持 → 毛利擴張</t>
        </is>
      </c>
      <c r="D10" s="86" t="n">
        <v>2</v>
      </c>
      <c r="E10" s="86" t="n">
        <v>2</v>
      </c>
      <c r="F10" s="87">
        <f>$E$4*D10+(1-$E$4)*E10</f>
        <v>2.0</v>
      </c>
      <c r="G10" s="56" t="inlineStr">
        <is>
          <t>成品油價領先原油上漲，裂解再擴；俄羅斯柴油禁令疊加 → 毛利同樣擴張</t>
        </is>
      </c>
    </row>
    <row r="11" ht="46" customHeight="1">
      <c r="A11" s="85" t="inlineStr">
        <is>
          <t>②</t>
        </is>
      </c>
      <c r="B11" s="48" t="inlineStr">
        <is>
          <t>醫療服務／工具</t>
        </is>
      </c>
      <c r="C11" s="56" t="inlineStr">
        <is>
          <t>無油品投入、本土收入；資金自能源與銀行流入的主要去處</t>
        </is>
      </c>
      <c r="D11" s="86" t="n">
        <v>2</v>
      </c>
      <c r="E11" s="86" t="n">
        <v>2</v>
      </c>
      <c r="F11" s="87">
        <f>$E$4*D11+(1-$E$4)*E11</f>
        <v>2.0</v>
      </c>
      <c r="G11" s="56" t="inlineStr">
        <is>
          <t>唯一完全不受油價傳導的板塊；滯脹環境下的防守核心</t>
        </is>
      </c>
    </row>
    <row r="12" ht="46" customHeight="1">
      <c r="A12" s="85" t="inlineStr">
        <is>
          <t>③</t>
        </is>
      </c>
      <c r="B12" s="48" t="inlineStr">
        <is>
          <t>電氣設備與電網</t>
        </is>
      </c>
      <c r="C12" s="56" t="inlineStr">
        <is>
          <t>AI 資本開支不受利率影響（Warsh 親自點名為通脹來源），訂單與定價權俱在</t>
        </is>
      </c>
      <c r="D12" s="86" t="n">
        <v>2</v>
      </c>
      <c r="E12" s="86" t="n">
        <v>0</v>
      </c>
      <c r="F12" s="87">
        <f>$E$4*D12+(1-$E$4)*E12</f>
        <v>1.1</v>
      </c>
      <c r="G12" s="56" t="inlineStr">
        <is>
          <t>高 beta 工業股，全面去風險時同跌；但訂單不受油價直接影響</t>
        </is>
      </c>
    </row>
    <row r="13" ht="46" customHeight="1">
      <c r="A13" s="85" t="inlineStr">
        <is>
          <t>④</t>
        </is>
      </c>
      <c r="B13" s="48" t="inlineStr">
        <is>
          <t>產險與再保</t>
        </is>
      </c>
      <c r="C13" s="56" t="inlineStr">
        <is>
          <t>浮存金以 5% 再投資，無存款 beta、無持債虧損</t>
        </is>
      </c>
      <c r="D13" s="86" t="n">
        <v>1</v>
      </c>
      <c r="E13" s="86" t="n">
        <v>2</v>
      </c>
      <c r="F13" s="87">
        <f>$E$4*D13+(1-$E$4)*E13</f>
        <v>1.45</v>
      </c>
      <c r="G13" s="56" t="inlineStr">
        <is>
          <t>戰爭險保費由船體價值 0.25% 升至 7.5–10%，硬市場加碼；息差收益不變</t>
        </is>
      </c>
    </row>
    <row r="14" ht="46" customHeight="1">
      <c r="A14" s="85" t="inlineStr">
        <is>
          <t>⑤</t>
        </is>
      </c>
      <c r="B14" s="48" t="inlineStr">
        <is>
          <t>AI 半導體（戰術）</t>
        </is>
      </c>
      <c r="C14" s="56" t="inlineStr">
        <is>
          <t>利率免疫敘事延續，但 5 日仍為負 → 屬反彈非趨勢</t>
        </is>
      </c>
      <c r="D14" s="86" t="n">
        <v>1</v>
      </c>
      <c r="E14" s="86" t="n">
        <v>0</v>
      </c>
      <c r="F14" s="87">
        <f>$E$4*D14+(1-$E$4)*E14</f>
        <v>0.55</v>
      </c>
      <c r="G14" s="56" t="inlineStr">
        <is>
          <t>四巫日 + BOJ 疊加時最先被拋；單日 5–9% 漲幅最易回吐</t>
        </is>
      </c>
    </row>
    <row r="15" ht="46" customHeight="1">
      <c r="A15" s="85" t="inlineStr">
        <is>
          <t>⑥</t>
        </is>
      </c>
      <c r="B15" s="48" t="inlineStr">
        <is>
          <t>鋼鐵（觀察）</t>
        </is>
      </c>
      <c r="C15" s="56" t="inlineStr">
        <is>
          <t>本土、關稅保護，對利率不如建商敏感；但 5 日僅 +0.10%，方向未確立</t>
        </is>
      </c>
      <c r="D15" s="86" t="n">
        <v>0</v>
      </c>
      <c r="E15" s="86" t="n">
        <v>1</v>
      </c>
      <c r="F15" s="87">
        <f>$E$4*D15+(1-$E$4)*E15</f>
        <v>0.44999999999999996</v>
      </c>
      <c r="G15" s="56" t="inlineStr">
        <is>
          <t>戰爭與基建需求支撐；能源成本上升則侵蝕電爐煉鋼毛利</t>
        </is>
      </c>
    </row>
    <row r="16" ht="46" customHeight="1">
      <c r="A16" s="37" t="inlineStr">
        <is>
          <t>✕</t>
        </is>
      </c>
      <c r="B16" s="36" t="inlineStr">
        <is>
          <t>頁岩 E&amp;P／油服</t>
        </is>
      </c>
      <c r="C16" s="38" t="inlineStr">
        <is>
          <t>供應恢復直擊多頭核心，擁擠倉位續解</t>
        </is>
      </c>
      <c r="D16" s="88" t="n">
        <v>-2</v>
      </c>
      <c r="E16" s="88" t="n">
        <v>2</v>
      </c>
      <c r="F16" s="89">
        <f>$E$4*D16+(1-$E$4)*E16</f>
        <v>-0.20000000000000018</v>
      </c>
      <c r="G16" s="38" t="inlineStr">
        <is>
          <t>油再爆則大幅反彈——這是本清單最大的反向風險</t>
        </is>
      </c>
    </row>
    <row r="17" ht="46" customHeight="1">
      <c r="A17" s="37" t="inlineStr">
        <is>
          <t>✕</t>
        </is>
      </c>
      <c r="B17" s="36" t="inlineStr">
        <is>
          <t>區域銀行／投行</t>
        </is>
      </c>
      <c r="C17" s="38" t="inlineStr">
        <is>
          <t>長端孳息喘定可帶來技術反彈，但存款成本與 CRE 問題不變</t>
        </is>
      </c>
      <c r="D17" s="88" t="n">
        <v>-1</v>
      </c>
      <c r="E17" s="88" t="n">
        <v>-2</v>
      </c>
      <c r="F17" s="89">
        <f>$E$4*D17+(1-$E$4)*E17</f>
        <v>-1.45</v>
      </c>
      <c r="G17" s="38" t="inlineStr">
        <is>
          <t>孳息再升 → 持債虧損擴大、deal flow 續凍</t>
        </is>
      </c>
    </row>
    <row r="18" ht="46" customHeight="1">
      <c r="A18" s="37" t="inlineStr">
        <is>
          <t>✕</t>
        </is>
      </c>
      <c r="B18" s="36" t="inlineStr">
        <is>
          <t>鈾／SMR／稀土</t>
        </is>
      </c>
      <c r="C18" s="38" t="inlineStr">
        <is>
          <t>孳息喘定可帶來超跌反彈，但無現金流的估值問題不變</t>
        </is>
      </c>
      <c r="D18" s="88" t="n">
        <v>-1</v>
      </c>
      <c r="E18" s="88" t="n">
        <v>-2</v>
      </c>
      <c r="F18" s="89">
        <f>$E$4*D18+(1-$E$4)*E18</f>
        <v>-1.45</v>
      </c>
      <c r="G18" s="38" t="inlineStr">
        <is>
          <t>實質利率再升 → 長久期無盈利資產續殺</t>
        </is>
      </c>
    </row>
    <row r="19" ht="46" customHeight="1">
      <c r="A19" s="37" t="inlineStr">
        <is>
          <t>✕</t>
        </is>
      </c>
      <c r="B19" s="36" t="inlineStr">
        <is>
          <t>住宅建商／債券代理</t>
        </is>
      </c>
      <c r="C19" s="38" t="inlineStr">
        <is>
          <t>孳息回落是唯一救贖，但 9/17 新屋開工先行</t>
        </is>
      </c>
      <c r="D19" s="88" t="n">
        <v>-1</v>
      </c>
      <c r="E19" s="88" t="n">
        <v>-2</v>
      </c>
      <c r="F19" s="89">
        <f>$E$4*D19+(1-$E$4)*E19</f>
        <v>-1.45</v>
      </c>
      <c r="G19" s="38" t="inlineStr">
        <is>
          <t>按揭利率續升 → 需求與估值雙殺</t>
        </is>
      </c>
    </row>
    <row r="20">
      <c r="B20" s="7" t="inlineStr">
        <is>
          <t>受惠組期望值平均</t>
        </is>
      </c>
      <c r="F20" s="90">
        <f>AVERAGE(F10:F15)</f>
        <v>1.2583333333333333</v>
      </c>
    </row>
    <row r="21">
      <c r="B21" s="7" t="inlineStr">
        <is>
          <t>迴避組期望值平均</t>
        </is>
      </c>
      <c r="F21" s="90">
        <f>AVERAGE(F16:F19)</f>
        <v>-1.1375</v>
      </c>
    </row>
    <row r="23" ht="42" customHeight="1">
      <c r="A23" s="9" t="inlineStr">
        <is>
          <t>讀法：只有第①組與第②組在兩態下都是 +2 ——這就是「不賭油價方向」的具體意思。第③、⑤組在狀態 B 下歸零，故列為次級與戰術倉。頁岩 E&amp;P 的 A/B 報酬為 −2/+2，是本清單最大的單一反向風險：若輸油管修復證實需 5–6 週，該組會強勢反彈。</t>
        </is>
      </c>
    </row>
  </sheetData>
  <mergeCells count="4">
    <mergeCell ref="A2:G2"/>
    <mergeCell ref="A1:G1"/>
    <mergeCell ref="A7:G7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66" customWidth="1" min="3" max="3"/>
    <col width="34" customWidth="1" min="4" max="4"/>
  </cols>
  <sheetData>
    <row r="1" ht="22" customHeight="1">
      <c r="A1" s="1" t="inlineStr">
        <is>
          <t>數據來源、方法與已知限制</t>
        </is>
      </c>
    </row>
    <row r="2">
      <c r="A2" s="2" t="inlineStr">
        <is>
          <t>R1.00　·　生成 2026-09-17 12:47 HKT　·　模型 claude-opus-5（high effort）</t>
        </is>
      </c>
    </row>
    <row r="4">
      <c r="A4" s="3" t="inlineStr">
        <is>
          <t>一、價格與成交量</t>
        </is>
      </c>
    </row>
    <row r="5" ht="30" customHeight="1">
      <c r="A5" s="4" t="inlineStr">
        <is>
          <t>項目</t>
        </is>
      </c>
      <c r="B5" s="4" t="inlineStr">
        <is>
          <t>內容</t>
        </is>
      </c>
      <c r="C5" s="4" t="inlineStr">
        <is>
          <t>說明</t>
        </is>
      </c>
      <c r="D5" s="4" t="inlineStr">
        <is>
          <t>欄位</t>
        </is>
      </c>
    </row>
    <row r="6" ht="44" customHeight="1">
      <c r="A6" s="5" t="inlineStr">
        <is>
          <t>來源</t>
        </is>
      </c>
      <c r="B6" s="6" t="inlineStr">
        <is>
          <t>Yahoo Finance 每日 OHLCV，經 GitHub Actions runner 以 yfinance 抓取後提交回倉庫</t>
        </is>
      </c>
      <c r="C6" s="6" t="inlineStr">
        <is>
          <t>本環境的出口代理封鎖所有財經網站，直接抓取不可行；故於 runner 上執行後將資料提交回 repo</t>
        </is>
      </c>
      <c r="D6" s="9" t="inlineStr">
        <is>
          <t>data/yahoo/broad_2026-09-18.csv.gz</t>
        </is>
      </c>
    </row>
    <row r="7" ht="44" customHeight="1">
      <c r="A7" s="5" t="inlineStr">
        <is>
          <t>基準日</t>
        </is>
      </c>
      <c r="B7" s="6" t="inlineStr">
        <is>
          <t>2026-09-16（美東週三，FOMC 決議日）收市</t>
        </is>
      </c>
      <c r="C7" s="6" t="inlineStr">
        <is>
          <t>前收＝2026-09-15；5 日前收＝2026-09-09（5 個交易日）</t>
        </is>
      </c>
      <c r="D7" s="9" t="inlineStr">
        <is>
          <t>清單頁 E/F/G 欄</t>
        </is>
      </c>
    </row>
    <row r="8" ht="44" customHeight="1">
      <c r="A8" s="5" t="inlineStr">
        <is>
          <t>成交量基準</t>
        </is>
      </c>
      <c r="B8" s="6" t="inlineStr">
        <is>
          <t>該股自身前 20 個交易日的成交量中位數</t>
        </is>
      </c>
      <c r="C8" s="6" t="inlineStr">
        <is>
          <t>相對量 ＝ 9/16 成交量 ÷ 該中位數。1.0 ＝ 正常</t>
        </is>
      </c>
      <c r="D8" s="9" t="inlineStr">
        <is>
          <t>清單頁 K/L 欄</t>
        </is>
      </c>
    </row>
    <row r="9" ht="44" customHeight="1">
      <c r="A9" s="5" t="inlineStr">
        <is>
          <t>9/16 結算狀態</t>
        </is>
      </c>
      <c r="B9" s="6" t="inlineStr">
        <is>
          <t>9/16 由 Yahoo 收市後日線提供；日線鏡像當日 14:15 ET（收市前）提交，經跨來源裁決剔除</t>
        </is>
      </c>
      <c r="C9" s="6" t="inlineStr">
        <is>
          <t>9/16 成交量尚未結算（結算印記佔比 1.8%）。實測：收盤價誤差中位/p95 皆為 0.0000%；成交量 p95 約 15%</t>
        </is>
      </c>
      <c r="D9" s="9" t="inlineStr">
        <is>
          <t>影響淨額，不影響收盤價</t>
        </is>
      </c>
    </row>
    <row r="11">
      <c r="A11" s="3" t="inlineStr">
        <is>
          <t>二、資金流分數方法（「板塊資金流證據」頁）</t>
        </is>
      </c>
    </row>
    <row r="12" ht="26" customHeight="1">
      <c r="A12" s="6" t="inlineStr">
        <is>
          <t>• 方向 A ＝ tanh((個股回報 − 全市中位回報) / 0.02)；量能 B ＝ clip(log2(clip(成交量/20日中位量, 0.25, 4))/2, −1, 1)；收位 C ＝ ((收−低)−(高−收))/(高−低)</t>
        </is>
      </c>
    </row>
    <row r="13" ht="26" customHeight="1">
      <c r="A13" s="6" t="inlineStr">
        <is>
          <t>• 單股強度 f ＝ (0.70A + 0.30C) × (1 + 0.50B)；籃子以成交金額加權，並用逐次注水法將單一成分上限壓至 40%</t>
        </is>
      </c>
    </row>
    <row r="14" ht="26" customHeight="1">
      <c r="A14" s="6" t="inlineStr">
        <is>
          <t>• 每日作橫截面 z 分數後轉百分位（0–100）；5 日綜合採用權重 [1.0, 1.15, 1.35, 1.6, 1.9]（越近權重越高）</t>
        </is>
      </c>
    </row>
    <row r="15" ht="26" customHeight="1">
      <c r="A15" s="6" t="inlineStr">
        <is>
          <t>• 淨額估算（mfd）＝ Σ(收位 C × 成交金額)。★ 這是價量代理，不是真實資金流：13F 與 ETF 申贖資料在本環境不可達</t>
        </is>
      </c>
    </row>
    <row r="16" ht="26" customHeight="1">
      <c r="A16" s="6" t="inlineStr">
        <is>
          <t>• 全市中位採用「平衡面板」：僅計入每個計分日及其前一日均有報價的股票，2026-09-16 為 1,658 檔</t>
        </is>
      </c>
    </row>
    <row r="18">
      <c r="A18" s="3" t="inlineStr">
        <is>
          <t>三、已知限制與缺陷（必讀）</t>
        </is>
      </c>
    </row>
    <row r="19" ht="30" customHeight="1">
      <c r="A19" s="4" t="inlineStr">
        <is>
          <t>項目</t>
        </is>
      </c>
      <c r="B19" s="4" t="inlineStr">
        <is>
          <t>內容</t>
        </is>
      </c>
      <c r="C19" s="4" t="inlineStr">
        <is>
          <t>影響範圍</t>
        </is>
      </c>
      <c r="D19" s="4" t="inlineStr">
        <is>
          <t>狀態</t>
        </is>
      </c>
    </row>
    <row r="20" ht="76" customHeight="1">
      <c r="A20" s="80" t="inlineStr">
        <is>
          <t>⚠ LNG 組別數據缺陷</t>
        </is>
      </c>
      <c r="B20" s="84" t="inlineStr">
        <is>
          <t>「LNG液化天然氣」組的成分股 NFE（New Fortress Energy）做了反向拆股：收市價由 9/11 的 $0.33 跳至 9/15 的 $12.77。Yahoo 的 close 欄未還原拆股（adj_close 有），引擎使用 raw close，產生 +3771% 的單日回報</t>
        </is>
      </c>
      <c r="C20" s="84" t="inlineStr">
        <is>
          <t>該組 5 日回報顯示 +9111%（垃圾值），且 9/10 與 9/14 兩日分數因 tanh 飽和被高估為滿分上升日。111 組中僅此 1 組受影響（現排第 72 位），其餘 110 組不受影響。本清單所推薦與迴避的標的均不在該組</t>
        </is>
      </c>
      <c r="D20" s="84" t="inlineStr">
        <is>
          <t>已在「板塊資金流證據」頁標記為 n/a；修正版待用戶確認</t>
        </is>
      </c>
    </row>
    <row r="21" ht="76" customHeight="1">
      <c r="A21" s="5" t="inlineStr">
        <is>
          <t>※ 淨額估算為臨時值</t>
        </is>
      </c>
      <c r="B21" s="6" t="inlineStr">
        <is>
          <t>9/16 成交量尚未結算。實測未結算 vs 結算：分數 p95 差 1.82 分（滿分 100）、名次最多差 4；但淨額估算中位差 1.22%、p95 16.3%、最大 75.4%</t>
        </is>
      </c>
      <c r="C21" s="6" t="inlineStr">
        <is>
          <t>「板塊資金流證據」頁 M、N 欄的美元金額屬臨時值；分數與排名不受影響</t>
        </is>
      </c>
      <c r="D21" s="6" t="inlineStr">
        <is>
          <t>已於頁首與欄標題以「※」標註</t>
        </is>
      </c>
    </row>
    <row r="22" ht="76" customHeight="1">
      <c r="A22" s="5" t="inlineStr">
        <is>
          <t>資金流為價量代理</t>
        </is>
      </c>
      <c r="B22" s="6" t="inlineStr">
        <is>
          <t>無真實基金流向資料（13F、ETF 申贖在本環境不可達）</t>
        </is>
      </c>
      <c r="C22" s="6" t="inlineStr">
        <is>
          <t>所有「資金流入／流出」均為價格與成交量推算，非實際申贖</t>
        </is>
      </c>
      <c r="D22" s="6" t="inlineStr">
        <is>
          <t>設計限制，非缺陷</t>
        </is>
      </c>
    </row>
    <row r="23" ht="76" customHeight="1">
      <c r="A23" s="5" t="inlineStr">
        <is>
          <t>判斷分數為主觀</t>
        </is>
      </c>
      <c r="B23" s="6" t="inlineStr">
        <is>
          <t>清單頁 M–P 欄（機制／資金流／未伸展／廣度，各 0–5）為分析員主觀評分，非計算所得</t>
        </is>
      </c>
      <c r="C23" s="6" t="inlineStr">
        <is>
          <t>綜合分 Q 欄由這四項加權而成；權重列於該頁黃色格，可自行調整重算</t>
        </is>
      </c>
      <c r="D23" s="6" t="inlineStr">
        <is>
          <t>已以藍字標示為輸入值</t>
        </is>
      </c>
    </row>
    <row r="24" ht="76" customHeight="1">
      <c r="A24" s="5" t="inlineStr">
        <is>
          <t>油輪／航運未納入追蹤範圍</t>
        </is>
      </c>
      <c r="B24" s="6" t="inlineStr">
        <is>
          <t>Hormuz 最直接的受惠者為油輪（戰爭險費率由船體價值 0.25% 升至 7.5–10%，VLCC 日租金曾破 $100 萬），但 111 個子板塊中的「貨運與物流」僅涵蓋 UPS/FDX/ODFL 等包裹與陸運，不含油輪</t>
        </is>
      </c>
      <c r="C24" s="6" t="inlineStr">
        <is>
          <t>FRO、DHT、INSW、TNK、STNG 等油輪股不在本追蹤宇宙內，故未列入清單。另需注意：油輪相關 ETF 年內已漲逾 3,600%，屬極度伸展</t>
        </is>
      </c>
      <c r="D24" s="6" t="inlineStr">
        <is>
          <t>已知覆蓋缺口</t>
        </is>
      </c>
    </row>
    <row r="25" ht="76" customHeight="1">
      <c r="A25" s="5" t="inlineStr">
        <is>
          <t>本表性質</t>
        </is>
      </c>
      <c r="B25" s="6" t="inlineStr">
        <is>
          <t>研究紀錄，非投資建議。3 日為極短線窗口，個股結果由倉位與流動性主導的成分高於基本面</t>
        </is>
      </c>
      <c r="C25" s="6" t="inlineStr">
        <is>
          <t>全表</t>
        </is>
      </c>
      <c r="D25" s="6" t="inlineStr">
        <is>
          <t>—</t>
        </is>
      </c>
    </row>
    <row r="27">
      <c r="A27" s="3" t="inlineStr">
        <is>
          <t>四、新聞與宏觀資料來源</t>
        </is>
      </c>
    </row>
    <row r="28" ht="30" customHeight="1">
      <c r="A28" s="4" t="inlineStr">
        <is>
          <t>主題</t>
        </is>
      </c>
      <c r="B28" s="4" t="inlineStr">
        <is>
          <t>出處</t>
        </is>
      </c>
      <c r="C28" s="4" t="inlineStr">
        <is>
          <t>連結</t>
        </is>
      </c>
      <c r="D28" s="4" t="inlineStr">
        <is>
          <t>取用日期</t>
        </is>
      </c>
    </row>
    <row r="29">
      <c r="A29" s="6" t="inlineStr">
        <is>
          <t>FOMC 9/16 加息 25bp 至 3.75–4.00%</t>
        </is>
      </c>
      <c r="B29" s="91" t="inlineStr">
        <is>
          <t>CNBC</t>
        </is>
      </c>
      <c r="C29" s="92" t="inlineStr">
        <is>
          <t>https://www.cnbc.com/2026/09/16/fed-rate-decision-september-2026.html</t>
        </is>
      </c>
      <c r="D29" s="2" t="inlineStr">
        <is>
          <t>2026-09-17</t>
        </is>
      </c>
    </row>
    <row r="30">
      <c r="A30" s="6" t="inlineStr">
        <is>
          <t>Warsh：通脹仍然過高（會議實錄）</t>
        </is>
      </c>
      <c r="B30" s="91" t="inlineStr">
        <is>
          <t>CNBC</t>
        </is>
      </c>
      <c r="C30" s="92" t="inlineStr">
        <is>
          <t>https://www.cnbc.com/2026/09/16/fed-meeting-today-live-updates.html</t>
        </is>
      </c>
      <c r="D30" s="2" t="inlineStr">
        <is>
          <t>2026-09-17</t>
        </is>
      </c>
    </row>
    <row r="31">
      <c r="A31" s="6" t="inlineStr">
        <is>
          <t>2023 年以來首次加息</t>
        </is>
      </c>
      <c r="B31" s="91" t="inlineStr">
        <is>
          <t>Fox Business</t>
        </is>
      </c>
      <c r="C31" s="92" t="inlineStr">
        <is>
          <t>https://www.foxbusiness.com/economy/federal-reserve-interest-rate-decision-september-16-2026</t>
        </is>
      </c>
      <c r="D31" s="2" t="inlineStr">
        <is>
          <t>2026-09-17</t>
        </is>
      </c>
    </row>
    <row r="32">
      <c r="A32" s="6" t="inlineStr">
        <is>
          <t>9/16 收市：加息後道指標普急跌</t>
        </is>
      </c>
      <c r="B32" s="91" t="inlineStr">
        <is>
          <t>TheStreet</t>
        </is>
      </c>
      <c r="C32" s="92" t="inlineStr">
        <is>
          <t>https://www.thestreet.com/stock-market-today/stock-market-today-dow-jones-sp-500-nasdaq-updates-sept-16-2026</t>
        </is>
      </c>
      <c r="D32" s="2" t="inlineStr">
        <is>
          <t>2026-09-17</t>
        </is>
      </c>
    </row>
    <row r="33">
      <c r="A33" s="6" t="inlineStr">
        <is>
          <t>9/15：孳息創 19 年新高</t>
        </is>
      </c>
      <c r="B33" s="91" t="inlineStr">
        <is>
          <t>TheStreet</t>
        </is>
      </c>
      <c r="C33" s="92" t="inlineStr">
        <is>
          <t>https://www.thestreet.com/stock-market-today/stock-market-today-sept-15-2026-dow-futures-slide-as-oil-prices-surge-and-treasury-yields-hit-2007-highs</t>
        </is>
      </c>
      <c r="D33" s="2" t="inlineStr">
        <is>
          <t>2026-09-17</t>
        </is>
      </c>
    </row>
    <row r="34">
      <c r="A34" s="6" t="inlineStr">
        <is>
          <t>油價下跌：沙特輸油管將於數日內重啟</t>
        </is>
      </c>
      <c r="B34" s="91" t="inlineStr">
        <is>
          <t>CNBC</t>
        </is>
      </c>
      <c r="C34" s="92" t="inlineStr">
        <is>
          <t>https://www.cnbc.com/2026/09/16/oil-prices-today-brent-wti-hormuz-iran-war.html</t>
        </is>
      </c>
      <c r="D34" s="2" t="inlineStr">
        <is>
          <t>2026-09-17</t>
        </is>
      </c>
    </row>
    <row r="35">
      <c r="A35" s="6" t="inlineStr">
        <is>
          <t>沙特關閉繞道 Hormuz 的關鍵輸油管</t>
        </is>
      </c>
      <c r="B35" s="91" t="inlineStr">
        <is>
          <t>CNBC</t>
        </is>
      </c>
      <c r="C35" s="92" t="inlineStr">
        <is>
          <t>https://www.cnbc.com/2026/09/13/oil-price-iran-war-strait-hormuz-saudi-pipeline.html</t>
        </is>
      </c>
      <c r="D35" s="2" t="inlineStr">
        <is>
          <t>2026-09-17</t>
        </is>
      </c>
    </row>
    <row r="36">
      <c r="A36" s="6" t="inlineStr">
        <is>
          <t>East–West 輸油管為何攸關全球石油</t>
        </is>
      </c>
      <c r="B36" s="91" t="inlineStr">
        <is>
          <t>Al Jazeera</t>
        </is>
      </c>
      <c r="C36" s="92" t="inlineStr">
        <is>
          <t>https://www.aljazeera.com/news/2026/9/14/why-saudi-arabias-east-west-pipeline-matters-for-global-oil</t>
        </is>
      </c>
      <c r="D36" s="2" t="inlineStr">
        <is>
          <t>2026-09-17</t>
        </is>
      </c>
    </row>
    <row r="37">
      <c r="A37" s="6" t="inlineStr">
        <is>
          <t>2026 年 East–West 輸油管襲擊事件</t>
        </is>
      </c>
      <c r="B37" s="91" t="inlineStr">
        <is>
          <t>Wikipedia</t>
        </is>
      </c>
      <c r="C37" s="92" t="inlineStr">
        <is>
          <t>https://en.wikipedia.org/wiki/2026_East%E2%80%93West_Crude_Oil_Pipeline_attack</t>
        </is>
      </c>
      <c r="D37" s="2" t="inlineStr">
        <is>
          <t>2026-09-17</t>
        </is>
      </c>
    </row>
    <row r="38">
      <c r="A38" s="6" t="inlineStr">
        <is>
          <t>$100/桶柴油裂解價差：2026 年全球煉油的脆弱性</t>
        </is>
      </c>
      <c r="B38" s="91" t="inlineStr">
        <is>
          <t>RBN Energy</t>
        </is>
      </c>
      <c r="C38" s="92" t="inlineStr">
        <is>
          <t>https://rbnenergy.com/daily-posts/blog/100bbl-diesel-crack-or-how-2026-exposed-fragility-global-refining</t>
        </is>
      </c>
      <c r="D38" s="2" t="inlineStr">
        <is>
          <t>2026-09-17</t>
        </is>
      </c>
    </row>
    <row r="39">
      <c r="A39" s="6" t="inlineStr">
        <is>
          <t>美國柴油價創紀錄、煉油毛利飆升</t>
        </is>
      </c>
      <c r="B39" s="91" t="inlineStr">
        <is>
          <t>Discovery Alert</t>
        </is>
      </c>
      <c r="C39" s="92" t="inlineStr">
        <is>
          <t>https://discoveryalert.com/analysis/us-diesel-prices-record-september-2026/</t>
        </is>
      </c>
      <c r="D39" s="2" t="inlineStr">
        <is>
          <t>2026-09-17</t>
        </is>
      </c>
    </row>
    <row r="40">
      <c r="A40" s="6" t="inlineStr">
        <is>
          <t>俄羅斯延長柴油出口禁令至 9/30</t>
        </is>
      </c>
      <c r="B40" s="91" t="inlineStr">
        <is>
          <t>Ukrainska Pravda</t>
        </is>
      </c>
      <c r="C40" s="92" t="inlineStr">
        <is>
          <t>https://www.pravda.com.ua/eng/news/2026/08/29/8050963/</t>
        </is>
      </c>
      <c r="D40" s="2" t="inlineStr">
        <is>
          <t>2026-09-17</t>
        </is>
      </c>
    </row>
    <row r="41">
      <c r="A41" s="6" t="inlineStr">
        <is>
          <t>無人機打擊迫使俄六大柴油煉廠半數減產</t>
        </is>
      </c>
      <c r="B41" s="91" t="inlineStr">
        <is>
          <t>Kyiv Post</t>
        </is>
      </c>
      <c r="C41" s="92" t="inlineStr">
        <is>
          <t>https://www.kyivpost.com/post/84579</t>
        </is>
      </c>
      <c r="D41" s="2" t="inlineStr">
        <is>
          <t>2026-09-17</t>
        </is>
      </c>
    </row>
    <row r="42">
      <c r="A42" s="6" t="inlineStr">
        <is>
          <t>Hormuz 航運戰爭險再度飆升</t>
        </is>
      </c>
      <c r="B42" s="91" t="inlineStr">
        <is>
          <t>The National</t>
        </is>
      </c>
      <c r="C42" s="92" t="inlineStr">
        <is>
          <t>https://www.thenationalnews.com/business/2026/07/17/war-risk-shipping-premium-surges-again-as-tensions-escalate-at-strait-of-hormuz/</t>
        </is>
      </c>
      <c r="D42" s="2" t="inlineStr">
        <is>
          <t>2026-09-17</t>
        </is>
      </c>
    </row>
    <row r="43">
      <c r="A43" s="6" t="inlineStr">
        <is>
          <t>中東航運保險成本上升（Marsh）</t>
        </is>
      </c>
      <c r="B43" s="91" t="inlineStr">
        <is>
          <t>S&amp;P Global</t>
        </is>
      </c>
      <c r="C43" s="92" t="inlineStr">
        <is>
          <t>https://www.spglobal.com/energy/en/news-research/latest-news/shipping/072226-middle-east-shipping-insurance-costs-rise-on-hormuz-risks-marsh</t>
        </is>
      </c>
      <c r="D43" s="2" t="inlineStr">
        <is>
          <t>2026-09-17</t>
        </is>
      </c>
    </row>
    <row r="44">
      <c r="A44" s="6" t="inlineStr">
        <is>
          <t>本週經濟數據日程（9/14–18）</t>
        </is>
      </c>
      <c r="B44" s="91" t="inlineStr">
        <is>
          <t>Kiplinger</t>
        </is>
      </c>
      <c r="C44" s="92" t="inlineStr">
        <is>
          <t>https://www.kiplinger.com/investing/economy/this-weeks-economic-calendar</t>
        </is>
      </c>
      <c r="D44" s="2" t="inlineStr">
        <is>
          <t>2026-09-17</t>
        </is>
      </c>
    </row>
    <row r="45">
      <c r="A45" s="6" t="inlineStr">
        <is>
          <t>9 月加息機率與利率期貨定價</t>
        </is>
      </c>
      <c r="B45" s="91" t="inlineStr">
        <is>
          <t>Yahoo Finance</t>
        </is>
      </c>
      <c r="C45" s="92" t="inlineStr">
        <is>
          <t>https://finance.yahoo.com/economy/policy/articles/fomc-september-2026-odds-rate-201618784.html</t>
        </is>
      </c>
      <c r="D45" s="2" t="inlineStr">
        <is>
          <t>2026-09-17</t>
        </is>
      </c>
    </row>
  </sheetData>
  <mergeCells count="7">
    <mergeCell ref="A1:D1"/>
    <mergeCell ref="A12:D12"/>
    <mergeCell ref="A15:D15"/>
    <mergeCell ref="A2:D2"/>
    <mergeCell ref="A16:D16"/>
    <mergeCell ref="A13:D13"/>
    <mergeCell ref="A14:D14"/>
  </mergeCells>
  <hyperlinks>
    <hyperlink xmlns:r="http://schemas.openxmlformats.org/officeDocument/2006/relationships" ref="C29" r:id="rId1"/>
    <hyperlink xmlns:r="http://schemas.openxmlformats.org/officeDocument/2006/relationships" ref="C30" r:id="rId2"/>
    <hyperlink xmlns:r="http://schemas.openxmlformats.org/officeDocument/2006/relationships" ref="C31" r:id="rId3"/>
    <hyperlink xmlns:r="http://schemas.openxmlformats.org/officeDocument/2006/relationships" ref="C32" r:id="rId4"/>
    <hyperlink xmlns:r="http://schemas.openxmlformats.org/officeDocument/2006/relationships" ref="C33" r:id="rId5"/>
    <hyperlink xmlns:r="http://schemas.openxmlformats.org/officeDocument/2006/relationships" ref="C34" r:id="rId6"/>
    <hyperlink xmlns:r="http://schemas.openxmlformats.org/officeDocument/2006/relationships" ref="C35" r:id="rId7"/>
    <hyperlink xmlns:r="http://schemas.openxmlformats.org/officeDocument/2006/relationships" ref="C36" r:id="rId8"/>
    <hyperlink xmlns:r="http://schemas.openxmlformats.org/officeDocument/2006/relationships" ref="C37" r:id="rId9"/>
    <hyperlink xmlns:r="http://schemas.openxmlformats.org/officeDocument/2006/relationships" ref="C38" r:id="rId10"/>
    <hyperlink xmlns:r="http://schemas.openxmlformats.org/officeDocument/2006/relationships" ref="C39" r:id="rId11"/>
    <hyperlink xmlns:r="http://schemas.openxmlformats.org/officeDocument/2006/relationships" ref="C40" r:id="rId12"/>
    <hyperlink xmlns:r="http://schemas.openxmlformats.org/officeDocument/2006/relationships" ref="C41" r:id="rId13"/>
    <hyperlink xmlns:r="http://schemas.openxmlformats.org/officeDocument/2006/relationships" ref="C42" r:id="rId14"/>
    <hyperlink xmlns:r="http://schemas.openxmlformats.org/officeDocument/2006/relationships" ref="C43" r:id="rId15"/>
    <hyperlink xmlns:r="http://schemas.openxmlformats.org/officeDocument/2006/relationships" ref="C44" r:id="rId16"/>
    <hyperlink xmlns:r="http://schemas.openxmlformats.org/officeDocument/2006/relationships" ref="C45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2026-09-17T05:13:02Z</dcterms:created>
  <dcterms:modified xsi:type="dcterms:W3CDTF">2026-09-17T05:13:02Z</dcterms:modified>
</cp:coreProperties>
</file>