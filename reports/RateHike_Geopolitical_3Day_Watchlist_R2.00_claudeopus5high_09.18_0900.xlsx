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 Summary" sheetId="1" state="visible" r:id="rId1"/>
    <sheet name="判斷記分卡 Scorecard" sheetId="2" state="visible" r:id="rId2"/>
    <sheet name="3日受惠清單 Watchlist" sheetId="3" state="visible" r:id="rId3"/>
    <sheet name="迴避清單 Avoid" sheetId="4" state="visible" r:id="rId4"/>
    <sheet name="板塊資金流證據 Evidence" sheetId="5" state="visible" r:id="rId5"/>
    <sheet name="代號索引 Ticker Index" sheetId="6" state="visible" r:id="rId6"/>
    <sheet name="催化劑日程 Catalysts" sheetId="7" state="visible" r:id="rId7"/>
    <sheet name="情境矩陣 Scenarios" sheetId="8" state="visible" r:id="rId8"/>
    <sheet name="數據來源與限制 Sources" sheetId="9" state="visible" r:id="rId9"/>
  </sheets>
  <definedNames>
    <definedName name="_xlnm._FilterDatabase" localSheetId="5" hidden="1">'代號索引 Ticker Index'!$A$8:$M$500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%;[Red](0.00%);-"/>
    <numFmt numFmtId="166" formatCode="+0;-0;0"/>
    <numFmt numFmtId="167" formatCode="0.00&quot;x&quot;"/>
    <numFmt numFmtId="168" formatCode="+0.00;-0.00;0.00"/>
    <numFmt numFmtId="169" formatCode="$#,##0;($#,##0);-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9"/>
    </font>
    <font>
      <name val="Arial"/>
      <b val="1"/>
      <color rgb="002E5A8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C00000"/>
      <sz val="10"/>
    </font>
    <font>
      <name val="Arial"/>
      <b val="1"/>
      <color rgb="000563C1"/>
      <sz val="10"/>
      <u val="single"/>
    </font>
    <font>
      <name val="Arial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2F5F9"/>
      </patternFill>
    </fill>
  </fills>
  <borders count="3">
    <border>
      <left/>
      <right/>
      <top/>
      <bottom/>
      <diagonal/>
    </border>
    <border>
      <top style="medium">
        <color rgb="001F3864"/>
      </top>
    </border>
    <border>
      <top style="medium">
        <color rgb="00B71C1C"/>
      </top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3" fontId="6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0" borderId="0" pivotButton="0" quotePrefix="0" xfId="0"/>
    <xf numFmtId="165" fontId="6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165" fontId="6" fillId="4" borderId="0" pivotButton="0" quotePrefix="0" xfId="0"/>
    <xf numFmtId="2" fontId="6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165" fontId="6" fillId="5" borderId="0" pivotButton="0" quotePrefix="0" xfId="0"/>
    <xf numFmtId="2" fontId="6" fillId="5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166" fontId="6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5" fontId="6" fillId="6" borderId="0" pivotButton="0" quotePrefix="0" xfId="0"/>
    <xf numFmtId="2" fontId="6" fillId="6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7" fillId="7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" fontId="7" fillId="0" borderId="0" pivotButton="0" quotePrefix="0" xfId="0"/>
    <xf numFmtId="167" fontId="6" fillId="0" borderId="0" pivotButton="0" quotePrefix="0" xfId="0"/>
    <xf numFmtId="1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vertical="top" wrapText="1"/>
    </xf>
    <xf numFmtId="0" fontId="9" fillId="8" borderId="0" applyAlignment="1" pivotButton="0" quotePrefix="0" xfId="0">
      <alignment horizontal="center" vertical="center"/>
    </xf>
    <xf numFmtId="4" fontId="7" fillId="8" borderId="0" pivotButton="0" quotePrefix="0" xfId="0"/>
    <xf numFmtId="165" fontId="6" fillId="8" borderId="0" pivotButton="0" quotePrefix="0" xfId="0"/>
    <xf numFmtId="3" fontId="7" fillId="8" borderId="0" pivotButton="0" quotePrefix="0" xfId="0"/>
    <xf numFmtId="167" fontId="6" fillId="8" borderId="0" pivotButton="0" quotePrefix="0" xfId="0"/>
    <xf numFmtId="1" fontId="7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4" fontId="7" fillId="5" borderId="0" pivotButton="0" quotePrefix="0" xfId="0"/>
    <xf numFmtId="3" fontId="7" fillId="5" borderId="0" pivotButton="0" quotePrefix="0" xfId="0"/>
    <xf numFmtId="167" fontId="6" fillId="5" borderId="0" pivotButton="0" quotePrefix="0" xfId="0"/>
    <xf numFmtId="0" fontId="0" fillId="0" borderId="2" pivotButton="0" quotePrefix="0" xfId="0"/>
    <xf numFmtId="0" fontId="5" fillId="0" borderId="2" pivotButton="0" quotePrefix="0" xfId="0"/>
    <xf numFmtId="165" fontId="5" fillId="0" borderId="2" pivotButton="0" quotePrefix="0" xfId="0"/>
    <xf numFmtId="167" fontId="5" fillId="0" borderId="2" pivotButton="0" quotePrefix="0" xfId="0"/>
    <xf numFmtId="3" fontId="6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 wrapText="1"/>
    </xf>
    <xf numFmtId="164" fontId="6" fillId="4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168" fontId="6" fillId="4" borderId="0" applyAlignment="1" pivotButton="0" quotePrefix="0" xfId="0">
      <alignment horizontal="center" vertical="center"/>
    </xf>
    <xf numFmtId="169" fontId="6" fillId="4" borderId="0" pivotButton="0" quotePrefix="0" xfId="0"/>
    <xf numFmtId="0" fontId="9" fillId="4" borderId="0" applyAlignment="1" pivotButton="0" quotePrefix="0" xfId="0">
      <alignment horizontal="center" vertical="center"/>
    </xf>
    <xf numFmtId="0" fontId="0" fillId="4" borderId="0" pivotButton="0" quotePrefix="0" xfId="0"/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9" fontId="6" fillId="0" borderId="0" pivotButton="0" quotePrefix="0" xfId="0"/>
    <xf numFmtId="3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horizontal="center" vertical="center"/>
    </xf>
    <xf numFmtId="167" fontId="6" fillId="6" borderId="0" applyAlignment="1" pivotButton="0" quotePrefix="0" xfId="0">
      <alignment horizontal="center" vertical="center"/>
    </xf>
    <xf numFmtId="168" fontId="6" fillId="6" borderId="0" applyAlignment="1" pivotButton="0" quotePrefix="0" xfId="0">
      <alignment horizontal="center" vertical="center"/>
    </xf>
    <xf numFmtId="169" fontId="6" fillId="6" borderId="0" pivotButton="0" quotePrefix="0" xfId="0"/>
    <xf numFmtId="0" fontId="9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8" fillId="6" borderId="0" applyAlignment="1" pivotButton="0" quotePrefix="0" xfId="0">
      <alignment vertical="top" wrapText="1"/>
    </xf>
    <xf numFmtId="3" fontId="6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top" wrapText="1"/>
    </xf>
    <xf numFmtId="164" fontId="6" fillId="5" borderId="0" applyAlignment="1" pivotButton="0" quotePrefix="0" xfId="0">
      <alignment horizontal="center" vertical="center"/>
    </xf>
    <xf numFmtId="167" fontId="6" fillId="5" borderId="0" applyAlignment="1" pivotButton="0" quotePrefix="0" xfId="0">
      <alignment horizontal="center" vertical="center"/>
    </xf>
    <xf numFmtId="168" fontId="6" fillId="5" borderId="0" applyAlignment="1" pivotButton="0" quotePrefix="0" xfId="0">
      <alignment horizontal="center" vertical="center"/>
    </xf>
    <xf numFmtId="169" fontId="6" fillId="5" borderId="0" pivotButton="0" quotePrefix="0" xfId="0"/>
    <xf numFmtId="0" fontId="0" fillId="5" borderId="0" pivotButton="0" quotePrefix="0" xfId="0"/>
    <xf numFmtId="0" fontId="8" fillId="6" borderId="0" pivotButton="0" quotePrefix="0" xfId="0"/>
    <xf numFmtId="0" fontId="2" fillId="4" borderId="0" applyAlignment="1" pivotButton="0" quotePrefix="0" xfId="0">
      <alignment horizontal="center" vertical="center"/>
    </xf>
    <xf numFmtId="4" fontId="7" fillId="4" borderId="0" pivotButton="0" quotePrefix="0" xfId="0"/>
    <xf numFmtId="3" fontId="7" fillId="4" borderId="0" pivotButton="0" quotePrefix="0" xfId="0"/>
    <xf numFmtId="167" fontId="6" fillId="4" borderId="0" pivotButton="0" quotePrefix="0" xfId="0"/>
    <xf numFmtId="0" fontId="2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168" fontId="5" fillId="4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center" vertical="center"/>
    </xf>
    <xf numFmtId="168" fontId="5" fillId="5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vlo" TargetMode="External" Id="rId1" /><Relationship Type="http://schemas.openxmlformats.org/officeDocument/2006/relationships/hyperlink" Target="https://www.tradingview.com/chart/Q1c5VWwD/?symbol=mpc" TargetMode="External" Id="rId2" /><Relationship Type="http://schemas.openxmlformats.org/officeDocument/2006/relationships/hyperlink" Target="https://www.tradingview.com/chart/Q1c5VWwD/?symbol=dino" TargetMode="External" Id="rId3" /><Relationship Type="http://schemas.openxmlformats.org/officeDocument/2006/relationships/hyperlink" Target="https://www.tradingview.com/chart/Q1c5VWwD/?symbol=psx" TargetMode="External" Id="rId4" /><Relationship Type="http://schemas.openxmlformats.org/officeDocument/2006/relationships/hyperlink" Target="https://www.tradingview.com/chart/Q1c5VWwD/?symbol=tmo" TargetMode="External" Id="rId5" /><Relationship Type="http://schemas.openxmlformats.org/officeDocument/2006/relationships/hyperlink" Target="https://www.tradingview.com/chart/Q1c5VWwD/?symbol=a" TargetMode="External" Id="rId6" /><Relationship Type="http://schemas.openxmlformats.org/officeDocument/2006/relationships/hyperlink" Target="https://www.tradingview.com/chart/Q1c5VWwD/?symbol=dhr" TargetMode="External" Id="rId7" /><Relationship Type="http://schemas.openxmlformats.org/officeDocument/2006/relationships/hyperlink" Target="https://www.tradingview.com/chart/Q1c5VWwD/?symbol=tsm" TargetMode="External" Id="rId8" /><Relationship Type="http://schemas.openxmlformats.org/officeDocument/2006/relationships/hyperlink" Target="https://www.tradingview.com/chart/Q1c5VWwD/?symbol=snps" TargetMode="External" Id="rId9" /><Relationship Type="http://schemas.openxmlformats.org/officeDocument/2006/relationships/hyperlink" Target="https://www.tradingview.com/chart/Q1c5VWwD/?symbol=cdns" TargetMode="External" Id="rId10" /><Relationship Type="http://schemas.openxmlformats.org/officeDocument/2006/relationships/hyperlink" Target="https://www.tradingview.com/chart/Q1c5VWwD/?symbol=rklb" TargetMode="External" Id="rId11" /><Relationship Type="http://schemas.openxmlformats.org/officeDocument/2006/relationships/hyperlink" Target="https://www.tradingview.com/chart/Q1c5VWwD/?symbol=asts" TargetMode="External" Id="rId12" /><Relationship Type="http://schemas.openxmlformats.org/officeDocument/2006/relationships/hyperlink" Target="https://www.tradingview.com/chart/Q1c5VWwD/?symbol=nue" TargetMode="External" Id="rId13" /><Relationship Type="http://schemas.openxmlformats.org/officeDocument/2006/relationships/hyperlink" Target="https://www.tradingview.com/chart/Q1c5VWwD/?symbol=stld" TargetMode="External" Id="rId14" /><Relationship Type="http://schemas.openxmlformats.org/officeDocument/2006/relationships/hyperlink" Target="https://www.tradingview.com/chart/Q1c5VWwD/?symbol=rs" TargetMode="External" Id="rId15" /><Relationship Type="http://schemas.openxmlformats.org/officeDocument/2006/relationships/hyperlink" Target="https://www.tradingview.com/chart/Q1c5VWwD/?symbol=gev" TargetMode="External" Id="rId16" /><Relationship Type="http://schemas.openxmlformats.org/officeDocument/2006/relationships/hyperlink" Target="https://www.tradingview.com/chart/Q1c5VWwD/?symbol=etn" TargetMode="External" Id="rId17" /><Relationship Type="http://schemas.openxmlformats.org/officeDocument/2006/relationships/hyperlink" Target="https://www.tradingview.com/chart/Q1c5VWwD/?symbol=hca" TargetMode="External" Id="rId18" /><Relationship Type="http://schemas.openxmlformats.org/officeDocument/2006/relationships/hyperlink" Target="https://www.tradingview.com/chart/Q1c5VWwD/?symbol=trv" TargetMode="External" Id="rId19" /><Relationship Type="http://schemas.openxmlformats.org/officeDocument/2006/relationships/hyperlink" Target="https://www.tradingview.com/chart/Q1c5VWwD/?symbol=rnr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slb" TargetMode="External" Id="rId1" /><Relationship Type="http://schemas.openxmlformats.org/officeDocument/2006/relationships/hyperlink" Target="https://www.tradingview.com/chart/Q1c5VWwD/?symbol=hal" TargetMode="External" Id="rId2" /><Relationship Type="http://schemas.openxmlformats.org/officeDocument/2006/relationships/hyperlink" Target="https://www.tradingview.com/chart/Q1c5VWwD/?symbol=usb" TargetMode="External" Id="rId3" /><Relationship Type="http://schemas.openxmlformats.org/officeDocument/2006/relationships/hyperlink" Target="https://www.tradingview.com/chart/Q1c5VWwD/?symbol=pnc" TargetMode="External" Id="rId4" /><Relationship Type="http://schemas.openxmlformats.org/officeDocument/2006/relationships/hyperlink" Target="https://www.tradingview.com/chart/Q1c5VWwD/?symbol=zion" TargetMode="External" Id="rId5" /><Relationship Type="http://schemas.openxmlformats.org/officeDocument/2006/relationships/hyperlink" Target="https://www.tradingview.com/chart/Q1c5VWwD/?symbol=gs" TargetMode="External" Id="rId6" /><Relationship Type="http://schemas.openxmlformats.org/officeDocument/2006/relationships/hyperlink" Target="https://www.tradingview.com/chart/Q1c5VWwD/?symbol=ms" TargetMode="External" Id="rId7" /><Relationship Type="http://schemas.openxmlformats.org/officeDocument/2006/relationships/hyperlink" Target="https://www.tradingview.com/chart/Q1c5VWwD/?symbol=fdx" TargetMode="External" Id="rId8" /><Relationship Type="http://schemas.openxmlformats.org/officeDocument/2006/relationships/hyperlink" Target="https://www.tradingview.com/chart/Q1c5VWwD/?symbol=ups" TargetMode="External" Id="rId9" /><Relationship Type="http://schemas.openxmlformats.org/officeDocument/2006/relationships/hyperlink" Target="https://www.tradingview.com/chart/Q1c5VWwD/?symbol=t" TargetMode="External" Id="rId10" /><Relationship Type="http://schemas.openxmlformats.org/officeDocument/2006/relationships/hyperlink" Target="https://www.tradingview.com/chart/Q1c5VWwD/?symbol=vz" TargetMode="External" Id="rId11" /><Relationship Type="http://schemas.openxmlformats.org/officeDocument/2006/relationships/hyperlink" Target="https://www.tradingview.com/chart/Q1c5VWwD/?symbol=xom" TargetMode="External" Id="rId12" /><Relationship Type="http://schemas.openxmlformats.org/officeDocument/2006/relationships/hyperlink" Target="https://www.tradingview.com/chart/Q1c5VWwD/?symbol=cvx" TargetMode="External" Id="rId13" /><Relationship Type="http://schemas.openxmlformats.org/officeDocument/2006/relationships/hyperlink" Target="https://www.tradingview.com/chart/Q1c5VWwD/?symbol=oklo" TargetMode="External" Id="rId14" /><Relationship Type="http://schemas.openxmlformats.org/officeDocument/2006/relationships/hyperlink" Target="https://www.tradingview.com/chart/Q1c5VWwD/?symbol=smr" TargetMode="External" Id="rId15" /><Relationship Type="http://schemas.openxmlformats.org/officeDocument/2006/relationships/hyperlink" Target="https://www.tradingview.com/chart/Q1c5VWwD/?symbol=ccj" TargetMode="External" Id="rId16" /><Relationship Type="http://schemas.openxmlformats.org/officeDocument/2006/relationships/hyperlink" Target="https://www.tradingview.com/chart/Q1c5VWwD/?symbol=uec" TargetMode="External" Id="rId17" /><Relationship Type="http://schemas.openxmlformats.org/officeDocument/2006/relationships/hyperlink" Target="https://www.tradingview.com/chart/Q1c5VWwD/?symbol=mp" TargetMode="External" Id="rId18" /><Relationship Type="http://schemas.openxmlformats.org/officeDocument/2006/relationships/hyperlink" Target="https://www.tradingview.com/chart/Q1c5VWwD/?symbol=coin" TargetMode="External" Id="rId19" /><Relationship Type="http://schemas.openxmlformats.org/officeDocument/2006/relationships/hyperlink" Target="https://www.tradingview.com/chart/Q1c5VWwD/?symbol=hood" TargetMode="External" Id="rId20" /><Relationship Type="http://schemas.openxmlformats.org/officeDocument/2006/relationships/hyperlink" Target="https://www.tradingview.com/chart/Q1c5VWwD/?symbol=dhi" TargetMode="External" Id="rId21" /><Relationship Type="http://schemas.openxmlformats.org/officeDocument/2006/relationships/hyperlink" Target="https://www.tradingview.com/chart/Q1c5VWwD/?symbol=len" TargetMode="External" Id="rId22" /><Relationship Type="http://schemas.openxmlformats.org/officeDocument/2006/relationships/hyperlink" Target="https://www.tradingview.com/chart/Q1c5VWwD/?symbol=nee" TargetMode="External" Id="rId23" /><Relationship Type="http://schemas.openxmlformats.org/officeDocument/2006/relationships/hyperlink" Target="https://www.tradingview.com/chart/Q1c5VWwD/?symbol=fslr" TargetMode="External" Id="rId24" /><Relationship Type="http://schemas.openxmlformats.org/officeDocument/2006/relationships/hyperlink" Target="https://www.tradingview.com/chart/Q1c5VWwD/?symbol=ionq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tmo" TargetMode="External" Id="rId1" /><Relationship Type="http://schemas.openxmlformats.org/officeDocument/2006/relationships/hyperlink" Target="https://www.tradingview.com/chart/Q1c5VWwD/?symbol=dhr" TargetMode="External" Id="rId2" /><Relationship Type="http://schemas.openxmlformats.org/officeDocument/2006/relationships/hyperlink" Target="https://www.tradingview.com/chart/Q1c5VWwD/?symbol=a" TargetMode="External" Id="rId3" /><Relationship Type="http://schemas.openxmlformats.org/officeDocument/2006/relationships/hyperlink" Target="https://www.tradingview.com/chart/Q1c5VWwD/?symbol=ilmn" TargetMode="External" Id="rId4" /><Relationship Type="http://schemas.openxmlformats.org/officeDocument/2006/relationships/hyperlink" Target="https://www.tradingview.com/chart/Q1c5VWwD/?symbol=mpc" TargetMode="External" Id="rId5" /><Relationship Type="http://schemas.openxmlformats.org/officeDocument/2006/relationships/hyperlink" Target="https://www.tradingview.com/chart/Q1c5VWwD/?symbol=psx" TargetMode="External" Id="rId6" /><Relationship Type="http://schemas.openxmlformats.org/officeDocument/2006/relationships/hyperlink" Target="https://www.tradingview.com/chart/Q1c5VWwD/?symbol=vlo" TargetMode="External" Id="rId7" /><Relationship Type="http://schemas.openxmlformats.org/officeDocument/2006/relationships/hyperlink" Target="https://www.tradingview.com/chart/Q1c5VWwD/?symbol=dino" TargetMode="External" Id="rId8" /><Relationship Type="http://schemas.openxmlformats.org/officeDocument/2006/relationships/hyperlink" Target="https://www.tradingview.com/chart/Q1c5VWwD/?symbol=aapl" TargetMode="External" Id="rId9" /><Relationship Type="http://schemas.openxmlformats.org/officeDocument/2006/relationships/hyperlink" Target="https://www.tradingview.com/chart/Q1c5VWwD/?symbol=dell" TargetMode="External" Id="rId10" /><Relationship Type="http://schemas.openxmlformats.org/officeDocument/2006/relationships/hyperlink" Target="https://www.tradingview.com/chart/Q1c5VWwD/?symbol=flex" TargetMode="External" Id="rId11" /><Relationship Type="http://schemas.openxmlformats.org/officeDocument/2006/relationships/hyperlink" Target="https://www.tradingview.com/chart/Q1c5VWwD/?symbol=jbl" TargetMode="External" Id="rId12" /><Relationship Type="http://schemas.openxmlformats.org/officeDocument/2006/relationships/hyperlink" Target="https://www.tradingview.com/chart/Q1c5VWwD/?symbol=aph" TargetMode="External" Id="rId13" /><Relationship Type="http://schemas.openxmlformats.org/officeDocument/2006/relationships/hyperlink" Target="https://www.tradingview.com/chart/Q1c5VWwD/?symbol=tel" TargetMode="External" Id="rId14" /><Relationship Type="http://schemas.openxmlformats.org/officeDocument/2006/relationships/hyperlink" Target="https://www.tradingview.com/chart/Q1c5VWwD/?symbol=pltr" TargetMode="External" Id="rId15" /><Relationship Type="http://schemas.openxmlformats.org/officeDocument/2006/relationships/hyperlink" Target="https://www.tradingview.com/chart/Q1c5VWwD/?symbol=snow" TargetMode="External" Id="rId16" /><Relationship Type="http://schemas.openxmlformats.org/officeDocument/2006/relationships/hyperlink" Target="https://www.tradingview.com/chart/Q1c5VWwD/?symbol=mdb" TargetMode="External" Id="rId17" /><Relationship Type="http://schemas.openxmlformats.org/officeDocument/2006/relationships/hyperlink" Target="https://www.tradingview.com/chart/Q1c5VWwD/?symbol=ddog" TargetMode="External" Id="rId18" /><Relationship Type="http://schemas.openxmlformats.org/officeDocument/2006/relationships/hyperlink" Target="https://www.tradingview.com/chart/Q1c5VWwD/?symbol=panw" TargetMode="External" Id="rId19" /><Relationship Type="http://schemas.openxmlformats.org/officeDocument/2006/relationships/hyperlink" Target="https://www.tradingview.com/chart/Q1c5VWwD/?symbol=crwd" TargetMode="External" Id="rId20" /><Relationship Type="http://schemas.openxmlformats.org/officeDocument/2006/relationships/hyperlink" Target="https://www.tradingview.com/chart/Q1c5VWwD/?symbol=zs" TargetMode="External" Id="rId21" /><Relationship Type="http://schemas.openxmlformats.org/officeDocument/2006/relationships/hyperlink" Target="https://www.tradingview.com/chart/Q1c5VWwD/?symbol=ftnt" TargetMode="External" Id="rId22" /><Relationship Type="http://schemas.openxmlformats.org/officeDocument/2006/relationships/hyperlink" Target="https://www.tradingview.com/chart/Q1c5VWwD/?symbol=s" TargetMode="External" Id="rId23" /><Relationship Type="http://schemas.openxmlformats.org/officeDocument/2006/relationships/hyperlink" Target="https://www.tradingview.com/chart/Q1c5VWwD/?symbol=nue" TargetMode="External" Id="rId24" /><Relationship Type="http://schemas.openxmlformats.org/officeDocument/2006/relationships/hyperlink" Target="https://www.tradingview.com/chart/Q1c5VWwD/?symbol=stld" TargetMode="External" Id="rId25" /><Relationship Type="http://schemas.openxmlformats.org/officeDocument/2006/relationships/hyperlink" Target="https://www.tradingview.com/chart/Q1c5VWwD/?symbol=clf" TargetMode="External" Id="rId26" /><Relationship Type="http://schemas.openxmlformats.org/officeDocument/2006/relationships/hyperlink" Target="https://www.tradingview.com/chart/Q1c5VWwD/?symbol=rs" TargetMode="External" Id="rId27" /><Relationship Type="http://schemas.openxmlformats.org/officeDocument/2006/relationships/hyperlink" Target="https://www.tradingview.com/chart/Q1c5VWwD/?symbol=googl" TargetMode="External" Id="rId28" /><Relationship Type="http://schemas.openxmlformats.org/officeDocument/2006/relationships/hyperlink" Target="https://www.tradingview.com/chart/Q1c5VWwD/?symbol=meta" TargetMode="External" Id="rId29" /><Relationship Type="http://schemas.openxmlformats.org/officeDocument/2006/relationships/hyperlink" Target="https://www.tradingview.com/chart/Q1c5VWwD/?symbol=rklb" TargetMode="External" Id="rId30" /><Relationship Type="http://schemas.openxmlformats.org/officeDocument/2006/relationships/hyperlink" Target="https://www.tradingview.com/chart/Q1c5VWwD/?symbol=asts" TargetMode="External" Id="rId31" /><Relationship Type="http://schemas.openxmlformats.org/officeDocument/2006/relationships/hyperlink" Target="https://www.tradingview.com/chart/Q1c5VWwD/?symbol=lunr" TargetMode="External" Id="rId32" /><Relationship Type="http://schemas.openxmlformats.org/officeDocument/2006/relationships/hyperlink" Target="https://www.tradingview.com/chart/Q1c5VWwD/?symbol=pl" TargetMode="External" Id="rId33" /><Relationship Type="http://schemas.openxmlformats.org/officeDocument/2006/relationships/hyperlink" Target="https://www.tradingview.com/chart/Q1c5VWwD/?symbol=rdw" TargetMode="External" Id="rId34" /><Relationship Type="http://schemas.openxmlformats.org/officeDocument/2006/relationships/hyperlink" Target="https://www.tradingview.com/chart/Q1c5VWwD/?symbol=tsm" TargetMode="External" Id="rId35" /><Relationship Type="http://schemas.openxmlformats.org/officeDocument/2006/relationships/hyperlink" Target="https://www.tradingview.com/chart/Q1c5VWwD/?symbol=intc" TargetMode="External" Id="rId36" /><Relationship Type="http://schemas.openxmlformats.org/officeDocument/2006/relationships/hyperlink" Target="https://www.tradingview.com/chart/Q1c5VWwD/?symbol=gfs" TargetMode="External" Id="rId37" /><Relationship Type="http://schemas.openxmlformats.org/officeDocument/2006/relationships/hyperlink" Target="https://www.tradingview.com/chart/Q1c5VWwD/?symbol=umc" TargetMode="External" Id="rId38" /><Relationship Type="http://schemas.openxmlformats.org/officeDocument/2006/relationships/hyperlink" Target="https://www.tradingview.com/chart/Q1c5VWwD/?symbol=vrt" TargetMode="External" Id="rId39" /><Relationship Type="http://schemas.openxmlformats.org/officeDocument/2006/relationships/hyperlink" Target="https://www.tradingview.com/chart/Q1c5VWwD/?symbol=smci" TargetMode="External" Id="rId40" /><Relationship Type="http://schemas.openxmlformats.org/officeDocument/2006/relationships/hyperlink" Target="https://www.tradingview.com/chart/Q1c5VWwD/?symbol=anet" TargetMode="External" Id="rId41" /><Relationship Type="http://schemas.openxmlformats.org/officeDocument/2006/relationships/hyperlink" Target="https://www.tradingview.com/chart/Q1c5VWwD/?symbol=mod" TargetMode="External" Id="rId42" /><Relationship Type="http://schemas.openxmlformats.org/officeDocument/2006/relationships/hyperlink" Target="https://www.tradingview.com/chart/Q1c5VWwD/?symbol=cien" TargetMode="External" Id="rId43" /><Relationship Type="http://schemas.openxmlformats.org/officeDocument/2006/relationships/hyperlink" Target="https://www.tradingview.com/chart/Q1c5VWwD/?symbol=pld" TargetMode="External" Id="rId44" /><Relationship Type="http://schemas.openxmlformats.org/officeDocument/2006/relationships/hyperlink" Target="https://www.tradingview.com/chart/Q1c5VWwD/?symbol=egp" TargetMode="External" Id="rId45" /><Relationship Type="http://schemas.openxmlformats.org/officeDocument/2006/relationships/hyperlink" Target="https://www.tradingview.com/chart/Q1c5VWwD/?symbol=fr" TargetMode="External" Id="rId46" /><Relationship Type="http://schemas.openxmlformats.org/officeDocument/2006/relationships/hyperlink" Target="https://www.tradingview.com/chart/Q1c5VWwD/?symbol=stag" TargetMode="External" Id="rId47" /><Relationship Type="http://schemas.openxmlformats.org/officeDocument/2006/relationships/hyperlink" Target="https://www.tradingview.com/chart/Q1c5VWwD/?symbol=eqix" TargetMode="External" Id="rId48" /><Relationship Type="http://schemas.openxmlformats.org/officeDocument/2006/relationships/hyperlink" Target="https://www.tradingview.com/chart/Q1c5VWwD/?symbol=dlr" TargetMode="External" Id="rId49" /><Relationship Type="http://schemas.openxmlformats.org/officeDocument/2006/relationships/hyperlink" Target="https://www.tradingview.com/chart/Q1c5VWwD/?symbol=avav" TargetMode="External" Id="rId50" /><Relationship Type="http://schemas.openxmlformats.org/officeDocument/2006/relationships/hyperlink" Target="https://www.tradingview.com/chart/Q1c5VWwD/?symbol=ktos" TargetMode="External" Id="rId51" /><Relationship Type="http://schemas.openxmlformats.org/officeDocument/2006/relationships/hyperlink" Target="https://www.tradingview.com/chart/Q1c5VWwD/?symbol=rcat" TargetMode="External" Id="rId52" /><Relationship Type="http://schemas.openxmlformats.org/officeDocument/2006/relationships/hyperlink" Target="https://www.tradingview.com/chart/Q1c5VWwD/?symbol=onds" TargetMode="External" Id="rId53" /><Relationship Type="http://schemas.openxmlformats.org/officeDocument/2006/relationships/hyperlink" Target="https://www.tradingview.com/chart/Q1c5VWwD/?symbol=nvda" TargetMode="External" Id="rId54" /><Relationship Type="http://schemas.openxmlformats.org/officeDocument/2006/relationships/hyperlink" Target="https://www.tradingview.com/chart/Q1c5VWwD/?symbol=amd" TargetMode="External" Id="rId55" /><Relationship Type="http://schemas.openxmlformats.org/officeDocument/2006/relationships/hyperlink" Target="https://www.tradingview.com/chart/Q1c5VWwD/?symbol=avgo" TargetMode="External" Id="rId56" /><Relationship Type="http://schemas.openxmlformats.org/officeDocument/2006/relationships/hyperlink" Target="https://www.tradingview.com/chart/Q1c5VWwD/?symbol=mrvl" TargetMode="External" Id="rId57" /><Relationship Type="http://schemas.openxmlformats.org/officeDocument/2006/relationships/hyperlink" Target="https://www.tradingview.com/chart/Q1c5VWwD/?symbol=ionq" TargetMode="External" Id="rId58" /><Relationship Type="http://schemas.openxmlformats.org/officeDocument/2006/relationships/hyperlink" Target="https://www.tradingview.com/chart/Q1c5VWwD/?symbol=rgti" TargetMode="External" Id="rId59" /><Relationship Type="http://schemas.openxmlformats.org/officeDocument/2006/relationships/hyperlink" Target="https://www.tradingview.com/chart/Q1c5VWwD/?symbol=qbts" TargetMode="External" Id="rId60" /><Relationship Type="http://schemas.openxmlformats.org/officeDocument/2006/relationships/hyperlink" Target="https://www.tradingview.com/chart/Q1c5VWwD/?symbol=qubt" TargetMode="External" Id="rId61" /><Relationship Type="http://schemas.openxmlformats.org/officeDocument/2006/relationships/hyperlink" Target="https://www.tradingview.com/chart/Q1c5VWwD/?symbol=cb" TargetMode="External" Id="rId62" /><Relationship Type="http://schemas.openxmlformats.org/officeDocument/2006/relationships/hyperlink" Target="https://www.tradingview.com/chart/Q1c5VWwD/?symbol=trv" TargetMode="External" Id="rId63" /><Relationship Type="http://schemas.openxmlformats.org/officeDocument/2006/relationships/hyperlink" Target="https://www.tradingview.com/chart/Q1c5VWwD/?symbol=pgr" TargetMode="External" Id="rId64" /><Relationship Type="http://schemas.openxmlformats.org/officeDocument/2006/relationships/hyperlink" Target="https://www.tradingview.com/chart/Q1c5VWwD/?symbol=aig" TargetMode="External" Id="rId65" /><Relationship Type="http://schemas.openxmlformats.org/officeDocument/2006/relationships/hyperlink" Target="https://www.tradingview.com/chart/Q1c5VWwD/?symbol=rnr" TargetMode="External" Id="rId66" /><Relationship Type="http://schemas.openxmlformats.org/officeDocument/2006/relationships/hyperlink" Target="https://www.tradingview.com/chart/Q1c5VWwD/?symbol=dhi" TargetMode="External" Id="rId67" /><Relationship Type="http://schemas.openxmlformats.org/officeDocument/2006/relationships/hyperlink" Target="https://www.tradingview.com/chart/Q1c5VWwD/?symbol=len" TargetMode="External" Id="rId68" /><Relationship Type="http://schemas.openxmlformats.org/officeDocument/2006/relationships/hyperlink" Target="https://www.tradingview.com/chart/Q1c5VWwD/?symbol=phm" TargetMode="External" Id="rId69" /><Relationship Type="http://schemas.openxmlformats.org/officeDocument/2006/relationships/hyperlink" Target="https://www.tradingview.com/chart/Q1c5VWwD/?symbol=nvr" TargetMode="External" Id="rId70" /><Relationship Type="http://schemas.openxmlformats.org/officeDocument/2006/relationships/hyperlink" Target="https://www.tradingview.com/chart/Q1c5VWwD/?symbol=tol" TargetMode="External" Id="rId71" /><Relationship Type="http://schemas.openxmlformats.org/officeDocument/2006/relationships/hyperlink" Target="https://www.tradingview.com/chart/Q1c5VWwD/?symbol=lly" TargetMode="External" Id="rId72" /><Relationship Type="http://schemas.openxmlformats.org/officeDocument/2006/relationships/hyperlink" Target="https://www.tradingview.com/chart/Q1c5VWwD/?symbol=jnj" TargetMode="External" Id="rId73" /><Relationship Type="http://schemas.openxmlformats.org/officeDocument/2006/relationships/hyperlink" Target="https://www.tradingview.com/chart/Q1c5VWwD/?symbol=pfe" TargetMode="External" Id="rId74" /><Relationship Type="http://schemas.openxmlformats.org/officeDocument/2006/relationships/hyperlink" Target="https://www.tradingview.com/chart/Q1c5VWwD/?symbol=mrk" TargetMode="External" Id="rId75" /><Relationship Type="http://schemas.openxmlformats.org/officeDocument/2006/relationships/hyperlink" Target="https://www.tradingview.com/chart/Q1c5VWwD/?symbol=abbv" TargetMode="External" Id="rId76" /><Relationship Type="http://schemas.openxmlformats.org/officeDocument/2006/relationships/hyperlink" Target="https://www.tradingview.com/chart/Q1c5VWwD/?symbol=bmy" TargetMode="External" Id="rId77" /><Relationship Type="http://schemas.openxmlformats.org/officeDocument/2006/relationships/hyperlink" Target="https://www.tradingview.com/chart/Q1c5VWwD/?symbol=amgn" TargetMode="External" Id="rId78" /><Relationship Type="http://schemas.openxmlformats.org/officeDocument/2006/relationships/hyperlink" Target="https://www.tradingview.com/chart/Q1c5VWwD/?symbol=gild" TargetMode="External" Id="rId79" /><Relationship Type="http://schemas.openxmlformats.org/officeDocument/2006/relationships/hyperlink" Target="https://www.tradingview.com/chart/Q1c5VWwD/?symbol=regn" TargetMode="External" Id="rId80" /><Relationship Type="http://schemas.openxmlformats.org/officeDocument/2006/relationships/hyperlink" Target="https://www.tradingview.com/chart/Q1c5VWwD/?symbol=vrtx" TargetMode="External" Id="rId81" /><Relationship Type="http://schemas.openxmlformats.org/officeDocument/2006/relationships/hyperlink" Target="https://www.tradingview.com/chart/Q1c5VWwD/?symbol=biib" TargetMode="External" Id="rId82" /><Relationship Type="http://schemas.openxmlformats.org/officeDocument/2006/relationships/hyperlink" Target="https://www.tradingview.com/chart/Q1c5VWwD/?symbol=hca" TargetMode="External" Id="rId83" /><Relationship Type="http://schemas.openxmlformats.org/officeDocument/2006/relationships/hyperlink" Target="https://www.tradingview.com/chart/Q1c5VWwD/?symbol=thc" TargetMode="External" Id="rId84" /><Relationship Type="http://schemas.openxmlformats.org/officeDocument/2006/relationships/hyperlink" Target="https://www.tradingview.com/chart/Q1c5VWwD/?symbol=uhs" TargetMode="External" Id="rId85" /><Relationship Type="http://schemas.openxmlformats.org/officeDocument/2006/relationships/hyperlink" Target="https://www.tradingview.com/chart/Q1c5VWwD/?symbol=ehc" TargetMode="External" Id="rId86" /><Relationship Type="http://schemas.openxmlformats.org/officeDocument/2006/relationships/hyperlink" Target="https://www.tradingview.com/chart/Q1c5VWwD/?symbol=etn" TargetMode="External" Id="rId87" /><Relationship Type="http://schemas.openxmlformats.org/officeDocument/2006/relationships/hyperlink" Target="https://www.tradingview.com/chart/Q1c5VWwD/?symbol=emr" TargetMode="External" Id="rId88" /><Relationship Type="http://schemas.openxmlformats.org/officeDocument/2006/relationships/hyperlink" Target="https://www.tradingview.com/chart/Q1c5VWwD/?symbol=pwr" TargetMode="External" Id="rId89" /><Relationship Type="http://schemas.openxmlformats.org/officeDocument/2006/relationships/hyperlink" Target="https://www.tradingview.com/chart/Q1c5VWwD/?symbol=hubb" TargetMode="External" Id="rId90" /><Relationship Type="http://schemas.openxmlformats.org/officeDocument/2006/relationships/hyperlink" Target="https://www.tradingview.com/chart/Q1c5VWwD/?symbol=gev" TargetMode="External" Id="rId91" /><Relationship Type="http://schemas.openxmlformats.org/officeDocument/2006/relationships/hyperlink" Target="https://www.tradingview.com/chart/Q1c5VWwD/?symbol=cohr" TargetMode="External" Id="rId92" /><Relationship Type="http://schemas.openxmlformats.org/officeDocument/2006/relationships/hyperlink" Target="https://www.tradingview.com/chart/Q1c5VWwD/?symbol=lite" TargetMode="External" Id="rId93" /><Relationship Type="http://schemas.openxmlformats.org/officeDocument/2006/relationships/hyperlink" Target="https://www.tradingview.com/chart/Q1c5VWwD/?symbol=aaoi" TargetMode="External" Id="rId94" /><Relationship Type="http://schemas.openxmlformats.org/officeDocument/2006/relationships/hyperlink" Target="https://www.tradingview.com/chart/Q1c5VWwD/?symbol=crdo" TargetMode="External" Id="rId95" /><Relationship Type="http://schemas.openxmlformats.org/officeDocument/2006/relationships/hyperlink" Target="https://www.tradingview.com/chart/Q1c5VWwD/?symbol=poet" TargetMode="External" Id="rId96" /><Relationship Type="http://schemas.openxmlformats.org/officeDocument/2006/relationships/hyperlink" Target="https://www.tradingview.com/chart/Q1c5VWwD/?symbol=snps" TargetMode="External" Id="rId97" /><Relationship Type="http://schemas.openxmlformats.org/officeDocument/2006/relationships/hyperlink" Target="https://www.tradingview.com/chart/Q1c5VWwD/?symbol=cdns" TargetMode="External" Id="rId98" /><Relationship Type="http://schemas.openxmlformats.org/officeDocument/2006/relationships/hyperlink" Target="https://www.tradingview.com/chart/Q1c5VWwD/?symbol=arm" TargetMode="External" Id="rId99" /><Relationship Type="http://schemas.openxmlformats.org/officeDocument/2006/relationships/hyperlink" Target="https://www.tradingview.com/chart/Q1c5VWwD/?symbol=rok" TargetMode="External" Id="rId100" /><Relationship Type="http://schemas.openxmlformats.org/officeDocument/2006/relationships/hyperlink" Target="https://www.tradingview.com/chart/Q1c5VWwD/?symbol=sym" TargetMode="External" Id="rId101" /><Relationship Type="http://schemas.openxmlformats.org/officeDocument/2006/relationships/hyperlink" Target="https://www.tradingview.com/chart/Q1c5VWwD/?symbol=ndsn" TargetMode="External" Id="rId102" /><Relationship Type="http://schemas.openxmlformats.org/officeDocument/2006/relationships/hyperlink" Target="https://www.tradingview.com/chart/Q1c5VWwD/?symbol=ter" TargetMode="External" Id="rId103" /><Relationship Type="http://schemas.openxmlformats.org/officeDocument/2006/relationships/hyperlink" Target="https://www.tradingview.com/chart/Q1c5VWwD/?symbol=fcx" TargetMode="External" Id="rId104" /><Relationship Type="http://schemas.openxmlformats.org/officeDocument/2006/relationships/hyperlink" Target="https://www.tradingview.com/chart/Q1c5VWwD/?symbol=scco" TargetMode="External" Id="rId105" /><Relationship Type="http://schemas.openxmlformats.org/officeDocument/2006/relationships/hyperlink" Target="https://www.tradingview.com/chart/Q1c5VWwD/?symbol=teck" TargetMode="External" Id="rId106" /><Relationship Type="http://schemas.openxmlformats.org/officeDocument/2006/relationships/hyperlink" Target="https://www.tradingview.com/chart/Q1c5VWwD/?symbol=hbm" TargetMode="External" Id="rId107" /><Relationship Type="http://schemas.openxmlformats.org/officeDocument/2006/relationships/hyperlink" Target="https://www.tradingview.com/chart/Q1c5VWwD/?symbol=pg" TargetMode="External" Id="rId108" /><Relationship Type="http://schemas.openxmlformats.org/officeDocument/2006/relationships/hyperlink" Target="https://www.tradingview.com/chart/Q1c5VWwD/?symbol=cl" TargetMode="External" Id="rId109" /><Relationship Type="http://schemas.openxmlformats.org/officeDocument/2006/relationships/hyperlink" Target="https://www.tradingview.com/chart/Q1c5VWwD/?symbol=kmb" TargetMode="External" Id="rId110" /><Relationship Type="http://schemas.openxmlformats.org/officeDocument/2006/relationships/hyperlink" Target="https://www.tradingview.com/chart/Q1c5VWwD/?symbol=chd" TargetMode="External" Id="rId111" /><Relationship Type="http://schemas.openxmlformats.org/officeDocument/2006/relationships/hyperlink" Target="https://www.tradingview.com/chart/Q1c5VWwD/?symbol=el" TargetMode="External" Id="rId112" /><Relationship Type="http://schemas.openxmlformats.org/officeDocument/2006/relationships/hyperlink" Target="https://www.tradingview.com/chart/Q1c5VWwD/?symbol=abt" TargetMode="External" Id="rId113" /><Relationship Type="http://schemas.openxmlformats.org/officeDocument/2006/relationships/hyperlink" Target="https://www.tradingview.com/chart/Q1c5VWwD/?symbol=mdt" TargetMode="External" Id="rId114" /><Relationship Type="http://schemas.openxmlformats.org/officeDocument/2006/relationships/hyperlink" Target="https://www.tradingview.com/chart/Q1c5VWwD/?symbol=syk" TargetMode="External" Id="rId115" /><Relationship Type="http://schemas.openxmlformats.org/officeDocument/2006/relationships/hyperlink" Target="https://www.tradingview.com/chart/Q1c5VWwD/?symbol=bsx" TargetMode="External" Id="rId116" /><Relationship Type="http://schemas.openxmlformats.org/officeDocument/2006/relationships/hyperlink" Target="https://www.tradingview.com/chart/Q1c5VWwD/?symbol=isrg" TargetMode="External" Id="rId117" /><Relationship Type="http://schemas.openxmlformats.org/officeDocument/2006/relationships/hyperlink" Target="https://www.tradingview.com/chart/Q1c5VWwD/?symbol=nem" TargetMode="External" Id="rId118" /><Relationship Type="http://schemas.openxmlformats.org/officeDocument/2006/relationships/hyperlink" Target="https://www.tradingview.com/chart/Q1c5VWwD/?symbol=gold" TargetMode="External" Id="rId119" /><Relationship Type="http://schemas.openxmlformats.org/officeDocument/2006/relationships/hyperlink" Target="https://www.tradingview.com/chart/Q1c5VWwD/?symbol=aem" TargetMode="External" Id="rId120" /><Relationship Type="http://schemas.openxmlformats.org/officeDocument/2006/relationships/hyperlink" Target="https://www.tradingview.com/chart/Q1c5VWwD/?symbol=au" TargetMode="External" Id="rId121" /><Relationship Type="http://schemas.openxmlformats.org/officeDocument/2006/relationships/hyperlink" Target="https://www.tradingview.com/chart/Q1c5VWwD/?symbol=kgc" TargetMode="External" Id="rId122" /><Relationship Type="http://schemas.openxmlformats.org/officeDocument/2006/relationships/hyperlink" Target="https://www.tradingview.com/chart/Q1c5VWwD/?symbol=rgld" TargetMode="External" Id="rId123" /><Relationship Type="http://schemas.openxmlformats.org/officeDocument/2006/relationships/hyperlink" Target="https://www.tradingview.com/chart/Q1c5VWwD/?symbol=bxp" TargetMode="External" Id="rId124" /><Relationship Type="http://schemas.openxmlformats.org/officeDocument/2006/relationships/hyperlink" Target="https://www.tradingview.com/chart/Q1c5VWwD/?symbol=vno" TargetMode="External" Id="rId125" /><Relationship Type="http://schemas.openxmlformats.org/officeDocument/2006/relationships/hyperlink" Target="https://www.tradingview.com/chart/Q1c5VWwD/?symbol=slg" TargetMode="External" Id="rId126" /><Relationship Type="http://schemas.openxmlformats.org/officeDocument/2006/relationships/hyperlink" Target="https://www.tradingview.com/chart/Q1c5VWwD/?symbol=hiw" TargetMode="External" Id="rId127" /><Relationship Type="http://schemas.openxmlformats.org/officeDocument/2006/relationships/hyperlink" Target="https://www.tradingview.com/chart/Q1c5VWwD/?symbol=legn" TargetMode="External" Id="rId128" /><Relationship Type="http://schemas.openxmlformats.org/officeDocument/2006/relationships/hyperlink" Target="https://www.tradingview.com/chart/Q1c5VWwD/?symbol=iova" TargetMode="External" Id="rId129" /><Relationship Type="http://schemas.openxmlformats.org/officeDocument/2006/relationships/hyperlink" Target="https://www.tradingview.com/chart/Q1c5VWwD/?symbol=allo" TargetMode="External" Id="rId130" /><Relationship Type="http://schemas.openxmlformats.org/officeDocument/2006/relationships/hyperlink" Target="https://www.tradingview.com/chart/Q1c5VWwD/?symbol=arvn" TargetMode="External" Id="rId131" /><Relationship Type="http://schemas.openxmlformats.org/officeDocument/2006/relationships/hyperlink" Target="https://www.tradingview.com/chart/Q1c5VWwD/?symbol=rvmd" TargetMode="External" Id="rId132" /><Relationship Type="http://schemas.openxmlformats.org/officeDocument/2006/relationships/hyperlink" Target="https://www.tradingview.com/chart/Q1c5VWwD/?symbol=nktx" TargetMode="External" Id="rId133" /><Relationship Type="http://schemas.openxmlformats.org/officeDocument/2006/relationships/hyperlink" Target="https://www.tradingview.com/chart/Q1c5VWwD/?symbol=fate" TargetMode="External" Id="rId134" /><Relationship Type="http://schemas.openxmlformats.org/officeDocument/2006/relationships/hyperlink" Target="https://www.tradingview.com/chart/Q1c5VWwD/?symbol=crvs" TargetMode="External" Id="rId135" /><Relationship Type="http://schemas.openxmlformats.org/officeDocument/2006/relationships/hyperlink" Target="https://www.tradingview.com/chart/Q1c5VWwD/?symbol=msft" TargetMode="External" Id="rId136" /><Relationship Type="http://schemas.openxmlformats.org/officeDocument/2006/relationships/hyperlink" Target="https://www.tradingview.com/chart/Q1c5VWwD/?symbol=amzn" TargetMode="External" Id="rId137" /><Relationship Type="http://schemas.openxmlformats.org/officeDocument/2006/relationships/hyperlink" Target="https://www.tradingview.com/chart/Q1c5VWwD/?symbol=googl" TargetMode="External" Id="rId138" /><Relationship Type="http://schemas.openxmlformats.org/officeDocument/2006/relationships/hyperlink" Target="https://www.tradingview.com/chart/Q1c5VWwD/?symbol=nbis" TargetMode="External" Id="rId139" /><Relationship Type="http://schemas.openxmlformats.org/officeDocument/2006/relationships/hyperlink" Target="https://www.tradingview.com/chart/Q1c5VWwD/?symbol=crwv" TargetMode="External" Id="rId140" /><Relationship Type="http://schemas.openxmlformats.org/officeDocument/2006/relationships/hyperlink" Target="https://www.tradingview.com/chart/Q1c5VWwD/?symbol=crsp" TargetMode="External" Id="rId141" /><Relationship Type="http://schemas.openxmlformats.org/officeDocument/2006/relationships/hyperlink" Target="https://www.tradingview.com/chart/Q1c5VWwD/?symbol=ntla" TargetMode="External" Id="rId142" /><Relationship Type="http://schemas.openxmlformats.org/officeDocument/2006/relationships/hyperlink" Target="https://www.tradingview.com/chart/Q1c5VWwD/?symbol=beam" TargetMode="External" Id="rId143" /><Relationship Type="http://schemas.openxmlformats.org/officeDocument/2006/relationships/hyperlink" Target="https://www.tradingview.com/chart/Q1c5VWwD/?symbol=dal" TargetMode="External" Id="rId144" /><Relationship Type="http://schemas.openxmlformats.org/officeDocument/2006/relationships/hyperlink" Target="https://www.tradingview.com/chart/Q1c5VWwD/?symbol=ual" TargetMode="External" Id="rId145" /><Relationship Type="http://schemas.openxmlformats.org/officeDocument/2006/relationships/hyperlink" Target="https://www.tradingview.com/chart/Q1c5VWwD/?symbol=aal" TargetMode="External" Id="rId146" /><Relationship Type="http://schemas.openxmlformats.org/officeDocument/2006/relationships/hyperlink" Target="https://www.tradingview.com/chart/Q1c5VWwD/?symbol=luv" TargetMode="External" Id="rId147" /><Relationship Type="http://schemas.openxmlformats.org/officeDocument/2006/relationships/hyperlink" Target="https://www.tradingview.com/chart/Q1c5VWwD/?symbol=met" TargetMode="External" Id="rId148" /><Relationship Type="http://schemas.openxmlformats.org/officeDocument/2006/relationships/hyperlink" Target="https://www.tradingview.com/chart/Q1c5VWwD/?symbol=pru" TargetMode="External" Id="rId149" /><Relationship Type="http://schemas.openxmlformats.org/officeDocument/2006/relationships/hyperlink" Target="https://www.tradingview.com/chart/Q1c5VWwD/?symbol=afl" TargetMode="External" Id="rId150" /><Relationship Type="http://schemas.openxmlformats.org/officeDocument/2006/relationships/hyperlink" Target="https://www.tradingview.com/chart/Q1c5VWwD/?symbol=lnc" TargetMode="External" Id="rId151" /><Relationship Type="http://schemas.openxmlformats.org/officeDocument/2006/relationships/hyperlink" Target="https://www.tradingview.com/chart/Q1c5VWwD/?symbol=eqh" TargetMode="External" Id="rId152" /><Relationship Type="http://schemas.openxmlformats.org/officeDocument/2006/relationships/hyperlink" Target="https://www.tradingview.com/chart/Q1c5VWwD/?symbol=amzn" TargetMode="External" Id="rId153" /><Relationship Type="http://schemas.openxmlformats.org/officeDocument/2006/relationships/hyperlink" Target="https://www.tradingview.com/chart/Q1c5VWwD/?symbol=shop" TargetMode="External" Id="rId154" /><Relationship Type="http://schemas.openxmlformats.org/officeDocument/2006/relationships/hyperlink" Target="https://www.tradingview.com/chart/Q1c5VWwD/?symbol=ebay" TargetMode="External" Id="rId155" /><Relationship Type="http://schemas.openxmlformats.org/officeDocument/2006/relationships/hyperlink" Target="https://www.tradingview.com/chart/Q1c5VWwD/?symbol=chwy" TargetMode="External" Id="rId156" /><Relationship Type="http://schemas.openxmlformats.org/officeDocument/2006/relationships/hyperlink" Target="https://www.tradingview.com/chart/Q1c5VWwD/?symbol=w" TargetMode="External" Id="rId157" /><Relationship Type="http://schemas.openxmlformats.org/officeDocument/2006/relationships/hyperlink" Target="https://www.tradingview.com/chart/Q1c5VWwD/?symbol=adp" TargetMode="External" Id="rId158" /><Relationship Type="http://schemas.openxmlformats.org/officeDocument/2006/relationships/hyperlink" Target="https://www.tradingview.com/chart/Q1c5VWwD/?symbol=payx" TargetMode="External" Id="rId159" /><Relationship Type="http://schemas.openxmlformats.org/officeDocument/2006/relationships/hyperlink" Target="https://www.tradingview.com/chart/Q1c5VWwD/?symbol=man" TargetMode="External" Id="rId160" /><Relationship Type="http://schemas.openxmlformats.org/officeDocument/2006/relationships/hyperlink" Target="https://www.tradingview.com/chart/Q1c5VWwD/?symbol=rhi" TargetMode="External" Id="rId161" /><Relationship Type="http://schemas.openxmlformats.org/officeDocument/2006/relationships/hyperlink" Target="https://www.tradingview.com/chart/Q1c5VWwD/?symbol=ctas" TargetMode="External" Id="rId162" /><Relationship Type="http://schemas.openxmlformats.org/officeDocument/2006/relationships/hyperlink" Target="https://www.tradingview.com/chart/Q1c5VWwD/?symbol=dow" TargetMode="External" Id="rId163" /><Relationship Type="http://schemas.openxmlformats.org/officeDocument/2006/relationships/hyperlink" Target="https://www.tradingview.com/chart/Q1c5VWwD/?symbol=lyb" TargetMode="External" Id="rId164" /><Relationship Type="http://schemas.openxmlformats.org/officeDocument/2006/relationships/hyperlink" Target="https://www.tradingview.com/chart/Q1c5VWwD/?symbol=cf" TargetMode="External" Id="rId165" /><Relationship Type="http://schemas.openxmlformats.org/officeDocument/2006/relationships/hyperlink" Target="https://www.tradingview.com/chart/Q1c5VWwD/?symbol=mos" TargetMode="External" Id="rId166" /><Relationship Type="http://schemas.openxmlformats.org/officeDocument/2006/relationships/hyperlink" Target="https://www.tradingview.com/chart/Q1c5VWwD/?symbol=ntr" TargetMode="External" Id="rId167" /><Relationship Type="http://schemas.openxmlformats.org/officeDocument/2006/relationships/hyperlink" Target="https://www.tradingview.com/chart/Q1c5VWwD/?symbol=cat" TargetMode="External" Id="rId168" /><Relationship Type="http://schemas.openxmlformats.org/officeDocument/2006/relationships/hyperlink" Target="https://www.tradingview.com/chart/Q1c5VWwD/?symbol=de" TargetMode="External" Id="rId169" /><Relationship Type="http://schemas.openxmlformats.org/officeDocument/2006/relationships/hyperlink" Target="https://www.tradingview.com/chart/Q1c5VWwD/?symbol=cmi" TargetMode="External" Id="rId170" /><Relationship Type="http://schemas.openxmlformats.org/officeDocument/2006/relationships/hyperlink" Target="https://www.tradingview.com/chart/Q1c5VWwD/?symbol=pcar" TargetMode="External" Id="rId171" /><Relationship Type="http://schemas.openxmlformats.org/officeDocument/2006/relationships/hyperlink" Target="https://www.tradingview.com/chart/Q1c5VWwD/?symbol=hon" TargetMode="External" Id="rId172" /><Relationship Type="http://schemas.openxmlformats.org/officeDocument/2006/relationships/hyperlink" Target="https://www.tradingview.com/chart/Q1c5VWwD/?symbol=awk" TargetMode="External" Id="rId173" /><Relationship Type="http://schemas.openxmlformats.org/officeDocument/2006/relationships/hyperlink" Target="https://www.tradingview.com/chart/Q1c5VWwD/?symbol=wtrg" TargetMode="External" Id="rId174" /><Relationship Type="http://schemas.openxmlformats.org/officeDocument/2006/relationships/hyperlink" Target="https://www.tradingview.com/chart/Q1c5VWwD/?symbol=cwt" TargetMode="External" Id="rId175" /><Relationship Type="http://schemas.openxmlformats.org/officeDocument/2006/relationships/hyperlink" Target="https://www.tradingview.com/chart/Q1c5VWwD/?symbol=awr" TargetMode="External" Id="rId176" /><Relationship Type="http://schemas.openxmlformats.org/officeDocument/2006/relationships/hyperlink" Target="https://www.tradingview.com/chart/Q1c5VWwD/?symbol=hto" TargetMode="External" Id="rId177" /><Relationship Type="http://schemas.openxmlformats.org/officeDocument/2006/relationships/hyperlink" Target="https://www.tradingview.com/chart/Q1c5VWwD/?symbol=amt" TargetMode="External" Id="rId178" /><Relationship Type="http://schemas.openxmlformats.org/officeDocument/2006/relationships/hyperlink" Target="https://www.tradingview.com/chart/Q1c5VWwD/?symbol=cci" TargetMode="External" Id="rId179" /><Relationship Type="http://schemas.openxmlformats.org/officeDocument/2006/relationships/hyperlink" Target="https://www.tradingview.com/chart/Q1c5VWwD/?symbol=sbac" TargetMode="External" Id="rId180" /><Relationship Type="http://schemas.openxmlformats.org/officeDocument/2006/relationships/hyperlink" Target="https://www.tradingview.com/chart/Q1c5VWwD/?symbol=nke" TargetMode="External" Id="rId181" /><Relationship Type="http://schemas.openxmlformats.org/officeDocument/2006/relationships/hyperlink" Target="https://www.tradingview.com/chart/Q1c5VWwD/?symbol=lulu" TargetMode="External" Id="rId182" /><Relationship Type="http://schemas.openxmlformats.org/officeDocument/2006/relationships/hyperlink" Target="https://www.tradingview.com/chart/Q1c5VWwD/?symbol=rl" TargetMode="External" Id="rId183" /><Relationship Type="http://schemas.openxmlformats.org/officeDocument/2006/relationships/hyperlink" Target="https://www.tradingview.com/chart/Q1c5VWwD/?symbol=deck" TargetMode="External" Id="rId184" /><Relationship Type="http://schemas.openxmlformats.org/officeDocument/2006/relationships/hyperlink" Target="https://www.tradingview.com/chart/Q1c5VWwD/?symbol=onon" TargetMode="External" Id="rId185" /><Relationship Type="http://schemas.openxmlformats.org/officeDocument/2006/relationships/hyperlink" Target="https://www.tradingview.com/chart/Q1c5VWwD/?symbol=mu" TargetMode="External" Id="rId186" /><Relationship Type="http://schemas.openxmlformats.org/officeDocument/2006/relationships/hyperlink" Target="https://www.tradingview.com/chart/Q1c5VWwD/?symbol=wdc" TargetMode="External" Id="rId187" /><Relationship Type="http://schemas.openxmlformats.org/officeDocument/2006/relationships/hyperlink" Target="https://www.tradingview.com/chart/Q1c5VWwD/?symbol=sndk" TargetMode="External" Id="rId188" /><Relationship Type="http://schemas.openxmlformats.org/officeDocument/2006/relationships/hyperlink" Target="https://www.tradingview.com/chart/Q1c5VWwD/?symbol=stx" TargetMode="External" Id="rId189" /><Relationship Type="http://schemas.openxmlformats.org/officeDocument/2006/relationships/hyperlink" Target="https://www.tradingview.com/chart/Q1c5VWwD/?symbol=acn" TargetMode="External" Id="rId190" /><Relationship Type="http://schemas.openxmlformats.org/officeDocument/2006/relationships/hyperlink" Target="https://www.tradingview.com/chart/Q1c5VWwD/?symbol=ibm" TargetMode="External" Id="rId191" /><Relationship Type="http://schemas.openxmlformats.org/officeDocument/2006/relationships/hyperlink" Target="https://www.tradingview.com/chart/Q1c5VWwD/?symbol=infy" TargetMode="External" Id="rId192" /><Relationship Type="http://schemas.openxmlformats.org/officeDocument/2006/relationships/hyperlink" Target="https://www.tradingview.com/chart/Q1c5VWwD/?symbol=ctsh" TargetMode="External" Id="rId193" /><Relationship Type="http://schemas.openxmlformats.org/officeDocument/2006/relationships/hyperlink" Target="https://www.tradingview.com/chart/Q1c5VWwD/?symbol=epam" TargetMode="External" Id="rId194" /><Relationship Type="http://schemas.openxmlformats.org/officeDocument/2006/relationships/hyperlink" Target="https://www.tradingview.com/chart/Q1c5VWwD/?symbol=cop" TargetMode="External" Id="rId195" /><Relationship Type="http://schemas.openxmlformats.org/officeDocument/2006/relationships/hyperlink" Target="https://www.tradingview.com/chart/Q1c5VWwD/?symbol=eog" TargetMode="External" Id="rId196" /><Relationship Type="http://schemas.openxmlformats.org/officeDocument/2006/relationships/hyperlink" Target="https://www.tradingview.com/chart/Q1c5VWwD/?symbol=fang" TargetMode="External" Id="rId197" /><Relationship Type="http://schemas.openxmlformats.org/officeDocument/2006/relationships/hyperlink" Target="https://www.tradingview.com/chart/Q1c5VWwD/?symbol=dvn" TargetMode="External" Id="rId198" /><Relationship Type="http://schemas.openxmlformats.org/officeDocument/2006/relationships/hyperlink" Target="https://www.tradingview.com/chart/Q1c5VWwD/?symbol=oxy" TargetMode="External" Id="rId199" /><Relationship Type="http://schemas.openxmlformats.org/officeDocument/2006/relationships/hyperlink" Target="https://www.tradingview.com/chart/Q1c5VWwD/?symbol=xom" TargetMode="External" Id="rId200" /><Relationship Type="http://schemas.openxmlformats.org/officeDocument/2006/relationships/hyperlink" Target="https://www.tradingview.com/chart/Q1c5VWwD/?symbol=cvx" TargetMode="External" Id="rId201" /><Relationship Type="http://schemas.openxmlformats.org/officeDocument/2006/relationships/hyperlink" Target="https://www.tradingview.com/chart/Q1c5VWwD/?symbol=gis" TargetMode="External" Id="rId202" /><Relationship Type="http://schemas.openxmlformats.org/officeDocument/2006/relationships/hyperlink" Target="https://www.tradingview.com/chart/Q1c5VWwD/?symbol=khc" TargetMode="External" Id="rId203" /><Relationship Type="http://schemas.openxmlformats.org/officeDocument/2006/relationships/hyperlink" Target="https://www.tradingview.com/chart/Q1c5VWwD/?symbol=hsy" TargetMode="External" Id="rId204" /><Relationship Type="http://schemas.openxmlformats.org/officeDocument/2006/relationships/hyperlink" Target="https://www.tradingview.com/chart/Q1c5VWwD/?symbol=cag" TargetMode="External" Id="rId205" /><Relationship Type="http://schemas.openxmlformats.org/officeDocument/2006/relationships/hyperlink" Target="https://www.tradingview.com/chart/Q1c5VWwD/?symbol=txn" TargetMode="External" Id="rId206" /><Relationship Type="http://schemas.openxmlformats.org/officeDocument/2006/relationships/hyperlink" Target="https://www.tradingview.com/chart/Q1c5VWwD/?symbol=adi" TargetMode="External" Id="rId207" /><Relationship Type="http://schemas.openxmlformats.org/officeDocument/2006/relationships/hyperlink" Target="https://www.tradingview.com/chart/Q1c5VWwD/?symbol=on" TargetMode="External" Id="rId208" /><Relationship Type="http://schemas.openxmlformats.org/officeDocument/2006/relationships/hyperlink" Target="https://www.tradingview.com/chart/Q1c5VWwD/?symbol=mpwr" TargetMode="External" Id="rId209" /><Relationship Type="http://schemas.openxmlformats.org/officeDocument/2006/relationships/hyperlink" Target="https://www.tradingview.com/chart/Q1c5VWwD/?symbol=nxpi" TargetMode="External" Id="rId210" /><Relationship Type="http://schemas.openxmlformats.org/officeDocument/2006/relationships/hyperlink" Target="https://www.tradingview.com/chart/Q1c5VWwD/?symbol=wmt" TargetMode="External" Id="rId211" /><Relationship Type="http://schemas.openxmlformats.org/officeDocument/2006/relationships/hyperlink" Target="https://www.tradingview.com/chart/Q1c5VWwD/?symbol=cost" TargetMode="External" Id="rId212" /><Relationship Type="http://schemas.openxmlformats.org/officeDocument/2006/relationships/hyperlink" Target="https://www.tradingview.com/chart/Q1c5VWwD/?symbol=kr" TargetMode="External" Id="rId213" /><Relationship Type="http://schemas.openxmlformats.org/officeDocument/2006/relationships/hyperlink" Target="https://www.tradingview.com/chart/Q1c5VWwD/?symbol=bj" TargetMode="External" Id="rId214" /><Relationship Type="http://schemas.openxmlformats.org/officeDocument/2006/relationships/hyperlink" Target="https://www.tradingview.com/chart/Q1c5VWwD/?symbol=aci" TargetMode="External" Id="rId215" /><Relationship Type="http://schemas.openxmlformats.org/officeDocument/2006/relationships/hyperlink" Target="https://www.tradingview.com/chart/Q1c5VWwD/?symbol=psa" TargetMode="External" Id="rId216" /><Relationship Type="http://schemas.openxmlformats.org/officeDocument/2006/relationships/hyperlink" Target="https://www.tradingview.com/chart/Q1c5VWwD/?symbol=exr" TargetMode="External" Id="rId217" /><Relationship Type="http://schemas.openxmlformats.org/officeDocument/2006/relationships/hyperlink" Target="https://www.tradingview.com/chart/Q1c5VWwD/?symbol=vici" TargetMode="External" Id="rId218" /><Relationship Type="http://schemas.openxmlformats.org/officeDocument/2006/relationships/hyperlink" Target="https://www.tradingview.com/chart/Q1c5VWwD/?symbol=glpi" TargetMode="External" Id="rId219" /><Relationship Type="http://schemas.openxmlformats.org/officeDocument/2006/relationships/hyperlink" Target="https://www.tradingview.com/chart/Q1c5VWwD/?symbol=lamr" TargetMode="External" Id="rId220" /><Relationship Type="http://schemas.openxmlformats.org/officeDocument/2006/relationships/hyperlink" Target="https://www.tradingview.com/chart/Q1c5VWwD/?symbol=crm" TargetMode="External" Id="rId221" /><Relationship Type="http://schemas.openxmlformats.org/officeDocument/2006/relationships/hyperlink" Target="https://www.tradingview.com/chart/Q1c5VWwD/?symbol=now" TargetMode="External" Id="rId222" /><Relationship Type="http://schemas.openxmlformats.org/officeDocument/2006/relationships/hyperlink" Target="https://www.tradingview.com/chart/Q1c5VWwD/?symbol=wday" TargetMode="External" Id="rId223" /><Relationship Type="http://schemas.openxmlformats.org/officeDocument/2006/relationships/hyperlink" Target="https://www.tradingview.com/chart/Q1c5VWwD/?symbol=adbe" TargetMode="External" Id="rId224" /><Relationship Type="http://schemas.openxmlformats.org/officeDocument/2006/relationships/hyperlink" Target="https://www.tradingview.com/chart/Q1c5VWwD/?symbol=team" TargetMode="External" Id="rId225" /><Relationship Type="http://schemas.openxmlformats.org/officeDocument/2006/relationships/hyperlink" Target="https://www.tradingview.com/chart/Q1c5VWwD/?symbol=coin" TargetMode="External" Id="rId226" /><Relationship Type="http://schemas.openxmlformats.org/officeDocument/2006/relationships/hyperlink" Target="https://www.tradingview.com/chart/Q1c5VWwD/?symbol=hood" TargetMode="External" Id="rId227" /><Relationship Type="http://schemas.openxmlformats.org/officeDocument/2006/relationships/hyperlink" Target="https://www.tradingview.com/chart/Q1c5VWwD/?symbol=crcl" TargetMode="External" Id="rId228" /><Relationship Type="http://schemas.openxmlformats.org/officeDocument/2006/relationships/hyperlink" Target="https://www.tradingview.com/chart/Q1c5VWwD/?symbol=mara" TargetMode="External" Id="rId229" /><Relationship Type="http://schemas.openxmlformats.org/officeDocument/2006/relationships/hyperlink" Target="https://www.tradingview.com/chart/Q1c5VWwD/?symbol=riot" TargetMode="External" Id="rId230" /><Relationship Type="http://schemas.openxmlformats.org/officeDocument/2006/relationships/hyperlink" Target="https://www.tradingview.com/chart/Q1c5VWwD/?symbol=iren" TargetMode="External" Id="rId231" /><Relationship Type="http://schemas.openxmlformats.org/officeDocument/2006/relationships/hyperlink" Target="https://www.tradingview.com/chart/Q1c5VWwD/?symbol=kmi" TargetMode="External" Id="rId232" /><Relationship Type="http://schemas.openxmlformats.org/officeDocument/2006/relationships/hyperlink" Target="https://www.tradingview.com/chart/Q1c5VWwD/?symbol=wmb" TargetMode="External" Id="rId233" /><Relationship Type="http://schemas.openxmlformats.org/officeDocument/2006/relationships/hyperlink" Target="https://www.tradingview.com/chart/Q1c5VWwD/?symbol=et" TargetMode="External" Id="rId234" /><Relationship Type="http://schemas.openxmlformats.org/officeDocument/2006/relationships/hyperlink" Target="https://www.tradingview.com/chart/Q1c5VWwD/?symbol=epd" TargetMode="External" Id="rId235" /><Relationship Type="http://schemas.openxmlformats.org/officeDocument/2006/relationships/hyperlink" Target="https://www.tradingview.com/chart/Q1c5VWwD/?symbol=oke" TargetMode="External" Id="rId236" /><Relationship Type="http://schemas.openxmlformats.org/officeDocument/2006/relationships/hyperlink" Target="https://www.tradingview.com/chart/Q1c5VWwD/?symbol=stz" TargetMode="External" Id="rId237" /><Relationship Type="http://schemas.openxmlformats.org/officeDocument/2006/relationships/hyperlink" Target="https://www.tradingview.com/chart/Q1c5VWwD/?symbol=bf.b" TargetMode="External" Id="rId238" /><Relationship Type="http://schemas.openxmlformats.org/officeDocument/2006/relationships/hyperlink" Target="https://www.tradingview.com/chart/Q1c5VWwD/?symbol=tap" TargetMode="External" Id="rId239" /><Relationship Type="http://schemas.openxmlformats.org/officeDocument/2006/relationships/hyperlink" Target="https://www.tradingview.com/chart/Q1c5VWwD/?symbol=deo" TargetMode="External" Id="rId240" /><Relationship Type="http://schemas.openxmlformats.org/officeDocument/2006/relationships/hyperlink" Target="https://www.tradingview.com/chart/Q1c5VWwD/?symbol=oklo" TargetMode="External" Id="rId241" /><Relationship Type="http://schemas.openxmlformats.org/officeDocument/2006/relationships/hyperlink" Target="https://www.tradingview.com/chart/Q1c5VWwD/?symbol=smr" TargetMode="External" Id="rId242" /><Relationship Type="http://schemas.openxmlformats.org/officeDocument/2006/relationships/hyperlink" Target="https://www.tradingview.com/chart/Q1c5VWwD/?symbol=nne" TargetMode="External" Id="rId243" /><Relationship Type="http://schemas.openxmlformats.org/officeDocument/2006/relationships/hyperlink" Target="https://www.tradingview.com/chart/Q1c5VWwD/?symbol=aspi" TargetMode="External" Id="rId244" /><Relationship Type="http://schemas.openxmlformats.org/officeDocument/2006/relationships/hyperlink" Target="https://www.tradingview.com/chart/Q1c5VWwD/?symbol=hims" TargetMode="External" Id="rId245" /><Relationship Type="http://schemas.openxmlformats.org/officeDocument/2006/relationships/hyperlink" Target="https://www.tradingview.com/chart/Q1c5VWwD/?symbol=tdoc" TargetMode="External" Id="rId246" /><Relationship Type="http://schemas.openxmlformats.org/officeDocument/2006/relationships/hyperlink" Target="https://www.tradingview.com/chart/Q1c5VWwD/?symbol=docs" TargetMode="External" Id="rId247" /><Relationship Type="http://schemas.openxmlformats.org/officeDocument/2006/relationships/hyperlink" Target="https://www.tradingview.com/chart/Q1c5VWwD/?symbol=oscr" TargetMode="External" Id="rId248" /><Relationship Type="http://schemas.openxmlformats.org/officeDocument/2006/relationships/hyperlink" Target="https://www.tradingview.com/chart/Q1c5VWwD/?symbol=duk" TargetMode="External" Id="rId249" /><Relationship Type="http://schemas.openxmlformats.org/officeDocument/2006/relationships/hyperlink" Target="https://www.tradingview.com/chart/Q1c5VWwD/?symbol=so" TargetMode="External" Id="rId250" /><Relationship Type="http://schemas.openxmlformats.org/officeDocument/2006/relationships/hyperlink" Target="https://www.tradingview.com/chart/Q1c5VWwD/?symbol=aep" TargetMode="External" Id="rId251" /><Relationship Type="http://schemas.openxmlformats.org/officeDocument/2006/relationships/hyperlink" Target="https://www.tradingview.com/chart/Q1c5VWwD/?symbol=d" TargetMode="External" Id="rId252" /><Relationship Type="http://schemas.openxmlformats.org/officeDocument/2006/relationships/hyperlink" Target="https://www.tradingview.com/chart/Q1c5VWwD/?symbol=xel" TargetMode="External" Id="rId253" /><Relationship Type="http://schemas.openxmlformats.org/officeDocument/2006/relationships/hyperlink" Target="https://www.tradingview.com/chart/Q1c5VWwD/?symbol=ko" TargetMode="External" Id="rId254" /><Relationship Type="http://schemas.openxmlformats.org/officeDocument/2006/relationships/hyperlink" Target="https://www.tradingview.com/chart/Q1c5VWwD/?symbol=pep" TargetMode="External" Id="rId255" /><Relationship Type="http://schemas.openxmlformats.org/officeDocument/2006/relationships/hyperlink" Target="https://www.tradingview.com/chart/Q1c5VWwD/?symbol=mnst" TargetMode="External" Id="rId256" /><Relationship Type="http://schemas.openxmlformats.org/officeDocument/2006/relationships/hyperlink" Target="https://www.tradingview.com/chart/Q1c5VWwD/?symbol=celh" TargetMode="External" Id="rId257" /><Relationship Type="http://schemas.openxmlformats.org/officeDocument/2006/relationships/hyperlink" Target="https://www.tradingview.com/chart/Q1c5VWwD/?symbol=kdp" TargetMode="External" Id="rId258" /><Relationship Type="http://schemas.openxmlformats.org/officeDocument/2006/relationships/hyperlink" Target="https://www.tradingview.com/chart/Q1c5VWwD/?symbol=v" TargetMode="External" Id="rId259" /><Relationship Type="http://schemas.openxmlformats.org/officeDocument/2006/relationships/hyperlink" Target="https://www.tradingview.com/chart/Q1c5VWwD/?symbol=ma" TargetMode="External" Id="rId260" /><Relationship Type="http://schemas.openxmlformats.org/officeDocument/2006/relationships/hyperlink" Target="https://www.tradingview.com/chart/Q1c5VWwD/?symbol=pypl" TargetMode="External" Id="rId261" /><Relationship Type="http://schemas.openxmlformats.org/officeDocument/2006/relationships/hyperlink" Target="https://www.tradingview.com/chart/Q1c5VWwD/?symbol=gpn" TargetMode="External" Id="rId262" /><Relationship Type="http://schemas.openxmlformats.org/officeDocument/2006/relationships/hyperlink" Target="https://www.tradingview.com/chart/Q1c5VWwD/?symbol=tost" TargetMode="External" Id="rId263" /><Relationship Type="http://schemas.openxmlformats.org/officeDocument/2006/relationships/hyperlink" Target="https://www.tradingview.com/chart/Q1c5VWwD/?symbol=paas" TargetMode="External" Id="rId264" /><Relationship Type="http://schemas.openxmlformats.org/officeDocument/2006/relationships/hyperlink" Target="https://www.tradingview.com/chart/Q1c5VWwD/?symbol=hl" TargetMode="External" Id="rId265" /><Relationship Type="http://schemas.openxmlformats.org/officeDocument/2006/relationships/hyperlink" Target="https://www.tradingview.com/chart/Q1c5VWwD/?symbol=ag" TargetMode="External" Id="rId266" /><Relationship Type="http://schemas.openxmlformats.org/officeDocument/2006/relationships/hyperlink" Target="https://www.tradingview.com/chart/Q1c5VWwD/?symbol=cde" TargetMode="External" Id="rId267" /><Relationship Type="http://schemas.openxmlformats.org/officeDocument/2006/relationships/hyperlink" Target="https://www.tradingview.com/chart/Q1c5VWwD/?symbol=vmc" TargetMode="External" Id="rId268" /><Relationship Type="http://schemas.openxmlformats.org/officeDocument/2006/relationships/hyperlink" Target="https://www.tradingview.com/chart/Q1c5VWwD/?symbol=mlm" TargetMode="External" Id="rId269" /><Relationship Type="http://schemas.openxmlformats.org/officeDocument/2006/relationships/hyperlink" Target="https://www.tradingview.com/chart/Q1c5VWwD/?symbol=crh" TargetMode="External" Id="rId270" /><Relationship Type="http://schemas.openxmlformats.org/officeDocument/2006/relationships/hyperlink" Target="https://www.tradingview.com/chart/Q1c5VWwD/?symbol=ip" TargetMode="External" Id="rId271" /><Relationship Type="http://schemas.openxmlformats.org/officeDocument/2006/relationships/hyperlink" Target="https://www.tradingview.com/chart/Q1c5VWwD/?symbol=pkg" TargetMode="External" Id="rId272" /><Relationship Type="http://schemas.openxmlformats.org/officeDocument/2006/relationships/hyperlink" Target="https://www.tradingview.com/chart/Q1c5VWwD/?symbol=lin" TargetMode="External" Id="rId273" /><Relationship Type="http://schemas.openxmlformats.org/officeDocument/2006/relationships/hyperlink" Target="https://www.tradingview.com/chart/Q1c5VWwD/?symbol=apd" TargetMode="External" Id="rId274" /><Relationship Type="http://schemas.openxmlformats.org/officeDocument/2006/relationships/hyperlink" Target="https://www.tradingview.com/chart/Q1c5VWwD/?symbol=shw" TargetMode="External" Id="rId275" /><Relationship Type="http://schemas.openxmlformats.org/officeDocument/2006/relationships/hyperlink" Target="https://www.tradingview.com/chart/Q1c5VWwD/?symbol=ecl" TargetMode="External" Id="rId276" /><Relationship Type="http://schemas.openxmlformats.org/officeDocument/2006/relationships/hyperlink" Target="https://www.tradingview.com/chart/Q1c5VWwD/?symbol=alb" TargetMode="External" Id="rId277" /><Relationship Type="http://schemas.openxmlformats.org/officeDocument/2006/relationships/hyperlink" Target="https://www.tradingview.com/chart/Q1c5VWwD/?symbol=hd" TargetMode="External" Id="rId278" /><Relationship Type="http://schemas.openxmlformats.org/officeDocument/2006/relationships/hyperlink" Target="https://www.tradingview.com/chart/Q1c5VWwD/?symbol=low" TargetMode="External" Id="rId279" /><Relationship Type="http://schemas.openxmlformats.org/officeDocument/2006/relationships/hyperlink" Target="https://www.tradingview.com/chart/Q1c5VWwD/?symbol=tjx" TargetMode="External" Id="rId280" /><Relationship Type="http://schemas.openxmlformats.org/officeDocument/2006/relationships/hyperlink" Target="https://www.tradingview.com/chart/Q1c5VWwD/?symbol=rost" TargetMode="External" Id="rId281" /><Relationship Type="http://schemas.openxmlformats.org/officeDocument/2006/relationships/hyperlink" Target="https://www.tradingview.com/chart/Q1c5VWwD/?symbol=bby" TargetMode="External" Id="rId282" /><Relationship Type="http://schemas.openxmlformats.org/officeDocument/2006/relationships/hyperlink" Target="https://www.tradingview.com/chart/Q1c5VWwD/?symbol=pm" TargetMode="External" Id="rId283" /><Relationship Type="http://schemas.openxmlformats.org/officeDocument/2006/relationships/hyperlink" Target="https://www.tradingview.com/chart/Q1c5VWwD/?symbol=mo" TargetMode="External" Id="rId284" /><Relationship Type="http://schemas.openxmlformats.org/officeDocument/2006/relationships/hyperlink" Target="https://www.tradingview.com/chart/Q1c5VWwD/?symbol=tpb" TargetMode="External" Id="rId285" /><Relationship Type="http://schemas.openxmlformats.org/officeDocument/2006/relationships/hyperlink" Target="https://www.tradingview.com/chart/Q1c5VWwD/?symbol=amat" TargetMode="External" Id="rId286" /><Relationship Type="http://schemas.openxmlformats.org/officeDocument/2006/relationships/hyperlink" Target="https://www.tradingview.com/chart/Q1c5VWwD/?symbol=lrcx" TargetMode="External" Id="rId287" /><Relationship Type="http://schemas.openxmlformats.org/officeDocument/2006/relationships/hyperlink" Target="https://www.tradingview.com/chart/Q1c5VWwD/?symbol=klac" TargetMode="External" Id="rId288" /><Relationship Type="http://schemas.openxmlformats.org/officeDocument/2006/relationships/hyperlink" Target="https://www.tradingview.com/chart/Q1c5VWwD/?symbol=asml" TargetMode="External" Id="rId289" /><Relationship Type="http://schemas.openxmlformats.org/officeDocument/2006/relationships/hyperlink" Target="https://www.tradingview.com/chart/Q1c5VWwD/?symbol=ter" TargetMode="External" Id="rId290" /><Relationship Type="http://schemas.openxmlformats.org/officeDocument/2006/relationships/hyperlink" Target="https://www.tradingview.com/chart/Q1c5VWwD/?symbol=lly" TargetMode="External" Id="rId291" /><Relationship Type="http://schemas.openxmlformats.org/officeDocument/2006/relationships/hyperlink" Target="https://www.tradingview.com/chart/Q1c5VWwD/?symbol=nvo" TargetMode="External" Id="rId292" /><Relationship Type="http://schemas.openxmlformats.org/officeDocument/2006/relationships/hyperlink" Target="https://www.tradingview.com/chart/Q1c5VWwD/?symbol=vktx" TargetMode="External" Id="rId293" /><Relationship Type="http://schemas.openxmlformats.org/officeDocument/2006/relationships/hyperlink" Target="https://www.tradingview.com/chart/Q1c5VWwD/?symbol=alt" TargetMode="External" Id="rId294" /><Relationship Type="http://schemas.openxmlformats.org/officeDocument/2006/relationships/hyperlink" Target="https://www.tradingview.com/chart/Q1c5VWwD/?symbol=aa" TargetMode="External" Id="rId295" /><Relationship Type="http://schemas.openxmlformats.org/officeDocument/2006/relationships/hyperlink" Target="https://www.tradingview.com/chart/Q1c5VWwD/?symbol=cenx" TargetMode="External" Id="rId296" /><Relationship Type="http://schemas.openxmlformats.org/officeDocument/2006/relationships/hyperlink" Target="https://www.tradingview.com/chart/Q1c5VWwD/?symbol=kalu" TargetMode="External" Id="rId297" /><Relationship Type="http://schemas.openxmlformats.org/officeDocument/2006/relationships/hyperlink" Target="https://www.tradingview.com/chart/Q1c5VWwD/?symbol=j" TargetMode="External" Id="rId298" /><Relationship Type="http://schemas.openxmlformats.org/officeDocument/2006/relationships/hyperlink" Target="https://www.tradingview.com/chart/Q1c5VWwD/?symbol=acm" TargetMode="External" Id="rId299" /><Relationship Type="http://schemas.openxmlformats.org/officeDocument/2006/relationships/hyperlink" Target="https://www.tradingview.com/chart/Q1c5VWwD/?symbol=flr" TargetMode="External" Id="rId300" /><Relationship Type="http://schemas.openxmlformats.org/officeDocument/2006/relationships/hyperlink" Target="https://www.tradingview.com/chart/Q1c5VWwD/?symbol=mtz" TargetMode="External" Id="rId301" /><Relationship Type="http://schemas.openxmlformats.org/officeDocument/2006/relationships/hyperlink" Target="https://www.tradingview.com/chart/Q1c5VWwD/?symbol=prim" TargetMode="External" Id="rId302" /><Relationship Type="http://schemas.openxmlformats.org/officeDocument/2006/relationships/hyperlink" Target="https://www.tradingview.com/chart/Q1c5VWwD/?symbol=eme" TargetMode="External" Id="rId303" /><Relationship Type="http://schemas.openxmlformats.org/officeDocument/2006/relationships/hyperlink" Target="https://www.tradingview.com/chart/Q1c5VWwD/?symbol=lyv" TargetMode="External" Id="rId304" /><Relationship Type="http://schemas.openxmlformats.org/officeDocument/2006/relationships/hyperlink" Target="https://www.tradingview.com/chart/Q1c5VWwD/?symbol=fwonk" TargetMode="External" Id="rId305" /><Relationship Type="http://schemas.openxmlformats.org/officeDocument/2006/relationships/hyperlink" Target="https://www.tradingview.com/chart/Q1c5VWwD/?symbol=nwsa" TargetMode="External" Id="rId306" /><Relationship Type="http://schemas.openxmlformats.org/officeDocument/2006/relationships/hyperlink" Target="https://www.tradingview.com/chart/Q1c5VWwD/?symbol=para" TargetMode="External" Id="rId307" /><Relationship Type="http://schemas.openxmlformats.org/officeDocument/2006/relationships/hyperlink" Target="https://www.tradingview.com/chart/Q1c5VWwD/?symbol=ceg" TargetMode="External" Id="rId308" /><Relationship Type="http://schemas.openxmlformats.org/officeDocument/2006/relationships/hyperlink" Target="https://www.tradingview.com/chart/Q1c5VWwD/?symbol=vst" TargetMode="External" Id="rId309" /><Relationship Type="http://schemas.openxmlformats.org/officeDocument/2006/relationships/hyperlink" Target="https://www.tradingview.com/chart/Q1c5VWwD/?symbol=nrg" TargetMode="External" Id="rId310" /><Relationship Type="http://schemas.openxmlformats.org/officeDocument/2006/relationships/hyperlink" Target="https://www.tradingview.com/chart/Q1c5VWwD/?symbol=tln" TargetMode="External" Id="rId311" /><Relationship Type="http://schemas.openxmlformats.org/officeDocument/2006/relationships/hyperlink" Target="https://www.tradingview.com/chart/Q1c5VWwD/?symbol=adm" TargetMode="External" Id="rId312" /><Relationship Type="http://schemas.openxmlformats.org/officeDocument/2006/relationships/hyperlink" Target="https://www.tradingview.com/chart/Q1c5VWwD/?symbol=bg" TargetMode="External" Id="rId313" /><Relationship Type="http://schemas.openxmlformats.org/officeDocument/2006/relationships/hyperlink" Target="https://www.tradingview.com/chart/Q1c5VWwD/?symbol=tsn" TargetMode="External" Id="rId314" /><Relationship Type="http://schemas.openxmlformats.org/officeDocument/2006/relationships/hyperlink" Target="https://www.tradingview.com/chart/Q1c5VWwD/?symbol=ingr" TargetMode="External" Id="rId315" /><Relationship Type="http://schemas.openxmlformats.org/officeDocument/2006/relationships/hyperlink" Target="https://www.tradingview.com/chart/Q1c5VWwD/?symbol=ctva" TargetMode="External" Id="rId316" /><Relationship Type="http://schemas.openxmlformats.org/officeDocument/2006/relationships/hyperlink" Target="https://www.tradingview.com/chart/Q1c5VWwD/?symbol=nee" TargetMode="External" Id="rId317" /><Relationship Type="http://schemas.openxmlformats.org/officeDocument/2006/relationships/hyperlink" Target="https://www.tradingview.com/chart/Q1c5VWwD/?symbol=fslr" TargetMode="External" Id="rId318" /><Relationship Type="http://schemas.openxmlformats.org/officeDocument/2006/relationships/hyperlink" Target="https://www.tradingview.com/chart/Q1c5VWwD/?symbol=enph" TargetMode="External" Id="rId319" /><Relationship Type="http://schemas.openxmlformats.org/officeDocument/2006/relationships/hyperlink" Target="https://www.tradingview.com/chart/Q1c5VWwD/?symbol=run" TargetMode="External" Id="rId320" /><Relationship Type="http://schemas.openxmlformats.org/officeDocument/2006/relationships/hyperlink" Target="https://www.tradingview.com/chart/Q1c5VWwD/?symbol=nxt" TargetMode="External" Id="rId321" /><Relationship Type="http://schemas.openxmlformats.org/officeDocument/2006/relationships/hyperlink" Target="https://www.tradingview.com/chart/Q1c5VWwD/?symbol=lmt" TargetMode="External" Id="rId322" /><Relationship Type="http://schemas.openxmlformats.org/officeDocument/2006/relationships/hyperlink" Target="https://www.tradingview.com/chart/Q1c5VWwD/?symbol=rtx" TargetMode="External" Id="rId323" /><Relationship Type="http://schemas.openxmlformats.org/officeDocument/2006/relationships/hyperlink" Target="https://www.tradingview.com/chart/Q1c5VWwD/?symbol=noc" TargetMode="External" Id="rId324" /><Relationship Type="http://schemas.openxmlformats.org/officeDocument/2006/relationships/hyperlink" Target="https://www.tradingview.com/chart/Q1c5VWwD/?symbol=gd" TargetMode="External" Id="rId325" /><Relationship Type="http://schemas.openxmlformats.org/officeDocument/2006/relationships/hyperlink" Target="https://www.tradingview.com/chart/Q1c5VWwD/?symbol=lhx" TargetMode="External" Id="rId326" /><Relationship Type="http://schemas.openxmlformats.org/officeDocument/2006/relationships/hyperlink" Target="https://www.tradingview.com/chart/Q1c5VWwD/?symbol=ba" TargetMode="External" Id="rId327" /><Relationship Type="http://schemas.openxmlformats.org/officeDocument/2006/relationships/hyperlink" Target="https://www.tradingview.com/chart/Q1c5VWwD/?symbol=unp" TargetMode="External" Id="rId328" /><Relationship Type="http://schemas.openxmlformats.org/officeDocument/2006/relationships/hyperlink" Target="https://www.tradingview.com/chart/Q1c5VWwD/?symbol=csx" TargetMode="External" Id="rId329" /><Relationship Type="http://schemas.openxmlformats.org/officeDocument/2006/relationships/hyperlink" Target="https://www.tradingview.com/chart/Q1c5VWwD/?symbol=nsc" TargetMode="External" Id="rId330" /><Relationship Type="http://schemas.openxmlformats.org/officeDocument/2006/relationships/hyperlink" Target="https://www.tradingview.com/chart/Q1c5VWwD/?symbol=lrn" TargetMode="External" Id="rId331" /><Relationship Type="http://schemas.openxmlformats.org/officeDocument/2006/relationships/hyperlink" Target="https://www.tradingview.com/chart/Q1c5VWwD/?symbol=hrb" TargetMode="External" Id="rId332" /><Relationship Type="http://schemas.openxmlformats.org/officeDocument/2006/relationships/hyperlink" Target="https://www.tradingview.com/chart/Q1c5VWwD/?symbol=sci" TargetMode="External" Id="rId333" /><Relationship Type="http://schemas.openxmlformats.org/officeDocument/2006/relationships/hyperlink" Target="https://www.tradingview.com/chart/Q1c5VWwD/?symbol=carr" TargetMode="External" Id="rId334" /><Relationship Type="http://schemas.openxmlformats.org/officeDocument/2006/relationships/hyperlink" Target="https://www.tradingview.com/chart/Q1c5VWwD/?symbol=tt" TargetMode="External" Id="rId335" /><Relationship Type="http://schemas.openxmlformats.org/officeDocument/2006/relationships/hyperlink" Target="https://www.tradingview.com/chart/Q1c5VWwD/?symbol=jci" TargetMode="External" Id="rId336" /><Relationship Type="http://schemas.openxmlformats.org/officeDocument/2006/relationships/hyperlink" Target="https://www.tradingview.com/chart/Q1c5VWwD/?symbol=lii" TargetMode="External" Id="rId337" /><Relationship Type="http://schemas.openxmlformats.org/officeDocument/2006/relationships/hyperlink" Target="https://www.tradingview.com/chart/Q1c5VWwD/?symbol=aaon" TargetMode="External" Id="rId338" /><Relationship Type="http://schemas.openxmlformats.org/officeDocument/2006/relationships/hyperlink" Target="https://www.tradingview.com/chart/Q1c5VWwD/?symbol=pins" TargetMode="External" Id="rId339" /><Relationship Type="http://schemas.openxmlformats.org/officeDocument/2006/relationships/hyperlink" Target="https://www.tradingview.com/chart/Q1c5VWwD/?symbol=snap" TargetMode="External" Id="rId340" /><Relationship Type="http://schemas.openxmlformats.org/officeDocument/2006/relationships/hyperlink" Target="https://www.tradingview.com/chart/Q1c5VWwD/?symbol=rddt" TargetMode="External" Id="rId341" /><Relationship Type="http://schemas.openxmlformats.org/officeDocument/2006/relationships/hyperlink" Target="https://www.tradingview.com/chart/Q1c5VWwD/?symbol=mtch" TargetMode="External" Id="rId342" /><Relationship Type="http://schemas.openxmlformats.org/officeDocument/2006/relationships/hyperlink" Target="https://www.tradingview.com/chart/Q1c5VWwD/?symbol=blk" TargetMode="External" Id="rId343" /><Relationship Type="http://schemas.openxmlformats.org/officeDocument/2006/relationships/hyperlink" Target="https://www.tradingview.com/chart/Q1c5VWwD/?symbol=trow" TargetMode="External" Id="rId344" /><Relationship Type="http://schemas.openxmlformats.org/officeDocument/2006/relationships/hyperlink" Target="https://www.tradingview.com/chart/Q1c5VWwD/?symbol=ben" TargetMode="External" Id="rId345" /><Relationship Type="http://schemas.openxmlformats.org/officeDocument/2006/relationships/hyperlink" Target="https://www.tradingview.com/chart/Q1c5VWwD/?symbol=amg" TargetMode="External" Id="rId346" /><Relationship Type="http://schemas.openxmlformats.org/officeDocument/2006/relationships/hyperlink" Target="https://www.tradingview.com/chart/Q1c5VWwD/?symbol=tsla" TargetMode="External" Id="rId347" /><Relationship Type="http://schemas.openxmlformats.org/officeDocument/2006/relationships/hyperlink" Target="https://www.tradingview.com/chart/Q1c5VWwD/?symbol=rivn" TargetMode="External" Id="rId348" /><Relationship Type="http://schemas.openxmlformats.org/officeDocument/2006/relationships/hyperlink" Target="https://www.tradingview.com/chart/Q1c5VWwD/?symbol=lcid" TargetMode="External" Id="rId349" /><Relationship Type="http://schemas.openxmlformats.org/officeDocument/2006/relationships/hyperlink" Target="https://www.tradingview.com/chart/Q1c5VWwD/?symbol=rig" TargetMode="External" Id="rId350" /><Relationship Type="http://schemas.openxmlformats.org/officeDocument/2006/relationships/hyperlink" Target="https://www.tradingview.com/chart/Q1c5VWwD/?symbol=val" TargetMode="External" Id="rId351" /><Relationship Type="http://schemas.openxmlformats.org/officeDocument/2006/relationships/hyperlink" Target="https://www.tradingview.com/chart/Q1c5VWwD/?symbol=ne" TargetMode="External" Id="rId352" /><Relationship Type="http://schemas.openxmlformats.org/officeDocument/2006/relationships/hyperlink" Target="https://www.tradingview.com/chart/Q1c5VWwD/?symbol=tdw" TargetMode="External" Id="rId353" /><Relationship Type="http://schemas.openxmlformats.org/officeDocument/2006/relationships/hyperlink" Target="https://www.tradingview.com/chart/Q1c5VWwD/?symbol=ato" TargetMode="External" Id="rId354" /><Relationship Type="http://schemas.openxmlformats.org/officeDocument/2006/relationships/hyperlink" Target="https://www.tradingview.com/chart/Q1c5VWwD/?symbol=ni" TargetMode="External" Id="rId355" /><Relationship Type="http://schemas.openxmlformats.org/officeDocument/2006/relationships/hyperlink" Target="https://www.tradingview.com/chart/Q1c5VWwD/?symbol=sr" TargetMode="External" Id="rId356" /><Relationship Type="http://schemas.openxmlformats.org/officeDocument/2006/relationships/hyperlink" Target="https://www.tradingview.com/chart/Q1c5VWwD/?symbol=njr" TargetMode="External" Id="rId357" /><Relationship Type="http://schemas.openxmlformats.org/officeDocument/2006/relationships/hyperlink" Target="https://www.tradingview.com/chart/Q1c5VWwD/?symbol=well" TargetMode="External" Id="rId358" /><Relationship Type="http://schemas.openxmlformats.org/officeDocument/2006/relationships/hyperlink" Target="https://www.tradingview.com/chart/Q1c5VWwD/?symbol=vtr" TargetMode="External" Id="rId359" /><Relationship Type="http://schemas.openxmlformats.org/officeDocument/2006/relationships/hyperlink" Target="https://www.tradingview.com/chart/Q1c5VWwD/?symbol=ohi" TargetMode="External" Id="rId360" /><Relationship Type="http://schemas.openxmlformats.org/officeDocument/2006/relationships/hyperlink" Target="https://www.tradingview.com/chart/Q1c5VWwD/?symbol=doc" TargetMode="External" Id="rId361" /><Relationship Type="http://schemas.openxmlformats.org/officeDocument/2006/relationships/hyperlink" Target="https://www.tradingview.com/chart/Q1c5VWwD/?symbol=jpm" TargetMode="External" Id="rId362" /><Relationship Type="http://schemas.openxmlformats.org/officeDocument/2006/relationships/hyperlink" Target="https://www.tradingview.com/chart/Q1c5VWwD/?symbol=bac" TargetMode="External" Id="rId363" /><Relationship Type="http://schemas.openxmlformats.org/officeDocument/2006/relationships/hyperlink" Target="https://www.tradingview.com/chart/Q1c5VWwD/?symbol=c" TargetMode="External" Id="rId364" /><Relationship Type="http://schemas.openxmlformats.org/officeDocument/2006/relationships/hyperlink" Target="https://www.tradingview.com/chart/Q1c5VWwD/?symbol=wfc" TargetMode="External" Id="rId365" /><Relationship Type="http://schemas.openxmlformats.org/officeDocument/2006/relationships/hyperlink" Target="https://www.tradingview.com/chart/Q1c5VWwD/?symbol=ttwo" TargetMode="External" Id="rId366" /><Relationship Type="http://schemas.openxmlformats.org/officeDocument/2006/relationships/hyperlink" Target="https://www.tradingview.com/chart/Q1c5VWwD/?symbol=rblx" TargetMode="External" Id="rId367" /><Relationship Type="http://schemas.openxmlformats.org/officeDocument/2006/relationships/hyperlink" Target="https://www.tradingview.com/chart/Q1c5VWwD/?symbol=pltk" TargetMode="External" Id="rId368" /><Relationship Type="http://schemas.openxmlformats.org/officeDocument/2006/relationships/hyperlink" Target="https://www.tradingview.com/chart/Q1c5VWwD/?symbol=gm" TargetMode="External" Id="rId369" /><Relationship Type="http://schemas.openxmlformats.org/officeDocument/2006/relationships/hyperlink" Target="https://www.tradingview.com/chart/Q1c5VWwD/?symbol=f" TargetMode="External" Id="rId370" /><Relationship Type="http://schemas.openxmlformats.org/officeDocument/2006/relationships/hyperlink" Target="https://www.tradingview.com/chart/Q1c5VWwD/?symbol=aptv" TargetMode="External" Id="rId371" /><Relationship Type="http://schemas.openxmlformats.org/officeDocument/2006/relationships/hyperlink" Target="https://www.tradingview.com/chart/Q1c5VWwD/?symbol=lea" TargetMode="External" Id="rId372" /><Relationship Type="http://schemas.openxmlformats.org/officeDocument/2006/relationships/hyperlink" Target="https://www.tradingview.com/chart/Q1c5VWwD/?symbol=mga" TargetMode="External" Id="rId373" /><Relationship Type="http://schemas.openxmlformats.org/officeDocument/2006/relationships/hyperlink" Target="https://www.tradingview.com/chart/Q1c5VWwD/?symbol=mar" TargetMode="External" Id="rId374" /><Relationship Type="http://schemas.openxmlformats.org/officeDocument/2006/relationships/hyperlink" Target="https://www.tradingview.com/chart/Q1c5VWwD/?symbol=hlt" TargetMode="External" Id="rId375" /><Relationship Type="http://schemas.openxmlformats.org/officeDocument/2006/relationships/hyperlink" Target="https://www.tradingview.com/chart/Q1c5VWwD/?symbol=rcl" TargetMode="External" Id="rId376" /><Relationship Type="http://schemas.openxmlformats.org/officeDocument/2006/relationships/hyperlink" Target="https://www.tradingview.com/chart/Q1c5VWwD/?symbol=ccl" TargetMode="External" Id="rId377" /><Relationship Type="http://schemas.openxmlformats.org/officeDocument/2006/relationships/hyperlink" Target="https://www.tradingview.com/chart/Q1c5VWwD/?symbol=nclh" TargetMode="External" Id="rId378" /><Relationship Type="http://schemas.openxmlformats.org/officeDocument/2006/relationships/hyperlink" Target="https://www.tradingview.com/chart/Q1c5VWwD/?symbol=cbre" TargetMode="External" Id="rId379" /><Relationship Type="http://schemas.openxmlformats.org/officeDocument/2006/relationships/hyperlink" Target="https://www.tradingview.com/chart/Q1c5VWwD/?symbol=jll" TargetMode="External" Id="rId380" /><Relationship Type="http://schemas.openxmlformats.org/officeDocument/2006/relationships/hyperlink" Target="https://www.tradingview.com/chart/Q1c5VWwD/?symbol=z" TargetMode="External" Id="rId381" /><Relationship Type="http://schemas.openxmlformats.org/officeDocument/2006/relationships/hyperlink" Target="https://www.tradingview.com/chart/Q1c5VWwD/?symbol=comp" TargetMode="External" Id="rId382" /><Relationship Type="http://schemas.openxmlformats.org/officeDocument/2006/relationships/hyperlink" Target="https://www.tradingview.com/chart/Q1c5VWwD/?symbol=open" TargetMode="External" Id="rId383" /><Relationship Type="http://schemas.openxmlformats.org/officeDocument/2006/relationships/hyperlink" Target="https://www.tradingview.com/chart/Q1c5VWwD/?symbol=bx" TargetMode="External" Id="rId384" /><Relationship Type="http://schemas.openxmlformats.org/officeDocument/2006/relationships/hyperlink" Target="https://www.tradingview.com/chart/Q1c5VWwD/?symbol=kkr" TargetMode="External" Id="rId385" /><Relationship Type="http://schemas.openxmlformats.org/officeDocument/2006/relationships/hyperlink" Target="https://www.tradingview.com/chart/Q1c5VWwD/?symbol=apo" TargetMode="External" Id="rId386" /><Relationship Type="http://schemas.openxmlformats.org/officeDocument/2006/relationships/hyperlink" Target="https://www.tradingview.com/chart/Q1c5VWwD/?symbol=ares" TargetMode="External" Id="rId387" /><Relationship Type="http://schemas.openxmlformats.org/officeDocument/2006/relationships/hyperlink" Target="https://www.tradingview.com/chart/Q1c5VWwD/?symbol=owl" TargetMode="External" Id="rId388" /><Relationship Type="http://schemas.openxmlformats.org/officeDocument/2006/relationships/hyperlink" Target="https://www.tradingview.com/chart/Q1c5VWwD/?symbol=ups" TargetMode="External" Id="rId389" /><Relationship Type="http://schemas.openxmlformats.org/officeDocument/2006/relationships/hyperlink" Target="https://www.tradingview.com/chart/Q1c5VWwD/?symbol=fdx" TargetMode="External" Id="rId390" /><Relationship Type="http://schemas.openxmlformats.org/officeDocument/2006/relationships/hyperlink" Target="https://www.tradingview.com/chart/Q1c5VWwD/?symbol=odfl" TargetMode="External" Id="rId391" /><Relationship Type="http://schemas.openxmlformats.org/officeDocument/2006/relationships/hyperlink" Target="https://www.tradingview.com/chart/Q1c5VWwD/?symbol=jbht" TargetMode="External" Id="rId392" /><Relationship Type="http://schemas.openxmlformats.org/officeDocument/2006/relationships/hyperlink" Target="https://www.tradingview.com/chart/Q1c5VWwD/?symbol=xpo" TargetMode="External" Id="rId393" /><Relationship Type="http://schemas.openxmlformats.org/officeDocument/2006/relationships/hyperlink" Target="https://www.tradingview.com/chart/Q1c5VWwD/?symbol=nflx" TargetMode="External" Id="rId394" /><Relationship Type="http://schemas.openxmlformats.org/officeDocument/2006/relationships/hyperlink" Target="https://www.tradingview.com/chart/Q1c5VWwD/?symbol=dis" TargetMode="External" Id="rId395" /><Relationship Type="http://schemas.openxmlformats.org/officeDocument/2006/relationships/hyperlink" Target="https://www.tradingview.com/chart/Q1c5VWwD/?symbol=wbd" TargetMode="External" Id="rId396" /><Relationship Type="http://schemas.openxmlformats.org/officeDocument/2006/relationships/hyperlink" Target="https://www.tradingview.com/chart/Q1c5VWwD/?symbol=roku" TargetMode="External" Id="rId397" /><Relationship Type="http://schemas.openxmlformats.org/officeDocument/2006/relationships/hyperlink" Target="https://www.tradingview.com/chart/Q1c5VWwD/?symbol=cme" TargetMode="External" Id="rId398" /><Relationship Type="http://schemas.openxmlformats.org/officeDocument/2006/relationships/hyperlink" Target="https://www.tradingview.com/chart/Q1c5VWwD/?symbol=ice" TargetMode="External" Id="rId399" /><Relationship Type="http://schemas.openxmlformats.org/officeDocument/2006/relationships/hyperlink" Target="https://www.tradingview.com/chart/Q1c5VWwD/?symbol=ndaq" TargetMode="External" Id="rId400" /><Relationship Type="http://schemas.openxmlformats.org/officeDocument/2006/relationships/hyperlink" Target="https://www.tradingview.com/chart/Q1c5VWwD/?symbol=cboe" TargetMode="External" Id="rId401" /><Relationship Type="http://schemas.openxmlformats.org/officeDocument/2006/relationships/hyperlink" Target="https://www.tradingview.com/chart/Q1c5VWwD/?symbol=spgi" TargetMode="External" Id="rId402" /><Relationship Type="http://schemas.openxmlformats.org/officeDocument/2006/relationships/hyperlink" Target="https://www.tradingview.com/chart/Q1c5VWwD/?symbol=wm" TargetMode="External" Id="rId403" /><Relationship Type="http://schemas.openxmlformats.org/officeDocument/2006/relationships/hyperlink" Target="https://www.tradingview.com/chart/Q1c5VWwD/?symbol=rsg" TargetMode="External" Id="rId404" /><Relationship Type="http://schemas.openxmlformats.org/officeDocument/2006/relationships/hyperlink" Target="https://www.tradingview.com/chart/Q1c5VWwD/?symbol=wcn" TargetMode="External" Id="rId405" /><Relationship Type="http://schemas.openxmlformats.org/officeDocument/2006/relationships/hyperlink" Target="https://www.tradingview.com/chart/Q1c5VWwD/?symbol=clh" TargetMode="External" Id="rId406" /><Relationship Type="http://schemas.openxmlformats.org/officeDocument/2006/relationships/hyperlink" Target="https://www.tradingview.com/chart/Q1c5VWwD/?symbol=cwst" TargetMode="External" Id="rId407" /><Relationship Type="http://schemas.openxmlformats.org/officeDocument/2006/relationships/hyperlink" Target="https://www.tradingview.com/chart/Q1c5VWwD/?symbol=lng" TargetMode="External" Id="rId408" /><Relationship Type="http://schemas.openxmlformats.org/officeDocument/2006/relationships/hyperlink" Target="https://www.tradingview.com/chart/Q1c5VWwD/?symbol=nfe" TargetMode="External" Id="rId409" /><Relationship Type="http://schemas.openxmlformats.org/officeDocument/2006/relationships/hyperlink" Target="https://www.tradingview.com/chart/Q1c5VWwD/?symbol=glng" TargetMode="External" Id="rId410" /><Relationship Type="http://schemas.openxmlformats.org/officeDocument/2006/relationships/hyperlink" Target="https://www.tradingview.com/chart/Q1c5VWwD/?symbol=vg" TargetMode="External" Id="rId411" /><Relationship Type="http://schemas.openxmlformats.org/officeDocument/2006/relationships/hyperlink" Target="https://www.tradingview.com/chart/Q1c5VWwD/?symbol=ee" TargetMode="External" Id="rId412" /><Relationship Type="http://schemas.openxmlformats.org/officeDocument/2006/relationships/hyperlink" Target="https://www.tradingview.com/chart/Q1c5VWwD/?symbol=unh" TargetMode="External" Id="rId413" /><Relationship Type="http://schemas.openxmlformats.org/officeDocument/2006/relationships/hyperlink" Target="https://www.tradingview.com/chart/Q1c5VWwD/?symbol=elv" TargetMode="External" Id="rId414" /><Relationship Type="http://schemas.openxmlformats.org/officeDocument/2006/relationships/hyperlink" Target="https://www.tradingview.com/chart/Q1c5VWwD/?symbol=ci" TargetMode="External" Id="rId415" /><Relationship Type="http://schemas.openxmlformats.org/officeDocument/2006/relationships/hyperlink" Target="https://www.tradingview.com/chart/Q1c5VWwD/?symbol=hum" TargetMode="External" Id="rId416" /><Relationship Type="http://schemas.openxmlformats.org/officeDocument/2006/relationships/hyperlink" Target="https://www.tradingview.com/chart/Q1c5VWwD/?symbol=cnc" TargetMode="External" Id="rId417" /><Relationship Type="http://schemas.openxmlformats.org/officeDocument/2006/relationships/hyperlink" Target="https://www.tradingview.com/chart/Q1c5VWwD/?symbol=mp" TargetMode="External" Id="rId418" /><Relationship Type="http://schemas.openxmlformats.org/officeDocument/2006/relationships/hyperlink" Target="https://www.tradingview.com/chart/Q1c5VWwD/?symbol=usar" TargetMode="External" Id="rId419" /><Relationship Type="http://schemas.openxmlformats.org/officeDocument/2006/relationships/hyperlink" Target="https://www.tradingview.com/chart/Q1c5VWwD/?symbol=uuuu" TargetMode="External" Id="rId420" /><Relationship Type="http://schemas.openxmlformats.org/officeDocument/2006/relationships/hyperlink" Target="https://www.tradingview.com/chart/Q1c5VWwD/?symbol=tmc" TargetMode="External" Id="rId421" /><Relationship Type="http://schemas.openxmlformats.org/officeDocument/2006/relationships/hyperlink" Target="https://www.tradingview.com/chart/Q1c5VWwD/?symbol=aloy" TargetMode="External" Id="rId422" /><Relationship Type="http://schemas.openxmlformats.org/officeDocument/2006/relationships/hyperlink" Target="https://www.tradingview.com/chart/Q1c5VWwD/?symbol=nb" TargetMode="External" Id="rId423" /><Relationship Type="http://schemas.openxmlformats.org/officeDocument/2006/relationships/hyperlink" Target="https://www.tradingview.com/chart/Q1c5VWwD/?symbol=axp" TargetMode="External" Id="rId424" /><Relationship Type="http://schemas.openxmlformats.org/officeDocument/2006/relationships/hyperlink" Target="https://www.tradingview.com/chart/Q1c5VWwD/?symbol=cof" TargetMode="External" Id="rId425" /><Relationship Type="http://schemas.openxmlformats.org/officeDocument/2006/relationships/hyperlink" Target="https://www.tradingview.com/chart/Q1c5VWwD/?symbol=syf" TargetMode="External" Id="rId426" /><Relationship Type="http://schemas.openxmlformats.org/officeDocument/2006/relationships/hyperlink" Target="https://www.tradingview.com/chart/Q1c5VWwD/?symbol=sofi" TargetMode="External" Id="rId427" /><Relationship Type="http://schemas.openxmlformats.org/officeDocument/2006/relationships/hyperlink" Target="https://www.tradingview.com/chart/Q1c5VWwD/?symbol=afrm" TargetMode="External" Id="rId428" /><Relationship Type="http://schemas.openxmlformats.org/officeDocument/2006/relationships/hyperlink" Target="https://www.tradingview.com/chart/Q1c5VWwD/?symbol=ccj" TargetMode="External" Id="rId429" /><Relationship Type="http://schemas.openxmlformats.org/officeDocument/2006/relationships/hyperlink" Target="https://www.tradingview.com/chart/Q1c5VWwD/?symbol=uec" TargetMode="External" Id="rId430" /><Relationship Type="http://schemas.openxmlformats.org/officeDocument/2006/relationships/hyperlink" Target="https://www.tradingview.com/chart/Q1c5VWwD/?symbol=leu" TargetMode="External" Id="rId431" /><Relationship Type="http://schemas.openxmlformats.org/officeDocument/2006/relationships/hyperlink" Target="https://www.tradingview.com/chart/Q1c5VWwD/?symbol=uuuu" TargetMode="External" Id="rId432" /><Relationship Type="http://schemas.openxmlformats.org/officeDocument/2006/relationships/hyperlink" Target="https://www.tradingview.com/chart/Q1c5VWwD/?symbol=dnn" TargetMode="External" Id="rId433" /><Relationship Type="http://schemas.openxmlformats.org/officeDocument/2006/relationships/hyperlink" Target="https://www.tradingview.com/chart/Q1c5VWwD/?symbol=cmcsa" TargetMode="External" Id="rId434" /><Relationship Type="http://schemas.openxmlformats.org/officeDocument/2006/relationships/hyperlink" Target="https://www.tradingview.com/chart/Q1c5VWwD/?symbol=chtr" TargetMode="External" Id="rId435" /><Relationship Type="http://schemas.openxmlformats.org/officeDocument/2006/relationships/hyperlink" Target="https://www.tradingview.com/chart/Q1c5VWwD/?symbol=asts" TargetMode="External" Id="rId436" /><Relationship Type="http://schemas.openxmlformats.org/officeDocument/2006/relationships/hyperlink" Target="https://www.tradingview.com/chart/Q1c5VWwD/?symbol=gs" TargetMode="External" Id="rId437" /><Relationship Type="http://schemas.openxmlformats.org/officeDocument/2006/relationships/hyperlink" Target="https://www.tradingview.com/chart/Q1c5VWwD/?symbol=ms" TargetMode="External" Id="rId438" /><Relationship Type="http://schemas.openxmlformats.org/officeDocument/2006/relationships/hyperlink" Target="https://www.tradingview.com/chart/Q1c5VWwD/?symbol=evr" TargetMode="External" Id="rId439" /><Relationship Type="http://schemas.openxmlformats.org/officeDocument/2006/relationships/hyperlink" Target="https://www.tradingview.com/chart/Q1c5VWwD/?symbol=laz" TargetMode="External" Id="rId440" /><Relationship Type="http://schemas.openxmlformats.org/officeDocument/2006/relationships/hyperlink" Target="https://www.tradingview.com/chart/Q1c5VWwD/?symbol=jef" TargetMode="External" Id="rId441" /><Relationship Type="http://schemas.openxmlformats.org/officeDocument/2006/relationships/hyperlink" Target="https://www.tradingview.com/chart/Q1c5VWwD/?symbol=maa" TargetMode="External" Id="rId442" /><Relationship Type="http://schemas.openxmlformats.org/officeDocument/2006/relationships/hyperlink" Target="https://www.tradingview.com/chart/Q1c5VWwD/?symbol=invh" TargetMode="External" Id="rId443" /><Relationship Type="http://schemas.openxmlformats.org/officeDocument/2006/relationships/hyperlink" Target="https://www.tradingview.com/chart/Q1c5VWwD/?symbol=amh" TargetMode="External" Id="rId444" /><Relationship Type="http://schemas.openxmlformats.org/officeDocument/2006/relationships/hyperlink" Target="https://www.tradingview.com/chart/Q1c5VWwD/?symbol=t" TargetMode="External" Id="rId445" /><Relationship Type="http://schemas.openxmlformats.org/officeDocument/2006/relationships/hyperlink" Target="https://www.tradingview.com/chart/Q1c5VWwD/?symbol=vz" TargetMode="External" Id="rId446" /><Relationship Type="http://schemas.openxmlformats.org/officeDocument/2006/relationships/hyperlink" Target="https://www.tradingview.com/chart/Q1c5VWwD/?symbol=tmus" TargetMode="External" Id="rId447" /><Relationship Type="http://schemas.openxmlformats.org/officeDocument/2006/relationships/hyperlink" Target="https://www.tradingview.com/chart/Q1c5VWwD/?symbol=spg" TargetMode="External" Id="rId448" /><Relationship Type="http://schemas.openxmlformats.org/officeDocument/2006/relationships/hyperlink" Target="https://www.tradingview.com/chart/Q1c5VWwD/?symbol=o" TargetMode="External" Id="rId449" /><Relationship Type="http://schemas.openxmlformats.org/officeDocument/2006/relationships/hyperlink" Target="https://www.tradingview.com/chart/Q1c5VWwD/?symbol=kim" TargetMode="External" Id="rId450" /><Relationship Type="http://schemas.openxmlformats.org/officeDocument/2006/relationships/hyperlink" Target="https://www.tradingview.com/chart/Q1c5VWwD/?symbol=reg" TargetMode="External" Id="rId451" /><Relationship Type="http://schemas.openxmlformats.org/officeDocument/2006/relationships/hyperlink" Target="https://www.tradingview.com/chart/Q1c5VWwD/?symbol=frt" TargetMode="External" Id="rId452" /><Relationship Type="http://schemas.openxmlformats.org/officeDocument/2006/relationships/hyperlink" Target="https://www.tradingview.com/chart/Q1c5VWwD/?symbol=whr" TargetMode="External" Id="rId453" /><Relationship Type="http://schemas.openxmlformats.org/officeDocument/2006/relationships/hyperlink" Target="https://www.tradingview.com/chart/Q1c5VWwD/?symbol=mhk" TargetMode="External" Id="rId454" /><Relationship Type="http://schemas.openxmlformats.org/officeDocument/2006/relationships/hyperlink" Target="https://www.tradingview.com/chart/Q1c5VWwD/?symbol=pool" TargetMode="External" Id="rId455" /><Relationship Type="http://schemas.openxmlformats.org/officeDocument/2006/relationships/hyperlink" Target="https://www.tradingview.com/chart/Q1c5VWwD/?symbol=bc" TargetMode="External" Id="rId456" /><Relationship Type="http://schemas.openxmlformats.org/officeDocument/2006/relationships/hyperlink" Target="https://www.tradingview.com/chart/Q1c5VWwD/?symbol=slb" TargetMode="External" Id="rId457" /><Relationship Type="http://schemas.openxmlformats.org/officeDocument/2006/relationships/hyperlink" Target="https://www.tradingview.com/chart/Q1c5VWwD/?symbol=hal" TargetMode="External" Id="rId458" /><Relationship Type="http://schemas.openxmlformats.org/officeDocument/2006/relationships/hyperlink" Target="https://www.tradingview.com/chart/Q1c5VWwD/?symbol=bkr" TargetMode="External" Id="rId459" /><Relationship Type="http://schemas.openxmlformats.org/officeDocument/2006/relationships/hyperlink" Target="https://www.tradingview.com/chart/Q1c5VWwD/?symbol=wfrd" TargetMode="External" Id="rId460" /><Relationship Type="http://schemas.openxmlformats.org/officeDocument/2006/relationships/hyperlink" Target="https://www.tradingview.com/chart/Q1c5VWwD/?symbol=usb" TargetMode="External" Id="rId461" /><Relationship Type="http://schemas.openxmlformats.org/officeDocument/2006/relationships/hyperlink" Target="https://www.tradingview.com/chart/Q1c5VWwD/?symbol=pnc" TargetMode="External" Id="rId462" /><Relationship Type="http://schemas.openxmlformats.org/officeDocument/2006/relationships/hyperlink" Target="https://www.tradingview.com/chart/Q1c5VWwD/?symbol=tfc" TargetMode="External" Id="rId463" /><Relationship Type="http://schemas.openxmlformats.org/officeDocument/2006/relationships/hyperlink" Target="https://www.tradingview.com/chart/Q1c5VWwD/?symbol=mtb" TargetMode="External" Id="rId464" /><Relationship Type="http://schemas.openxmlformats.org/officeDocument/2006/relationships/hyperlink" Target="https://www.tradingview.com/chart/Q1c5VWwD/?symbol=zion" TargetMode="External" Id="rId465" /><Relationship Type="http://schemas.openxmlformats.org/officeDocument/2006/relationships/hyperlink" Target="https://www.tradingview.com/chart/Q1c5VWwD/?symbol=syy" TargetMode="External" Id="rId466" /><Relationship Type="http://schemas.openxmlformats.org/officeDocument/2006/relationships/hyperlink" Target="https://www.tradingview.com/chart/Q1c5VWwD/?symbol=usfd" TargetMode="External" Id="rId467" /><Relationship Type="http://schemas.openxmlformats.org/officeDocument/2006/relationships/hyperlink" Target="https://www.tradingview.com/chart/Q1c5VWwD/?symbol=pfgc" TargetMode="External" Id="rId468" /><Relationship Type="http://schemas.openxmlformats.org/officeDocument/2006/relationships/hyperlink" Target="https://www.tradingview.com/chart/Q1c5VWwD/?symbol=chef" TargetMode="External" Id="rId469" /><Relationship Type="http://schemas.openxmlformats.org/officeDocument/2006/relationships/hyperlink" Target="https://www.tradingview.com/chart/Q1c5VWwD/?symbol=mcd" TargetMode="External" Id="rId470" /><Relationship Type="http://schemas.openxmlformats.org/officeDocument/2006/relationships/hyperlink" Target="https://www.tradingview.com/chart/Q1c5VWwD/?symbol=sbux" TargetMode="External" Id="rId471" /><Relationship Type="http://schemas.openxmlformats.org/officeDocument/2006/relationships/hyperlink" Target="https://www.tradingview.com/chart/Q1c5VWwD/?symbol=cmg" TargetMode="External" Id="rId472" /><Relationship Type="http://schemas.openxmlformats.org/officeDocument/2006/relationships/hyperlink" Target="https://www.tradingview.com/chart/Q1c5VWwD/?symbol=yum" TargetMode="External" Id="rId473" /><Relationship Type="http://schemas.openxmlformats.org/officeDocument/2006/relationships/hyperlink" Target="https://www.tradingview.com/chart/Q1c5VWwD/?symbol=dri" TargetMode="External" Id="rId474" /><Relationship Type="http://schemas.openxmlformats.org/officeDocument/2006/relationships/hyperlink" Target="https://www.tradingview.com/chart/Q1c5VWwD/?symbol=lvs" TargetMode="External" Id="rId475" /><Relationship Type="http://schemas.openxmlformats.org/officeDocument/2006/relationships/hyperlink" Target="https://www.tradingview.com/chart/Q1c5VWwD/?symbol=mgm" TargetMode="External" Id="rId476" /><Relationship Type="http://schemas.openxmlformats.org/officeDocument/2006/relationships/hyperlink" Target="https://www.tradingview.com/chart/Q1c5VWwD/?symbol=dkng" TargetMode="External" Id="rId477" /><Relationship Type="http://schemas.openxmlformats.org/officeDocument/2006/relationships/hyperlink" Target="https://www.tradingview.com/chart/Q1c5VWwD/?symbol=flut" TargetMode="External" Id="rId478" /><Relationship Type="http://schemas.openxmlformats.org/officeDocument/2006/relationships/hyperlink" Target="https://www.tradingview.com/chart/Q1c5VWwD/?symbol=dnli" TargetMode="External" Id="rId479" /><Relationship Type="http://schemas.openxmlformats.org/officeDocument/2006/relationships/hyperlink" Target="https://www.tradingview.com/chart/Q1c5VWwD/?symbol=alec" TargetMode="External" Id="rId480" /><Relationship Type="http://schemas.openxmlformats.org/officeDocument/2006/relationships/hyperlink" Target="https://www.tradingview.com/chart/Q1c5VWwD/?symbol=sana" TargetMode="External" Id="rId481" /><Relationship Type="http://schemas.openxmlformats.org/officeDocument/2006/relationships/hyperlink" Target="https://www.tradingview.com/chart/Q1c5VWwD/?symbol=vktx" TargetMode="External" Id="rId482" /><Relationship Type="http://schemas.openxmlformats.org/officeDocument/2006/relationships/hyperlink" Target="https://www.tradingview.com/chart/Q1c5VWwD/?symbol=mdgl" TargetMode="External" Id="rId483" /><Relationship Type="http://schemas.openxmlformats.org/officeDocument/2006/relationships/hyperlink" Target="https://www.tradingview.com/chart/Q1c5VWwD/?symbol=ions" TargetMode="External" Id="rId484" /><Relationship Type="http://schemas.openxmlformats.org/officeDocument/2006/relationships/hyperlink" Target="https://www.tradingview.com/chart/Q1c5VWwD/?symbol=dtil" TargetMode="External" Id="rId485" /><Relationship Type="http://schemas.openxmlformats.org/officeDocument/2006/relationships/hyperlink" Target="https://www.tradingview.com/chart/Q1c5VWwD/?symbol=mck" TargetMode="External" Id="rId486" /><Relationship Type="http://schemas.openxmlformats.org/officeDocument/2006/relationships/hyperlink" Target="https://www.tradingview.com/chart/Q1c5VWwD/?symbol=cor" TargetMode="External" Id="rId487" /><Relationship Type="http://schemas.openxmlformats.org/officeDocument/2006/relationships/hyperlink" Target="https://www.tradingview.com/chart/Q1c5VWwD/?symbol=cah" TargetMode="External" Id="rId488" /><Relationship Type="http://schemas.openxmlformats.org/officeDocument/2006/relationships/hyperlink" Target="https://www.tradingview.com/chart/Q1c5VWwD/?symbol=cvs" TargetMode="External" Id="rId489" /><Relationship Type="http://schemas.openxmlformats.org/officeDocument/2006/relationships/hyperlink" Target="https://www.tradingview.com/chart/Q1c5VWwD/?symbol=aon" TargetMode="External" Id="rId490" /><Relationship Type="http://schemas.openxmlformats.org/officeDocument/2006/relationships/hyperlink" Target="https://www.tradingview.com/chart/Q1c5VWwD/?symbol=ajg" TargetMode="External" Id="rId491" /><Relationship Type="http://schemas.openxmlformats.org/officeDocument/2006/relationships/hyperlink" Target="https://www.tradingview.com/chart/Q1c5VWwD/?symbol=bro" TargetMode="External" Id="rId492" /><Relationship Type="http://schemas.openxmlformats.org/officeDocument/2006/relationships/hyperlink" Target="https://www.tradingview.com/chart/Q1c5VWwD/?symbol=wtw" TargetMode="External" Id="rId493" /><Relationship Type="http://schemas.openxmlformats.org/officeDocument/2006/relationships/hyperlink" Target="https://www.tradingview.com/chart/Q1c5VWwD/?symbol=btu" TargetMode="External" Id="rId494" /><Relationship Type="http://schemas.openxmlformats.org/officeDocument/2006/relationships/hyperlink" Target="https://www.tradingview.com/chart/Q1c5VWwD/?symbol=amr" TargetMode="External" Id="rId495" /><Relationship Type="http://schemas.openxmlformats.org/officeDocument/2006/relationships/hyperlink" Target="https://www.tradingview.com/chart/Q1c5VWwD/?symbol=hcc" TargetMode="External" Id="rId496" /><Relationship Type="http://schemas.openxmlformats.org/officeDocument/2006/relationships/hyperlink" Target="https://www.tradingview.com/chart/Q1c5VWwD/?symbol=cnr" TargetMode="External" Id="rId497" /><Relationship Type="http://schemas.openxmlformats.org/officeDocument/2006/relationships/hyperlink" Target="https://www.tradingview.com/chart/Q1c5VWwD/?symbol=metc" TargetMode="External" Id="rId49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a" TargetMode="External" Id="rId1" /><Relationship Type="http://schemas.openxmlformats.org/officeDocument/2006/relationships/hyperlink" Target="https://www.tradingview.com/chart/Q1c5VWwD/?symbol=aa" TargetMode="External" Id="rId2" /><Relationship Type="http://schemas.openxmlformats.org/officeDocument/2006/relationships/hyperlink" Target="https://www.tradingview.com/chart/Q1c5VWwD/?symbol=aal" TargetMode="External" Id="rId3" /><Relationship Type="http://schemas.openxmlformats.org/officeDocument/2006/relationships/hyperlink" Target="https://www.tradingview.com/chart/Q1c5VWwD/?symbol=aaoi" TargetMode="External" Id="rId4" /><Relationship Type="http://schemas.openxmlformats.org/officeDocument/2006/relationships/hyperlink" Target="https://www.tradingview.com/chart/Q1c5VWwD/?symbol=aaon" TargetMode="External" Id="rId5" /><Relationship Type="http://schemas.openxmlformats.org/officeDocument/2006/relationships/hyperlink" Target="https://www.tradingview.com/chart/Q1c5VWwD/?symbol=aapl" TargetMode="External" Id="rId6" /><Relationship Type="http://schemas.openxmlformats.org/officeDocument/2006/relationships/hyperlink" Target="https://www.tradingview.com/chart/Q1c5VWwD/?symbol=abbv" TargetMode="External" Id="rId7" /><Relationship Type="http://schemas.openxmlformats.org/officeDocument/2006/relationships/hyperlink" Target="https://www.tradingview.com/chart/Q1c5VWwD/?symbol=abt" TargetMode="External" Id="rId8" /><Relationship Type="http://schemas.openxmlformats.org/officeDocument/2006/relationships/hyperlink" Target="https://www.tradingview.com/chart/Q1c5VWwD/?symbol=aci" TargetMode="External" Id="rId9" /><Relationship Type="http://schemas.openxmlformats.org/officeDocument/2006/relationships/hyperlink" Target="https://www.tradingview.com/chart/Q1c5VWwD/?symbol=acm" TargetMode="External" Id="rId10" /><Relationship Type="http://schemas.openxmlformats.org/officeDocument/2006/relationships/hyperlink" Target="https://www.tradingview.com/chart/Q1c5VWwD/?symbol=acn" TargetMode="External" Id="rId11" /><Relationship Type="http://schemas.openxmlformats.org/officeDocument/2006/relationships/hyperlink" Target="https://www.tradingview.com/chart/Q1c5VWwD/?symbol=adbe" TargetMode="External" Id="rId12" /><Relationship Type="http://schemas.openxmlformats.org/officeDocument/2006/relationships/hyperlink" Target="https://www.tradingview.com/chart/Q1c5VWwD/?symbol=adi" TargetMode="External" Id="rId13" /><Relationship Type="http://schemas.openxmlformats.org/officeDocument/2006/relationships/hyperlink" Target="https://www.tradingview.com/chart/Q1c5VWwD/?symbol=adm" TargetMode="External" Id="rId14" /><Relationship Type="http://schemas.openxmlformats.org/officeDocument/2006/relationships/hyperlink" Target="https://www.tradingview.com/chart/Q1c5VWwD/?symbol=adp" TargetMode="External" Id="rId15" /><Relationship Type="http://schemas.openxmlformats.org/officeDocument/2006/relationships/hyperlink" Target="https://www.tradingview.com/chart/Q1c5VWwD/?symbol=aem" TargetMode="External" Id="rId16" /><Relationship Type="http://schemas.openxmlformats.org/officeDocument/2006/relationships/hyperlink" Target="https://www.tradingview.com/chart/Q1c5VWwD/?symbol=aep" TargetMode="External" Id="rId17" /><Relationship Type="http://schemas.openxmlformats.org/officeDocument/2006/relationships/hyperlink" Target="https://www.tradingview.com/chart/Q1c5VWwD/?symbol=afl" TargetMode="External" Id="rId18" /><Relationship Type="http://schemas.openxmlformats.org/officeDocument/2006/relationships/hyperlink" Target="https://www.tradingview.com/chart/Q1c5VWwD/?symbol=afrm" TargetMode="External" Id="rId19" /><Relationship Type="http://schemas.openxmlformats.org/officeDocument/2006/relationships/hyperlink" Target="https://www.tradingview.com/chart/Q1c5VWwD/?symbol=ag" TargetMode="External" Id="rId20" /><Relationship Type="http://schemas.openxmlformats.org/officeDocument/2006/relationships/hyperlink" Target="https://www.tradingview.com/chart/Q1c5VWwD/?symbol=aig" TargetMode="External" Id="rId21" /><Relationship Type="http://schemas.openxmlformats.org/officeDocument/2006/relationships/hyperlink" Target="https://www.tradingview.com/chart/Q1c5VWwD/?symbol=ajg" TargetMode="External" Id="rId22" /><Relationship Type="http://schemas.openxmlformats.org/officeDocument/2006/relationships/hyperlink" Target="https://www.tradingview.com/chart/Q1c5VWwD/?symbol=alb" TargetMode="External" Id="rId23" /><Relationship Type="http://schemas.openxmlformats.org/officeDocument/2006/relationships/hyperlink" Target="https://www.tradingview.com/chart/Q1c5VWwD/?symbol=alec" TargetMode="External" Id="rId24" /><Relationship Type="http://schemas.openxmlformats.org/officeDocument/2006/relationships/hyperlink" Target="https://www.tradingview.com/chart/Q1c5VWwD/?symbol=allo" TargetMode="External" Id="rId25" /><Relationship Type="http://schemas.openxmlformats.org/officeDocument/2006/relationships/hyperlink" Target="https://www.tradingview.com/chart/Q1c5VWwD/?symbol=aloy" TargetMode="External" Id="rId26" /><Relationship Type="http://schemas.openxmlformats.org/officeDocument/2006/relationships/hyperlink" Target="https://www.tradingview.com/chart/Q1c5VWwD/?symbol=alt" TargetMode="External" Id="rId27" /><Relationship Type="http://schemas.openxmlformats.org/officeDocument/2006/relationships/hyperlink" Target="https://www.tradingview.com/chart/Q1c5VWwD/?symbol=amat" TargetMode="External" Id="rId28" /><Relationship Type="http://schemas.openxmlformats.org/officeDocument/2006/relationships/hyperlink" Target="https://www.tradingview.com/chart/Q1c5VWwD/?symbol=amd" TargetMode="External" Id="rId29" /><Relationship Type="http://schemas.openxmlformats.org/officeDocument/2006/relationships/hyperlink" Target="https://www.tradingview.com/chart/Q1c5VWwD/?symbol=amg" TargetMode="External" Id="rId30" /><Relationship Type="http://schemas.openxmlformats.org/officeDocument/2006/relationships/hyperlink" Target="https://www.tradingview.com/chart/Q1c5VWwD/?symbol=amgn" TargetMode="External" Id="rId31" /><Relationship Type="http://schemas.openxmlformats.org/officeDocument/2006/relationships/hyperlink" Target="https://www.tradingview.com/chart/Q1c5VWwD/?symbol=amh" TargetMode="External" Id="rId32" /><Relationship Type="http://schemas.openxmlformats.org/officeDocument/2006/relationships/hyperlink" Target="https://www.tradingview.com/chart/Q1c5VWwD/?symbol=amr" TargetMode="External" Id="rId33" /><Relationship Type="http://schemas.openxmlformats.org/officeDocument/2006/relationships/hyperlink" Target="https://www.tradingview.com/chart/Q1c5VWwD/?symbol=amt" TargetMode="External" Id="rId34" /><Relationship Type="http://schemas.openxmlformats.org/officeDocument/2006/relationships/hyperlink" Target="https://www.tradingview.com/chart/Q1c5VWwD/?symbol=amzn" TargetMode="External" Id="rId35" /><Relationship Type="http://schemas.openxmlformats.org/officeDocument/2006/relationships/hyperlink" Target="https://www.tradingview.com/chart/Q1c5VWwD/?symbol=anet" TargetMode="External" Id="rId36" /><Relationship Type="http://schemas.openxmlformats.org/officeDocument/2006/relationships/hyperlink" Target="https://www.tradingview.com/chart/Q1c5VWwD/?symbol=aon" TargetMode="External" Id="rId37" /><Relationship Type="http://schemas.openxmlformats.org/officeDocument/2006/relationships/hyperlink" Target="https://www.tradingview.com/chart/Q1c5VWwD/?symbol=apa" TargetMode="External" Id="rId38" /><Relationship Type="http://schemas.openxmlformats.org/officeDocument/2006/relationships/hyperlink" Target="https://www.tradingview.com/chart/Q1c5VWwD/?symbol=apd" TargetMode="External" Id="rId39" /><Relationship Type="http://schemas.openxmlformats.org/officeDocument/2006/relationships/hyperlink" Target="https://www.tradingview.com/chart/Q1c5VWwD/?symbol=aph" TargetMode="External" Id="rId40" /><Relationship Type="http://schemas.openxmlformats.org/officeDocument/2006/relationships/hyperlink" Target="https://www.tradingview.com/chart/Q1c5VWwD/?symbol=apo" TargetMode="External" Id="rId41" /><Relationship Type="http://schemas.openxmlformats.org/officeDocument/2006/relationships/hyperlink" Target="https://www.tradingview.com/chart/Q1c5VWwD/?symbol=aptv" TargetMode="External" Id="rId42" /><Relationship Type="http://schemas.openxmlformats.org/officeDocument/2006/relationships/hyperlink" Target="https://www.tradingview.com/chart/Q1c5VWwD/?symbol=ares" TargetMode="External" Id="rId43" /><Relationship Type="http://schemas.openxmlformats.org/officeDocument/2006/relationships/hyperlink" Target="https://www.tradingview.com/chart/Q1c5VWwD/?symbol=arm" TargetMode="External" Id="rId44" /><Relationship Type="http://schemas.openxmlformats.org/officeDocument/2006/relationships/hyperlink" Target="https://www.tradingview.com/chart/Q1c5VWwD/?symbol=arvn" TargetMode="External" Id="rId45" /><Relationship Type="http://schemas.openxmlformats.org/officeDocument/2006/relationships/hyperlink" Target="https://www.tradingview.com/chart/Q1c5VWwD/?symbol=asml" TargetMode="External" Id="rId46" /><Relationship Type="http://schemas.openxmlformats.org/officeDocument/2006/relationships/hyperlink" Target="https://www.tradingview.com/chart/Q1c5VWwD/?symbol=aspi" TargetMode="External" Id="rId47" /><Relationship Type="http://schemas.openxmlformats.org/officeDocument/2006/relationships/hyperlink" Target="https://www.tradingview.com/chart/Q1c5VWwD/?symbol=asts" TargetMode="External" Id="rId48" /><Relationship Type="http://schemas.openxmlformats.org/officeDocument/2006/relationships/hyperlink" Target="https://www.tradingview.com/chart/Q1c5VWwD/?symbol=ato" TargetMode="External" Id="rId49" /><Relationship Type="http://schemas.openxmlformats.org/officeDocument/2006/relationships/hyperlink" Target="https://www.tradingview.com/chart/Q1c5VWwD/?symbol=au" TargetMode="External" Id="rId50" /><Relationship Type="http://schemas.openxmlformats.org/officeDocument/2006/relationships/hyperlink" Target="https://www.tradingview.com/chart/Q1c5VWwD/?symbol=avav" TargetMode="External" Id="rId51" /><Relationship Type="http://schemas.openxmlformats.org/officeDocument/2006/relationships/hyperlink" Target="https://www.tradingview.com/chart/Q1c5VWwD/?symbol=avgo" TargetMode="External" Id="rId52" /><Relationship Type="http://schemas.openxmlformats.org/officeDocument/2006/relationships/hyperlink" Target="https://www.tradingview.com/chart/Q1c5VWwD/?symbol=awk" TargetMode="External" Id="rId53" /><Relationship Type="http://schemas.openxmlformats.org/officeDocument/2006/relationships/hyperlink" Target="https://www.tradingview.com/chart/Q1c5VWwD/?symbol=awr" TargetMode="External" Id="rId54" /><Relationship Type="http://schemas.openxmlformats.org/officeDocument/2006/relationships/hyperlink" Target="https://www.tradingview.com/chart/Q1c5VWwD/?symbol=axp" TargetMode="External" Id="rId55" /><Relationship Type="http://schemas.openxmlformats.org/officeDocument/2006/relationships/hyperlink" Target="https://www.tradingview.com/chart/Q1c5VWwD/?symbol=ba" TargetMode="External" Id="rId56" /><Relationship Type="http://schemas.openxmlformats.org/officeDocument/2006/relationships/hyperlink" Target="https://www.tradingview.com/chart/Q1c5VWwD/?symbol=bac" TargetMode="External" Id="rId57" /><Relationship Type="http://schemas.openxmlformats.org/officeDocument/2006/relationships/hyperlink" Target="https://www.tradingview.com/chart/Q1c5VWwD/?symbol=bby" TargetMode="External" Id="rId58" /><Relationship Type="http://schemas.openxmlformats.org/officeDocument/2006/relationships/hyperlink" Target="https://www.tradingview.com/chart/Q1c5VWwD/?symbol=bc" TargetMode="External" Id="rId59" /><Relationship Type="http://schemas.openxmlformats.org/officeDocument/2006/relationships/hyperlink" Target="https://www.tradingview.com/chart/Q1c5VWwD/?symbol=beam" TargetMode="External" Id="rId60" /><Relationship Type="http://schemas.openxmlformats.org/officeDocument/2006/relationships/hyperlink" Target="https://www.tradingview.com/chart/Q1c5VWwD/?symbol=ben" TargetMode="External" Id="rId61" /><Relationship Type="http://schemas.openxmlformats.org/officeDocument/2006/relationships/hyperlink" Target="https://www.tradingview.com/chart/Q1c5VWwD/?symbol=bf.b" TargetMode="External" Id="rId62" /><Relationship Type="http://schemas.openxmlformats.org/officeDocument/2006/relationships/hyperlink" Target="https://www.tradingview.com/chart/Q1c5VWwD/?symbol=bg" TargetMode="External" Id="rId63" /><Relationship Type="http://schemas.openxmlformats.org/officeDocument/2006/relationships/hyperlink" Target="https://www.tradingview.com/chart/Q1c5VWwD/?symbol=biib" TargetMode="External" Id="rId64" /><Relationship Type="http://schemas.openxmlformats.org/officeDocument/2006/relationships/hyperlink" Target="https://www.tradingview.com/chart/Q1c5VWwD/?symbol=bj" TargetMode="External" Id="rId65" /><Relationship Type="http://schemas.openxmlformats.org/officeDocument/2006/relationships/hyperlink" Target="https://www.tradingview.com/chart/Q1c5VWwD/?symbol=bkr" TargetMode="External" Id="rId66" /><Relationship Type="http://schemas.openxmlformats.org/officeDocument/2006/relationships/hyperlink" Target="https://www.tradingview.com/chart/Q1c5VWwD/?symbol=blk" TargetMode="External" Id="rId67" /><Relationship Type="http://schemas.openxmlformats.org/officeDocument/2006/relationships/hyperlink" Target="https://www.tradingview.com/chart/Q1c5VWwD/?symbol=bmy" TargetMode="External" Id="rId68" /><Relationship Type="http://schemas.openxmlformats.org/officeDocument/2006/relationships/hyperlink" Target="https://www.tradingview.com/chart/Q1c5VWwD/?symbol=bro" TargetMode="External" Id="rId69" /><Relationship Type="http://schemas.openxmlformats.org/officeDocument/2006/relationships/hyperlink" Target="https://www.tradingview.com/chart/Q1c5VWwD/?symbol=bsx" TargetMode="External" Id="rId70" /><Relationship Type="http://schemas.openxmlformats.org/officeDocument/2006/relationships/hyperlink" Target="https://www.tradingview.com/chart/Q1c5VWwD/?symbol=btu" TargetMode="External" Id="rId71" /><Relationship Type="http://schemas.openxmlformats.org/officeDocument/2006/relationships/hyperlink" Target="https://www.tradingview.com/chart/Q1c5VWwD/?symbol=bx" TargetMode="External" Id="rId72" /><Relationship Type="http://schemas.openxmlformats.org/officeDocument/2006/relationships/hyperlink" Target="https://www.tradingview.com/chart/Q1c5VWwD/?symbol=bxp" TargetMode="External" Id="rId73" /><Relationship Type="http://schemas.openxmlformats.org/officeDocument/2006/relationships/hyperlink" Target="https://www.tradingview.com/chart/Q1c5VWwD/?symbol=c" TargetMode="External" Id="rId74" /><Relationship Type="http://schemas.openxmlformats.org/officeDocument/2006/relationships/hyperlink" Target="https://www.tradingview.com/chart/Q1c5VWwD/?symbol=cag" TargetMode="External" Id="rId75" /><Relationship Type="http://schemas.openxmlformats.org/officeDocument/2006/relationships/hyperlink" Target="https://www.tradingview.com/chart/Q1c5VWwD/?symbol=cah" TargetMode="External" Id="rId76" /><Relationship Type="http://schemas.openxmlformats.org/officeDocument/2006/relationships/hyperlink" Target="https://www.tradingview.com/chart/Q1c5VWwD/?symbol=carr" TargetMode="External" Id="rId77" /><Relationship Type="http://schemas.openxmlformats.org/officeDocument/2006/relationships/hyperlink" Target="https://www.tradingview.com/chart/Q1c5VWwD/?symbol=cat" TargetMode="External" Id="rId78" /><Relationship Type="http://schemas.openxmlformats.org/officeDocument/2006/relationships/hyperlink" Target="https://www.tradingview.com/chart/Q1c5VWwD/?symbol=cb" TargetMode="External" Id="rId79" /><Relationship Type="http://schemas.openxmlformats.org/officeDocument/2006/relationships/hyperlink" Target="https://www.tradingview.com/chart/Q1c5VWwD/?symbol=cboe" TargetMode="External" Id="rId80" /><Relationship Type="http://schemas.openxmlformats.org/officeDocument/2006/relationships/hyperlink" Target="https://www.tradingview.com/chart/Q1c5VWwD/?symbol=cbre" TargetMode="External" Id="rId81" /><Relationship Type="http://schemas.openxmlformats.org/officeDocument/2006/relationships/hyperlink" Target="https://www.tradingview.com/chart/Q1c5VWwD/?symbol=cci" TargetMode="External" Id="rId82" /><Relationship Type="http://schemas.openxmlformats.org/officeDocument/2006/relationships/hyperlink" Target="https://www.tradingview.com/chart/Q1c5VWwD/?symbol=ccj" TargetMode="External" Id="rId83" /><Relationship Type="http://schemas.openxmlformats.org/officeDocument/2006/relationships/hyperlink" Target="https://www.tradingview.com/chart/Q1c5VWwD/?symbol=ccl" TargetMode="External" Id="rId84" /><Relationship Type="http://schemas.openxmlformats.org/officeDocument/2006/relationships/hyperlink" Target="https://www.tradingview.com/chart/Q1c5VWwD/?symbol=cde" TargetMode="External" Id="rId85" /><Relationship Type="http://schemas.openxmlformats.org/officeDocument/2006/relationships/hyperlink" Target="https://www.tradingview.com/chart/Q1c5VWwD/?symbol=cdns" TargetMode="External" Id="rId86" /><Relationship Type="http://schemas.openxmlformats.org/officeDocument/2006/relationships/hyperlink" Target="https://www.tradingview.com/chart/Q1c5VWwD/?symbol=ceg" TargetMode="External" Id="rId87" /><Relationship Type="http://schemas.openxmlformats.org/officeDocument/2006/relationships/hyperlink" Target="https://www.tradingview.com/chart/Q1c5VWwD/?symbol=celh" TargetMode="External" Id="rId88" /><Relationship Type="http://schemas.openxmlformats.org/officeDocument/2006/relationships/hyperlink" Target="https://www.tradingview.com/chart/Q1c5VWwD/?symbol=cenx" TargetMode="External" Id="rId89" /><Relationship Type="http://schemas.openxmlformats.org/officeDocument/2006/relationships/hyperlink" Target="https://www.tradingview.com/chart/Q1c5VWwD/?symbol=cf" TargetMode="External" Id="rId90" /><Relationship Type="http://schemas.openxmlformats.org/officeDocument/2006/relationships/hyperlink" Target="https://www.tradingview.com/chart/Q1c5VWwD/?symbol=chd" TargetMode="External" Id="rId91" /><Relationship Type="http://schemas.openxmlformats.org/officeDocument/2006/relationships/hyperlink" Target="https://www.tradingview.com/chart/Q1c5VWwD/?symbol=chef" TargetMode="External" Id="rId92" /><Relationship Type="http://schemas.openxmlformats.org/officeDocument/2006/relationships/hyperlink" Target="https://www.tradingview.com/chart/Q1c5VWwD/?symbol=chtr" TargetMode="External" Id="rId93" /><Relationship Type="http://schemas.openxmlformats.org/officeDocument/2006/relationships/hyperlink" Target="https://www.tradingview.com/chart/Q1c5VWwD/?symbol=chwy" TargetMode="External" Id="rId94" /><Relationship Type="http://schemas.openxmlformats.org/officeDocument/2006/relationships/hyperlink" Target="https://www.tradingview.com/chart/Q1c5VWwD/?symbol=ci" TargetMode="External" Id="rId95" /><Relationship Type="http://schemas.openxmlformats.org/officeDocument/2006/relationships/hyperlink" Target="https://www.tradingview.com/chart/Q1c5VWwD/?symbol=cien" TargetMode="External" Id="rId96" /><Relationship Type="http://schemas.openxmlformats.org/officeDocument/2006/relationships/hyperlink" Target="https://www.tradingview.com/chart/Q1c5VWwD/?symbol=cl" TargetMode="External" Id="rId97" /><Relationship Type="http://schemas.openxmlformats.org/officeDocument/2006/relationships/hyperlink" Target="https://www.tradingview.com/chart/Q1c5VWwD/?symbol=clf" TargetMode="External" Id="rId98" /><Relationship Type="http://schemas.openxmlformats.org/officeDocument/2006/relationships/hyperlink" Target="https://www.tradingview.com/chart/Q1c5VWwD/?symbol=clh" TargetMode="External" Id="rId99" /><Relationship Type="http://schemas.openxmlformats.org/officeDocument/2006/relationships/hyperlink" Target="https://www.tradingview.com/chart/Q1c5VWwD/?symbol=cmcsa" TargetMode="External" Id="rId100" /><Relationship Type="http://schemas.openxmlformats.org/officeDocument/2006/relationships/hyperlink" Target="https://www.tradingview.com/chart/Q1c5VWwD/?symbol=cme" TargetMode="External" Id="rId101" /><Relationship Type="http://schemas.openxmlformats.org/officeDocument/2006/relationships/hyperlink" Target="https://www.tradingview.com/chart/Q1c5VWwD/?symbol=cmg" TargetMode="External" Id="rId102" /><Relationship Type="http://schemas.openxmlformats.org/officeDocument/2006/relationships/hyperlink" Target="https://www.tradingview.com/chart/Q1c5VWwD/?symbol=cmi" TargetMode="External" Id="rId103" /><Relationship Type="http://schemas.openxmlformats.org/officeDocument/2006/relationships/hyperlink" Target="https://www.tradingview.com/chart/Q1c5VWwD/?symbol=cnc" TargetMode="External" Id="rId104" /><Relationship Type="http://schemas.openxmlformats.org/officeDocument/2006/relationships/hyperlink" Target="https://www.tradingview.com/chart/Q1c5VWwD/?symbol=cnr" TargetMode="External" Id="rId105" /><Relationship Type="http://schemas.openxmlformats.org/officeDocument/2006/relationships/hyperlink" Target="https://www.tradingview.com/chart/Q1c5VWwD/?symbol=cof" TargetMode="External" Id="rId106" /><Relationship Type="http://schemas.openxmlformats.org/officeDocument/2006/relationships/hyperlink" Target="https://www.tradingview.com/chart/Q1c5VWwD/?symbol=cohr" TargetMode="External" Id="rId107" /><Relationship Type="http://schemas.openxmlformats.org/officeDocument/2006/relationships/hyperlink" Target="https://www.tradingview.com/chart/Q1c5VWwD/?symbol=coin" TargetMode="External" Id="rId108" /><Relationship Type="http://schemas.openxmlformats.org/officeDocument/2006/relationships/hyperlink" Target="https://www.tradingview.com/chart/Q1c5VWwD/?symbol=comp" TargetMode="External" Id="rId109" /><Relationship Type="http://schemas.openxmlformats.org/officeDocument/2006/relationships/hyperlink" Target="https://www.tradingview.com/chart/Q1c5VWwD/?symbol=cop" TargetMode="External" Id="rId110" /><Relationship Type="http://schemas.openxmlformats.org/officeDocument/2006/relationships/hyperlink" Target="https://www.tradingview.com/chart/Q1c5VWwD/?symbol=cor" TargetMode="External" Id="rId111" /><Relationship Type="http://schemas.openxmlformats.org/officeDocument/2006/relationships/hyperlink" Target="https://www.tradingview.com/chart/Q1c5VWwD/?symbol=cost" TargetMode="External" Id="rId112" /><Relationship Type="http://schemas.openxmlformats.org/officeDocument/2006/relationships/hyperlink" Target="https://www.tradingview.com/chart/Q1c5VWwD/?symbol=crcl" TargetMode="External" Id="rId113" /><Relationship Type="http://schemas.openxmlformats.org/officeDocument/2006/relationships/hyperlink" Target="https://www.tradingview.com/chart/Q1c5VWwD/?symbol=crdo" TargetMode="External" Id="rId114" /><Relationship Type="http://schemas.openxmlformats.org/officeDocument/2006/relationships/hyperlink" Target="https://www.tradingview.com/chart/Q1c5VWwD/?symbol=crh" TargetMode="External" Id="rId115" /><Relationship Type="http://schemas.openxmlformats.org/officeDocument/2006/relationships/hyperlink" Target="https://www.tradingview.com/chart/Q1c5VWwD/?symbol=crm" TargetMode="External" Id="rId116" /><Relationship Type="http://schemas.openxmlformats.org/officeDocument/2006/relationships/hyperlink" Target="https://www.tradingview.com/chart/Q1c5VWwD/?symbol=crsp" TargetMode="External" Id="rId117" /><Relationship Type="http://schemas.openxmlformats.org/officeDocument/2006/relationships/hyperlink" Target="https://www.tradingview.com/chart/Q1c5VWwD/?symbol=crvs" TargetMode="External" Id="rId118" /><Relationship Type="http://schemas.openxmlformats.org/officeDocument/2006/relationships/hyperlink" Target="https://www.tradingview.com/chart/Q1c5VWwD/?symbol=crwd" TargetMode="External" Id="rId119" /><Relationship Type="http://schemas.openxmlformats.org/officeDocument/2006/relationships/hyperlink" Target="https://www.tradingview.com/chart/Q1c5VWwD/?symbol=crwv" TargetMode="External" Id="rId120" /><Relationship Type="http://schemas.openxmlformats.org/officeDocument/2006/relationships/hyperlink" Target="https://www.tradingview.com/chart/Q1c5VWwD/?symbol=csx" TargetMode="External" Id="rId121" /><Relationship Type="http://schemas.openxmlformats.org/officeDocument/2006/relationships/hyperlink" Target="https://www.tradingview.com/chart/Q1c5VWwD/?symbol=ctas" TargetMode="External" Id="rId122" /><Relationship Type="http://schemas.openxmlformats.org/officeDocument/2006/relationships/hyperlink" Target="https://www.tradingview.com/chart/Q1c5VWwD/?symbol=ctsh" TargetMode="External" Id="rId123" /><Relationship Type="http://schemas.openxmlformats.org/officeDocument/2006/relationships/hyperlink" Target="https://www.tradingview.com/chart/Q1c5VWwD/?symbol=ctva" TargetMode="External" Id="rId124" /><Relationship Type="http://schemas.openxmlformats.org/officeDocument/2006/relationships/hyperlink" Target="https://www.tradingview.com/chart/Q1c5VWwD/?symbol=cvs" TargetMode="External" Id="rId125" /><Relationship Type="http://schemas.openxmlformats.org/officeDocument/2006/relationships/hyperlink" Target="https://www.tradingview.com/chart/Q1c5VWwD/?symbol=cvx" TargetMode="External" Id="rId126" /><Relationship Type="http://schemas.openxmlformats.org/officeDocument/2006/relationships/hyperlink" Target="https://www.tradingview.com/chart/Q1c5VWwD/?symbol=cwst" TargetMode="External" Id="rId127" /><Relationship Type="http://schemas.openxmlformats.org/officeDocument/2006/relationships/hyperlink" Target="https://www.tradingview.com/chart/Q1c5VWwD/?symbol=cwt" TargetMode="External" Id="rId128" /><Relationship Type="http://schemas.openxmlformats.org/officeDocument/2006/relationships/hyperlink" Target="https://www.tradingview.com/chart/Q1c5VWwD/?symbol=d" TargetMode="External" Id="rId129" /><Relationship Type="http://schemas.openxmlformats.org/officeDocument/2006/relationships/hyperlink" Target="https://www.tradingview.com/chart/Q1c5VWwD/?symbol=dal" TargetMode="External" Id="rId130" /><Relationship Type="http://schemas.openxmlformats.org/officeDocument/2006/relationships/hyperlink" Target="https://www.tradingview.com/chart/Q1c5VWwD/?symbol=ddog" TargetMode="External" Id="rId131" /><Relationship Type="http://schemas.openxmlformats.org/officeDocument/2006/relationships/hyperlink" Target="https://www.tradingview.com/chart/Q1c5VWwD/?symbol=de" TargetMode="External" Id="rId132" /><Relationship Type="http://schemas.openxmlformats.org/officeDocument/2006/relationships/hyperlink" Target="https://www.tradingview.com/chart/Q1c5VWwD/?symbol=deck" TargetMode="External" Id="rId133" /><Relationship Type="http://schemas.openxmlformats.org/officeDocument/2006/relationships/hyperlink" Target="https://www.tradingview.com/chart/Q1c5VWwD/?symbol=dell" TargetMode="External" Id="rId134" /><Relationship Type="http://schemas.openxmlformats.org/officeDocument/2006/relationships/hyperlink" Target="https://www.tradingview.com/chart/Q1c5VWwD/?symbol=deo" TargetMode="External" Id="rId135" /><Relationship Type="http://schemas.openxmlformats.org/officeDocument/2006/relationships/hyperlink" Target="https://www.tradingview.com/chart/Q1c5VWwD/?symbol=dhi" TargetMode="External" Id="rId136" /><Relationship Type="http://schemas.openxmlformats.org/officeDocument/2006/relationships/hyperlink" Target="https://www.tradingview.com/chart/Q1c5VWwD/?symbol=dhr" TargetMode="External" Id="rId137" /><Relationship Type="http://schemas.openxmlformats.org/officeDocument/2006/relationships/hyperlink" Target="https://www.tradingview.com/chart/Q1c5VWwD/?symbol=dino" TargetMode="External" Id="rId138" /><Relationship Type="http://schemas.openxmlformats.org/officeDocument/2006/relationships/hyperlink" Target="https://www.tradingview.com/chart/Q1c5VWwD/?symbol=dis" TargetMode="External" Id="rId139" /><Relationship Type="http://schemas.openxmlformats.org/officeDocument/2006/relationships/hyperlink" Target="https://www.tradingview.com/chart/Q1c5VWwD/?symbol=dkng" TargetMode="External" Id="rId140" /><Relationship Type="http://schemas.openxmlformats.org/officeDocument/2006/relationships/hyperlink" Target="https://www.tradingview.com/chart/Q1c5VWwD/?symbol=dlr" TargetMode="External" Id="rId141" /><Relationship Type="http://schemas.openxmlformats.org/officeDocument/2006/relationships/hyperlink" Target="https://www.tradingview.com/chart/Q1c5VWwD/?symbol=dnli" TargetMode="External" Id="rId142" /><Relationship Type="http://schemas.openxmlformats.org/officeDocument/2006/relationships/hyperlink" Target="https://www.tradingview.com/chart/Q1c5VWwD/?symbol=dnn" TargetMode="External" Id="rId143" /><Relationship Type="http://schemas.openxmlformats.org/officeDocument/2006/relationships/hyperlink" Target="https://www.tradingview.com/chart/Q1c5VWwD/?symbol=doc" TargetMode="External" Id="rId144" /><Relationship Type="http://schemas.openxmlformats.org/officeDocument/2006/relationships/hyperlink" Target="https://www.tradingview.com/chart/Q1c5VWwD/?symbol=docs" TargetMode="External" Id="rId145" /><Relationship Type="http://schemas.openxmlformats.org/officeDocument/2006/relationships/hyperlink" Target="https://www.tradingview.com/chart/Q1c5VWwD/?symbol=dow" TargetMode="External" Id="rId146" /><Relationship Type="http://schemas.openxmlformats.org/officeDocument/2006/relationships/hyperlink" Target="https://www.tradingview.com/chart/Q1c5VWwD/?symbol=dri" TargetMode="External" Id="rId147" /><Relationship Type="http://schemas.openxmlformats.org/officeDocument/2006/relationships/hyperlink" Target="https://www.tradingview.com/chart/Q1c5VWwD/?symbol=dtil" TargetMode="External" Id="rId148" /><Relationship Type="http://schemas.openxmlformats.org/officeDocument/2006/relationships/hyperlink" Target="https://www.tradingview.com/chart/Q1c5VWwD/?symbol=duk" TargetMode="External" Id="rId149" /><Relationship Type="http://schemas.openxmlformats.org/officeDocument/2006/relationships/hyperlink" Target="https://www.tradingview.com/chart/Q1c5VWwD/?symbol=dvn" TargetMode="External" Id="rId150" /><Relationship Type="http://schemas.openxmlformats.org/officeDocument/2006/relationships/hyperlink" Target="https://www.tradingview.com/chart/Q1c5VWwD/?symbol=ebay" TargetMode="External" Id="rId151" /><Relationship Type="http://schemas.openxmlformats.org/officeDocument/2006/relationships/hyperlink" Target="https://www.tradingview.com/chart/Q1c5VWwD/?symbol=ecl" TargetMode="External" Id="rId152" /><Relationship Type="http://schemas.openxmlformats.org/officeDocument/2006/relationships/hyperlink" Target="https://www.tradingview.com/chart/Q1c5VWwD/?symbol=ee" TargetMode="External" Id="rId153" /><Relationship Type="http://schemas.openxmlformats.org/officeDocument/2006/relationships/hyperlink" Target="https://www.tradingview.com/chart/Q1c5VWwD/?symbol=egp" TargetMode="External" Id="rId154" /><Relationship Type="http://schemas.openxmlformats.org/officeDocument/2006/relationships/hyperlink" Target="https://www.tradingview.com/chart/Q1c5VWwD/?symbol=ehc" TargetMode="External" Id="rId155" /><Relationship Type="http://schemas.openxmlformats.org/officeDocument/2006/relationships/hyperlink" Target="https://www.tradingview.com/chart/Q1c5VWwD/?symbol=el" TargetMode="External" Id="rId156" /><Relationship Type="http://schemas.openxmlformats.org/officeDocument/2006/relationships/hyperlink" Target="https://www.tradingview.com/chart/Q1c5VWwD/?symbol=elv" TargetMode="External" Id="rId157" /><Relationship Type="http://schemas.openxmlformats.org/officeDocument/2006/relationships/hyperlink" Target="https://www.tradingview.com/chart/Q1c5VWwD/?symbol=eme" TargetMode="External" Id="rId158" /><Relationship Type="http://schemas.openxmlformats.org/officeDocument/2006/relationships/hyperlink" Target="https://www.tradingview.com/chart/Q1c5VWwD/?symbol=emr" TargetMode="External" Id="rId159" /><Relationship Type="http://schemas.openxmlformats.org/officeDocument/2006/relationships/hyperlink" Target="https://www.tradingview.com/chart/Q1c5VWwD/?symbol=enph" TargetMode="External" Id="rId160" /><Relationship Type="http://schemas.openxmlformats.org/officeDocument/2006/relationships/hyperlink" Target="https://www.tradingview.com/chart/Q1c5VWwD/?symbol=eog" TargetMode="External" Id="rId161" /><Relationship Type="http://schemas.openxmlformats.org/officeDocument/2006/relationships/hyperlink" Target="https://www.tradingview.com/chart/Q1c5VWwD/?symbol=epam" TargetMode="External" Id="rId162" /><Relationship Type="http://schemas.openxmlformats.org/officeDocument/2006/relationships/hyperlink" Target="https://www.tradingview.com/chart/Q1c5VWwD/?symbol=epd" TargetMode="External" Id="rId163" /><Relationship Type="http://schemas.openxmlformats.org/officeDocument/2006/relationships/hyperlink" Target="https://www.tradingview.com/chart/Q1c5VWwD/?symbol=eqh" TargetMode="External" Id="rId164" /><Relationship Type="http://schemas.openxmlformats.org/officeDocument/2006/relationships/hyperlink" Target="https://www.tradingview.com/chart/Q1c5VWwD/?symbol=eqix" TargetMode="External" Id="rId165" /><Relationship Type="http://schemas.openxmlformats.org/officeDocument/2006/relationships/hyperlink" Target="https://www.tradingview.com/chart/Q1c5VWwD/?symbol=et" TargetMode="External" Id="rId166" /><Relationship Type="http://schemas.openxmlformats.org/officeDocument/2006/relationships/hyperlink" Target="https://www.tradingview.com/chart/Q1c5VWwD/?symbol=etn" TargetMode="External" Id="rId167" /><Relationship Type="http://schemas.openxmlformats.org/officeDocument/2006/relationships/hyperlink" Target="https://www.tradingview.com/chart/Q1c5VWwD/?symbol=evr" TargetMode="External" Id="rId168" /><Relationship Type="http://schemas.openxmlformats.org/officeDocument/2006/relationships/hyperlink" Target="https://www.tradingview.com/chart/Q1c5VWwD/?symbol=exr" TargetMode="External" Id="rId169" /><Relationship Type="http://schemas.openxmlformats.org/officeDocument/2006/relationships/hyperlink" Target="https://www.tradingview.com/chart/Q1c5VWwD/?symbol=f" TargetMode="External" Id="rId170" /><Relationship Type="http://schemas.openxmlformats.org/officeDocument/2006/relationships/hyperlink" Target="https://www.tradingview.com/chart/Q1c5VWwD/?symbol=fang" TargetMode="External" Id="rId171" /><Relationship Type="http://schemas.openxmlformats.org/officeDocument/2006/relationships/hyperlink" Target="https://www.tradingview.com/chart/Q1c5VWwD/?symbol=fate" TargetMode="External" Id="rId172" /><Relationship Type="http://schemas.openxmlformats.org/officeDocument/2006/relationships/hyperlink" Target="https://www.tradingview.com/chart/Q1c5VWwD/?symbol=fcx" TargetMode="External" Id="rId173" /><Relationship Type="http://schemas.openxmlformats.org/officeDocument/2006/relationships/hyperlink" Target="https://www.tradingview.com/chart/Q1c5VWwD/?symbol=fdx" TargetMode="External" Id="rId174" /><Relationship Type="http://schemas.openxmlformats.org/officeDocument/2006/relationships/hyperlink" Target="https://www.tradingview.com/chart/Q1c5VWwD/?symbol=flex" TargetMode="External" Id="rId175" /><Relationship Type="http://schemas.openxmlformats.org/officeDocument/2006/relationships/hyperlink" Target="https://www.tradingview.com/chart/Q1c5VWwD/?symbol=flr" TargetMode="External" Id="rId176" /><Relationship Type="http://schemas.openxmlformats.org/officeDocument/2006/relationships/hyperlink" Target="https://www.tradingview.com/chart/Q1c5VWwD/?symbol=flut" TargetMode="External" Id="rId177" /><Relationship Type="http://schemas.openxmlformats.org/officeDocument/2006/relationships/hyperlink" Target="https://www.tradingview.com/chart/Q1c5VWwD/?symbol=fr" TargetMode="External" Id="rId178" /><Relationship Type="http://schemas.openxmlformats.org/officeDocument/2006/relationships/hyperlink" Target="https://www.tradingview.com/chart/Q1c5VWwD/?symbol=frt" TargetMode="External" Id="rId179" /><Relationship Type="http://schemas.openxmlformats.org/officeDocument/2006/relationships/hyperlink" Target="https://www.tradingview.com/chart/Q1c5VWwD/?symbol=fslr" TargetMode="External" Id="rId180" /><Relationship Type="http://schemas.openxmlformats.org/officeDocument/2006/relationships/hyperlink" Target="https://www.tradingview.com/chart/Q1c5VWwD/?symbol=ftnt" TargetMode="External" Id="rId181" /><Relationship Type="http://schemas.openxmlformats.org/officeDocument/2006/relationships/hyperlink" Target="https://www.tradingview.com/chart/Q1c5VWwD/?symbol=fwonk" TargetMode="External" Id="rId182" /><Relationship Type="http://schemas.openxmlformats.org/officeDocument/2006/relationships/hyperlink" Target="https://www.tradingview.com/chart/Q1c5VWwD/?symbol=gd" TargetMode="External" Id="rId183" /><Relationship Type="http://schemas.openxmlformats.org/officeDocument/2006/relationships/hyperlink" Target="https://www.tradingview.com/chart/Q1c5VWwD/?symbol=gev" TargetMode="External" Id="rId184" /><Relationship Type="http://schemas.openxmlformats.org/officeDocument/2006/relationships/hyperlink" Target="https://www.tradingview.com/chart/Q1c5VWwD/?symbol=gfs" TargetMode="External" Id="rId185" /><Relationship Type="http://schemas.openxmlformats.org/officeDocument/2006/relationships/hyperlink" Target="https://www.tradingview.com/chart/Q1c5VWwD/?symbol=gild" TargetMode="External" Id="rId186" /><Relationship Type="http://schemas.openxmlformats.org/officeDocument/2006/relationships/hyperlink" Target="https://www.tradingview.com/chart/Q1c5VWwD/?symbol=gis" TargetMode="External" Id="rId187" /><Relationship Type="http://schemas.openxmlformats.org/officeDocument/2006/relationships/hyperlink" Target="https://www.tradingview.com/chart/Q1c5VWwD/?symbol=glng" TargetMode="External" Id="rId188" /><Relationship Type="http://schemas.openxmlformats.org/officeDocument/2006/relationships/hyperlink" Target="https://www.tradingview.com/chart/Q1c5VWwD/?symbol=glpi" TargetMode="External" Id="rId189" /><Relationship Type="http://schemas.openxmlformats.org/officeDocument/2006/relationships/hyperlink" Target="https://www.tradingview.com/chart/Q1c5VWwD/?symbol=gm" TargetMode="External" Id="rId190" /><Relationship Type="http://schemas.openxmlformats.org/officeDocument/2006/relationships/hyperlink" Target="https://www.tradingview.com/chart/Q1c5VWwD/?symbol=gold" TargetMode="External" Id="rId191" /><Relationship Type="http://schemas.openxmlformats.org/officeDocument/2006/relationships/hyperlink" Target="https://www.tradingview.com/chart/Q1c5VWwD/?symbol=googl" TargetMode="External" Id="rId192" /><Relationship Type="http://schemas.openxmlformats.org/officeDocument/2006/relationships/hyperlink" Target="https://www.tradingview.com/chart/Q1c5VWwD/?symbol=gpn" TargetMode="External" Id="rId193" /><Relationship Type="http://schemas.openxmlformats.org/officeDocument/2006/relationships/hyperlink" Target="https://www.tradingview.com/chart/Q1c5VWwD/?symbol=gs" TargetMode="External" Id="rId194" /><Relationship Type="http://schemas.openxmlformats.org/officeDocument/2006/relationships/hyperlink" Target="https://www.tradingview.com/chart/Q1c5VWwD/?symbol=hal" TargetMode="External" Id="rId195" /><Relationship Type="http://schemas.openxmlformats.org/officeDocument/2006/relationships/hyperlink" Target="https://www.tradingview.com/chart/Q1c5VWwD/?symbol=hbm" TargetMode="External" Id="rId196" /><Relationship Type="http://schemas.openxmlformats.org/officeDocument/2006/relationships/hyperlink" Target="https://www.tradingview.com/chart/Q1c5VWwD/?symbol=hca" TargetMode="External" Id="rId197" /><Relationship Type="http://schemas.openxmlformats.org/officeDocument/2006/relationships/hyperlink" Target="https://www.tradingview.com/chart/Q1c5VWwD/?symbol=hcc" TargetMode="External" Id="rId198" /><Relationship Type="http://schemas.openxmlformats.org/officeDocument/2006/relationships/hyperlink" Target="https://www.tradingview.com/chart/Q1c5VWwD/?symbol=hd" TargetMode="External" Id="rId199" /><Relationship Type="http://schemas.openxmlformats.org/officeDocument/2006/relationships/hyperlink" Target="https://www.tradingview.com/chart/Q1c5VWwD/?symbol=hims" TargetMode="External" Id="rId200" /><Relationship Type="http://schemas.openxmlformats.org/officeDocument/2006/relationships/hyperlink" Target="https://www.tradingview.com/chart/Q1c5VWwD/?symbol=hiw" TargetMode="External" Id="rId201" /><Relationship Type="http://schemas.openxmlformats.org/officeDocument/2006/relationships/hyperlink" Target="https://www.tradingview.com/chart/Q1c5VWwD/?symbol=hl" TargetMode="External" Id="rId202" /><Relationship Type="http://schemas.openxmlformats.org/officeDocument/2006/relationships/hyperlink" Target="https://www.tradingview.com/chart/Q1c5VWwD/?symbol=hlt" TargetMode="External" Id="rId203" /><Relationship Type="http://schemas.openxmlformats.org/officeDocument/2006/relationships/hyperlink" Target="https://www.tradingview.com/chart/Q1c5VWwD/?symbol=hon" TargetMode="External" Id="rId204" /><Relationship Type="http://schemas.openxmlformats.org/officeDocument/2006/relationships/hyperlink" Target="https://www.tradingview.com/chart/Q1c5VWwD/?symbol=hood" TargetMode="External" Id="rId205" /><Relationship Type="http://schemas.openxmlformats.org/officeDocument/2006/relationships/hyperlink" Target="https://www.tradingview.com/chart/Q1c5VWwD/?symbol=hrb" TargetMode="External" Id="rId206" /><Relationship Type="http://schemas.openxmlformats.org/officeDocument/2006/relationships/hyperlink" Target="https://www.tradingview.com/chart/Q1c5VWwD/?symbol=hsy" TargetMode="External" Id="rId207" /><Relationship Type="http://schemas.openxmlformats.org/officeDocument/2006/relationships/hyperlink" Target="https://www.tradingview.com/chart/Q1c5VWwD/?symbol=hto" TargetMode="External" Id="rId208" /><Relationship Type="http://schemas.openxmlformats.org/officeDocument/2006/relationships/hyperlink" Target="https://www.tradingview.com/chart/Q1c5VWwD/?symbol=hubb" TargetMode="External" Id="rId209" /><Relationship Type="http://schemas.openxmlformats.org/officeDocument/2006/relationships/hyperlink" Target="https://www.tradingview.com/chart/Q1c5VWwD/?symbol=hum" TargetMode="External" Id="rId210" /><Relationship Type="http://schemas.openxmlformats.org/officeDocument/2006/relationships/hyperlink" Target="https://www.tradingview.com/chart/Q1c5VWwD/?symbol=ibm" TargetMode="External" Id="rId211" /><Relationship Type="http://schemas.openxmlformats.org/officeDocument/2006/relationships/hyperlink" Target="https://www.tradingview.com/chart/Q1c5VWwD/?symbol=ice" TargetMode="External" Id="rId212" /><Relationship Type="http://schemas.openxmlformats.org/officeDocument/2006/relationships/hyperlink" Target="https://www.tradingview.com/chart/Q1c5VWwD/?symbol=ilmn" TargetMode="External" Id="rId213" /><Relationship Type="http://schemas.openxmlformats.org/officeDocument/2006/relationships/hyperlink" Target="https://www.tradingview.com/chart/Q1c5VWwD/?symbol=infy" TargetMode="External" Id="rId214" /><Relationship Type="http://schemas.openxmlformats.org/officeDocument/2006/relationships/hyperlink" Target="https://www.tradingview.com/chart/Q1c5VWwD/?symbol=ingr" TargetMode="External" Id="rId215" /><Relationship Type="http://schemas.openxmlformats.org/officeDocument/2006/relationships/hyperlink" Target="https://www.tradingview.com/chart/Q1c5VWwD/?symbol=intc" TargetMode="External" Id="rId216" /><Relationship Type="http://schemas.openxmlformats.org/officeDocument/2006/relationships/hyperlink" Target="https://www.tradingview.com/chart/Q1c5VWwD/?symbol=invh" TargetMode="External" Id="rId217" /><Relationship Type="http://schemas.openxmlformats.org/officeDocument/2006/relationships/hyperlink" Target="https://www.tradingview.com/chart/Q1c5VWwD/?symbol=ionq" TargetMode="External" Id="rId218" /><Relationship Type="http://schemas.openxmlformats.org/officeDocument/2006/relationships/hyperlink" Target="https://www.tradingview.com/chart/Q1c5VWwD/?symbol=ions" TargetMode="External" Id="rId219" /><Relationship Type="http://schemas.openxmlformats.org/officeDocument/2006/relationships/hyperlink" Target="https://www.tradingview.com/chart/Q1c5VWwD/?symbol=iova" TargetMode="External" Id="rId220" /><Relationship Type="http://schemas.openxmlformats.org/officeDocument/2006/relationships/hyperlink" Target="https://www.tradingview.com/chart/Q1c5VWwD/?symbol=ip" TargetMode="External" Id="rId221" /><Relationship Type="http://schemas.openxmlformats.org/officeDocument/2006/relationships/hyperlink" Target="https://www.tradingview.com/chart/Q1c5VWwD/?symbol=iren" TargetMode="External" Id="rId222" /><Relationship Type="http://schemas.openxmlformats.org/officeDocument/2006/relationships/hyperlink" Target="https://www.tradingview.com/chart/Q1c5VWwD/?symbol=isrg" TargetMode="External" Id="rId223" /><Relationship Type="http://schemas.openxmlformats.org/officeDocument/2006/relationships/hyperlink" Target="https://www.tradingview.com/chart/Q1c5VWwD/?symbol=j" TargetMode="External" Id="rId224" /><Relationship Type="http://schemas.openxmlformats.org/officeDocument/2006/relationships/hyperlink" Target="https://www.tradingview.com/chart/Q1c5VWwD/?symbol=jbht" TargetMode="External" Id="rId225" /><Relationship Type="http://schemas.openxmlformats.org/officeDocument/2006/relationships/hyperlink" Target="https://www.tradingview.com/chart/Q1c5VWwD/?symbol=jbl" TargetMode="External" Id="rId226" /><Relationship Type="http://schemas.openxmlformats.org/officeDocument/2006/relationships/hyperlink" Target="https://www.tradingview.com/chart/Q1c5VWwD/?symbol=jci" TargetMode="External" Id="rId227" /><Relationship Type="http://schemas.openxmlformats.org/officeDocument/2006/relationships/hyperlink" Target="https://www.tradingview.com/chart/Q1c5VWwD/?symbol=jef" TargetMode="External" Id="rId228" /><Relationship Type="http://schemas.openxmlformats.org/officeDocument/2006/relationships/hyperlink" Target="https://www.tradingview.com/chart/Q1c5VWwD/?symbol=jll" TargetMode="External" Id="rId229" /><Relationship Type="http://schemas.openxmlformats.org/officeDocument/2006/relationships/hyperlink" Target="https://www.tradingview.com/chart/Q1c5VWwD/?symbol=jnj" TargetMode="External" Id="rId230" /><Relationship Type="http://schemas.openxmlformats.org/officeDocument/2006/relationships/hyperlink" Target="https://www.tradingview.com/chart/Q1c5VWwD/?symbol=jpm" TargetMode="External" Id="rId231" /><Relationship Type="http://schemas.openxmlformats.org/officeDocument/2006/relationships/hyperlink" Target="https://www.tradingview.com/chart/Q1c5VWwD/?symbol=kalu" TargetMode="External" Id="rId232" /><Relationship Type="http://schemas.openxmlformats.org/officeDocument/2006/relationships/hyperlink" Target="https://www.tradingview.com/chart/Q1c5VWwD/?symbol=kdp" TargetMode="External" Id="rId233" /><Relationship Type="http://schemas.openxmlformats.org/officeDocument/2006/relationships/hyperlink" Target="https://www.tradingview.com/chart/Q1c5VWwD/?symbol=kgc" TargetMode="External" Id="rId234" /><Relationship Type="http://schemas.openxmlformats.org/officeDocument/2006/relationships/hyperlink" Target="https://www.tradingview.com/chart/Q1c5VWwD/?symbol=khc" TargetMode="External" Id="rId235" /><Relationship Type="http://schemas.openxmlformats.org/officeDocument/2006/relationships/hyperlink" Target="https://www.tradingview.com/chart/Q1c5VWwD/?symbol=kim" TargetMode="External" Id="rId236" /><Relationship Type="http://schemas.openxmlformats.org/officeDocument/2006/relationships/hyperlink" Target="https://www.tradingview.com/chart/Q1c5VWwD/?symbol=kkr" TargetMode="External" Id="rId237" /><Relationship Type="http://schemas.openxmlformats.org/officeDocument/2006/relationships/hyperlink" Target="https://www.tradingview.com/chart/Q1c5VWwD/?symbol=klac" TargetMode="External" Id="rId238" /><Relationship Type="http://schemas.openxmlformats.org/officeDocument/2006/relationships/hyperlink" Target="https://www.tradingview.com/chart/Q1c5VWwD/?symbol=kmb" TargetMode="External" Id="rId239" /><Relationship Type="http://schemas.openxmlformats.org/officeDocument/2006/relationships/hyperlink" Target="https://www.tradingview.com/chart/Q1c5VWwD/?symbol=kmi" TargetMode="External" Id="rId240" /><Relationship Type="http://schemas.openxmlformats.org/officeDocument/2006/relationships/hyperlink" Target="https://www.tradingview.com/chart/Q1c5VWwD/?symbol=ko" TargetMode="External" Id="rId241" /><Relationship Type="http://schemas.openxmlformats.org/officeDocument/2006/relationships/hyperlink" Target="https://www.tradingview.com/chart/Q1c5VWwD/?symbol=kr" TargetMode="External" Id="rId242" /><Relationship Type="http://schemas.openxmlformats.org/officeDocument/2006/relationships/hyperlink" Target="https://www.tradingview.com/chart/Q1c5VWwD/?symbol=ktos" TargetMode="External" Id="rId243" /><Relationship Type="http://schemas.openxmlformats.org/officeDocument/2006/relationships/hyperlink" Target="https://www.tradingview.com/chart/Q1c5VWwD/?symbol=lamr" TargetMode="External" Id="rId244" /><Relationship Type="http://schemas.openxmlformats.org/officeDocument/2006/relationships/hyperlink" Target="https://www.tradingview.com/chart/Q1c5VWwD/?symbol=laz" TargetMode="External" Id="rId245" /><Relationship Type="http://schemas.openxmlformats.org/officeDocument/2006/relationships/hyperlink" Target="https://www.tradingview.com/chart/Q1c5VWwD/?symbol=lcid" TargetMode="External" Id="rId246" /><Relationship Type="http://schemas.openxmlformats.org/officeDocument/2006/relationships/hyperlink" Target="https://www.tradingview.com/chart/Q1c5VWwD/?symbol=lea" TargetMode="External" Id="rId247" /><Relationship Type="http://schemas.openxmlformats.org/officeDocument/2006/relationships/hyperlink" Target="https://www.tradingview.com/chart/Q1c5VWwD/?symbol=legn" TargetMode="External" Id="rId248" /><Relationship Type="http://schemas.openxmlformats.org/officeDocument/2006/relationships/hyperlink" Target="https://www.tradingview.com/chart/Q1c5VWwD/?symbol=len" TargetMode="External" Id="rId249" /><Relationship Type="http://schemas.openxmlformats.org/officeDocument/2006/relationships/hyperlink" Target="https://www.tradingview.com/chart/Q1c5VWwD/?symbol=leu" TargetMode="External" Id="rId250" /><Relationship Type="http://schemas.openxmlformats.org/officeDocument/2006/relationships/hyperlink" Target="https://www.tradingview.com/chart/Q1c5VWwD/?symbol=lhx" TargetMode="External" Id="rId251" /><Relationship Type="http://schemas.openxmlformats.org/officeDocument/2006/relationships/hyperlink" Target="https://www.tradingview.com/chart/Q1c5VWwD/?symbol=lii" TargetMode="External" Id="rId252" /><Relationship Type="http://schemas.openxmlformats.org/officeDocument/2006/relationships/hyperlink" Target="https://www.tradingview.com/chart/Q1c5VWwD/?symbol=lin" TargetMode="External" Id="rId253" /><Relationship Type="http://schemas.openxmlformats.org/officeDocument/2006/relationships/hyperlink" Target="https://www.tradingview.com/chart/Q1c5VWwD/?symbol=lite" TargetMode="External" Id="rId254" /><Relationship Type="http://schemas.openxmlformats.org/officeDocument/2006/relationships/hyperlink" Target="https://www.tradingview.com/chart/Q1c5VWwD/?symbol=lly" TargetMode="External" Id="rId255" /><Relationship Type="http://schemas.openxmlformats.org/officeDocument/2006/relationships/hyperlink" Target="https://www.tradingview.com/chart/Q1c5VWwD/?symbol=lmt" TargetMode="External" Id="rId256" /><Relationship Type="http://schemas.openxmlformats.org/officeDocument/2006/relationships/hyperlink" Target="https://www.tradingview.com/chart/Q1c5VWwD/?symbol=lnc" TargetMode="External" Id="rId257" /><Relationship Type="http://schemas.openxmlformats.org/officeDocument/2006/relationships/hyperlink" Target="https://www.tradingview.com/chart/Q1c5VWwD/?symbol=lng" TargetMode="External" Id="rId258" /><Relationship Type="http://schemas.openxmlformats.org/officeDocument/2006/relationships/hyperlink" Target="https://www.tradingview.com/chart/Q1c5VWwD/?symbol=low" TargetMode="External" Id="rId259" /><Relationship Type="http://schemas.openxmlformats.org/officeDocument/2006/relationships/hyperlink" Target="https://www.tradingview.com/chart/Q1c5VWwD/?symbol=lrcx" TargetMode="External" Id="rId260" /><Relationship Type="http://schemas.openxmlformats.org/officeDocument/2006/relationships/hyperlink" Target="https://www.tradingview.com/chart/Q1c5VWwD/?symbol=lrn" TargetMode="External" Id="rId261" /><Relationship Type="http://schemas.openxmlformats.org/officeDocument/2006/relationships/hyperlink" Target="https://www.tradingview.com/chart/Q1c5VWwD/?symbol=lulu" TargetMode="External" Id="rId262" /><Relationship Type="http://schemas.openxmlformats.org/officeDocument/2006/relationships/hyperlink" Target="https://www.tradingview.com/chart/Q1c5VWwD/?symbol=lunr" TargetMode="External" Id="rId263" /><Relationship Type="http://schemas.openxmlformats.org/officeDocument/2006/relationships/hyperlink" Target="https://www.tradingview.com/chart/Q1c5VWwD/?symbol=luv" TargetMode="External" Id="rId264" /><Relationship Type="http://schemas.openxmlformats.org/officeDocument/2006/relationships/hyperlink" Target="https://www.tradingview.com/chart/Q1c5VWwD/?symbol=lvs" TargetMode="External" Id="rId265" /><Relationship Type="http://schemas.openxmlformats.org/officeDocument/2006/relationships/hyperlink" Target="https://www.tradingview.com/chart/Q1c5VWwD/?symbol=lyb" TargetMode="External" Id="rId266" /><Relationship Type="http://schemas.openxmlformats.org/officeDocument/2006/relationships/hyperlink" Target="https://www.tradingview.com/chart/Q1c5VWwD/?symbol=lyv" TargetMode="External" Id="rId267" /><Relationship Type="http://schemas.openxmlformats.org/officeDocument/2006/relationships/hyperlink" Target="https://www.tradingview.com/chart/Q1c5VWwD/?symbol=ma" TargetMode="External" Id="rId268" /><Relationship Type="http://schemas.openxmlformats.org/officeDocument/2006/relationships/hyperlink" Target="https://www.tradingview.com/chart/Q1c5VWwD/?symbol=maa" TargetMode="External" Id="rId269" /><Relationship Type="http://schemas.openxmlformats.org/officeDocument/2006/relationships/hyperlink" Target="https://www.tradingview.com/chart/Q1c5VWwD/?symbol=man" TargetMode="External" Id="rId270" /><Relationship Type="http://schemas.openxmlformats.org/officeDocument/2006/relationships/hyperlink" Target="https://www.tradingview.com/chart/Q1c5VWwD/?symbol=mar" TargetMode="External" Id="rId271" /><Relationship Type="http://schemas.openxmlformats.org/officeDocument/2006/relationships/hyperlink" Target="https://www.tradingview.com/chart/Q1c5VWwD/?symbol=mara" TargetMode="External" Id="rId272" /><Relationship Type="http://schemas.openxmlformats.org/officeDocument/2006/relationships/hyperlink" Target="https://www.tradingview.com/chart/Q1c5VWwD/?symbol=mcd" TargetMode="External" Id="rId273" /><Relationship Type="http://schemas.openxmlformats.org/officeDocument/2006/relationships/hyperlink" Target="https://www.tradingview.com/chart/Q1c5VWwD/?symbol=mck" TargetMode="External" Id="rId274" /><Relationship Type="http://schemas.openxmlformats.org/officeDocument/2006/relationships/hyperlink" Target="https://www.tradingview.com/chart/Q1c5VWwD/?symbol=mdb" TargetMode="External" Id="rId275" /><Relationship Type="http://schemas.openxmlformats.org/officeDocument/2006/relationships/hyperlink" Target="https://www.tradingview.com/chart/Q1c5VWwD/?symbol=mdgl" TargetMode="External" Id="rId276" /><Relationship Type="http://schemas.openxmlformats.org/officeDocument/2006/relationships/hyperlink" Target="https://www.tradingview.com/chart/Q1c5VWwD/?symbol=mdt" TargetMode="External" Id="rId277" /><Relationship Type="http://schemas.openxmlformats.org/officeDocument/2006/relationships/hyperlink" Target="https://www.tradingview.com/chart/Q1c5VWwD/?symbol=met" TargetMode="External" Id="rId278" /><Relationship Type="http://schemas.openxmlformats.org/officeDocument/2006/relationships/hyperlink" Target="https://www.tradingview.com/chart/Q1c5VWwD/?symbol=meta" TargetMode="External" Id="rId279" /><Relationship Type="http://schemas.openxmlformats.org/officeDocument/2006/relationships/hyperlink" Target="https://www.tradingview.com/chart/Q1c5VWwD/?symbol=metc" TargetMode="External" Id="rId280" /><Relationship Type="http://schemas.openxmlformats.org/officeDocument/2006/relationships/hyperlink" Target="https://www.tradingview.com/chart/Q1c5VWwD/?symbol=mga" TargetMode="External" Id="rId281" /><Relationship Type="http://schemas.openxmlformats.org/officeDocument/2006/relationships/hyperlink" Target="https://www.tradingview.com/chart/Q1c5VWwD/?symbol=mgm" TargetMode="External" Id="rId282" /><Relationship Type="http://schemas.openxmlformats.org/officeDocument/2006/relationships/hyperlink" Target="https://www.tradingview.com/chart/Q1c5VWwD/?symbol=mhk" TargetMode="External" Id="rId283" /><Relationship Type="http://schemas.openxmlformats.org/officeDocument/2006/relationships/hyperlink" Target="https://www.tradingview.com/chart/Q1c5VWwD/?symbol=mlm" TargetMode="External" Id="rId284" /><Relationship Type="http://schemas.openxmlformats.org/officeDocument/2006/relationships/hyperlink" Target="https://www.tradingview.com/chart/Q1c5VWwD/?symbol=mnst" TargetMode="External" Id="rId285" /><Relationship Type="http://schemas.openxmlformats.org/officeDocument/2006/relationships/hyperlink" Target="https://www.tradingview.com/chart/Q1c5VWwD/?symbol=mo" TargetMode="External" Id="rId286" /><Relationship Type="http://schemas.openxmlformats.org/officeDocument/2006/relationships/hyperlink" Target="https://www.tradingview.com/chart/Q1c5VWwD/?symbol=mod" TargetMode="External" Id="rId287" /><Relationship Type="http://schemas.openxmlformats.org/officeDocument/2006/relationships/hyperlink" Target="https://www.tradingview.com/chart/Q1c5VWwD/?symbol=mos" TargetMode="External" Id="rId288" /><Relationship Type="http://schemas.openxmlformats.org/officeDocument/2006/relationships/hyperlink" Target="https://www.tradingview.com/chart/Q1c5VWwD/?symbol=mp" TargetMode="External" Id="rId289" /><Relationship Type="http://schemas.openxmlformats.org/officeDocument/2006/relationships/hyperlink" Target="https://www.tradingview.com/chart/Q1c5VWwD/?symbol=mpc" TargetMode="External" Id="rId290" /><Relationship Type="http://schemas.openxmlformats.org/officeDocument/2006/relationships/hyperlink" Target="https://www.tradingview.com/chart/Q1c5VWwD/?symbol=mpwr" TargetMode="External" Id="rId291" /><Relationship Type="http://schemas.openxmlformats.org/officeDocument/2006/relationships/hyperlink" Target="https://www.tradingview.com/chart/Q1c5VWwD/?symbol=mrk" TargetMode="External" Id="rId292" /><Relationship Type="http://schemas.openxmlformats.org/officeDocument/2006/relationships/hyperlink" Target="https://www.tradingview.com/chart/Q1c5VWwD/?symbol=mrvl" TargetMode="External" Id="rId293" /><Relationship Type="http://schemas.openxmlformats.org/officeDocument/2006/relationships/hyperlink" Target="https://www.tradingview.com/chart/Q1c5VWwD/?symbol=ms" TargetMode="External" Id="rId294" /><Relationship Type="http://schemas.openxmlformats.org/officeDocument/2006/relationships/hyperlink" Target="https://www.tradingview.com/chart/Q1c5VWwD/?symbol=msft" TargetMode="External" Id="rId295" /><Relationship Type="http://schemas.openxmlformats.org/officeDocument/2006/relationships/hyperlink" Target="https://www.tradingview.com/chart/Q1c5VWwD/?symbol=mtb" TargetMode="External" Id="rId296" /><Relationship Type="http://schemas.openxmlformats.org/officeDocument/2006/relationships/hyperlink" Target="https://www.tradingview.com/chart/Q1c5VWwD/?symbol=mtch" TargetMode="External" Id="rId297" /><Relationship Type="http://schemas.openxmlformats.org/officeDocument/2006/relationships/hyperlink" Target="https://www.tradingview.com/chart/Q1c5VWwD/?symbol=mtz" TargetMode="External" Id="rId298" /><Relationship Type="http://schemas.openxmlformats.org/officeDocument/2006/relationships/hyperlink" Target="https://www.tradingview.com/chart/Q1c5VWwD/?symbol=mu" TargetMode="External" Id="rId299" /><Relationship Type="http://schemas.openxmlformats.org/officeDocument/2006/relationships/hyperlink" Target="https://www.tradingview.com/chart/Q1c5VWwD/?symbol=nb" TargetMode="External" Id="rId300" /><Relationship Type="http://schemas.openxmlformats.org/officeDocument/2006/relationships/hyperlink" Target="https://www.tradingview.com/chart/Q1c5VWwD/?symbol=nbis" TargetMode="External" Id="rId301" /><Relationship Type="http://schemas.openxmlformats.org/officeDocument/2006/relationships/hyperlink" Target="https://www.tradingview.com/chart/Q1c5VWwD/?symbol=nclh" TargetMode="External" Id="rId302" /><Relationship Type="http://schemas.openxmlformats.org/officeDocument/2006/relationships/hyperlink" Target="https://www.tradingview.com/chart/Q1c5VWwD/?symbol=ndaq" TargetMode="External" Id="rId303" /><Relationship Type="http://schemas.openxmlformats.org/officeDocument/2006/relationships/hyperlink" Target="https://www.tradingview.com/chart/Q1c5VWwD/?symbol=ndsn" TargetMode="External" Id="rId304" /><Relationship Type="http://schemas.openxmlformats.org/officeDocument/2006/relationships/hyperlink" Target="https://www.tradingview.com/chart/Q1c5VWwD/?symbol=ne" TargetMode="External" Id="rId305" /><Relationship Type="http://schemas.openxmlformats.org/officeDocument/2006/relationships/hyperlink" Target="https://www.tradingview.com/chart/Q1c5VWwD/?symbol=nee" TargetMode="External" Id="rId306" /><Relationship Type="http://schemas.openxmlformats.org/officeDocument/2006/relationships/hyperlink" Target="https://www.tradingview.com/chart/Q1c5VWwD/?symbol=nem" TargetMode="External" Id="rId307" /><Relationship Type="http://schemas.openxmlformats.org/officeDocument/2006/relationships/hyperlink" Target="https://www.tradingview.com/chart/Q1c5VWwD/?symbol=nfe" TargetMode="External" Id="rId308" /><Relationship Type="http://schemas.openxmlformats.org/officeDocument/2006/relationships/hyperlink" Target="https://www.tradingview.com/chart/Q1c5VWwD/?symbol=nflx" TargetMode="External" Id="rId309" /><Relationship Type="http://schemas.openxmlformats.org/officeDocument/2006/relationships/hyperlink" Target="https://www.tradingview.com/chart/Q1c5VWwD/?symbol=ni" TargetMode="External" Id="rId310" /><Relationship Type="http://schemas.openxmlformats.org/officeDocument/2006/relationships/hyperlink" Target="https://www.tradingview.com/chart/Q1c5VWwD/?symbol=njr" TargetMode="External" Id="rId311" /><Relationship Type="http://schemas.openxmlformats.org/officeDocument/2006/relationships/hyperlink" Target="https://www.tradingview.com/chart/Q1c5VWwD/?symbol=nke" TargetMode="External" Id="rId312" /><Relationship Type="http://schemas.openxmlformats.org/officeDocument/2006/relationships/hyperlink" Target="https://www.tradingview.com/chart/Q1c5VWwD/?symbol=nktx" TargetMode="External" Id="rId313" /><Relationship Type="http://schemas.openxmlformats.org/officeDocument/2006/relationships/hyperlink" Target="https://www.tradingview.com/chart/Q1c5VWwD/?symbol=nne" TargetMode="External" Id="rId314" /><Relationship Type="http://schemas.openxmlformats.org/officeDocument/2006/relationships/hyperlink" Target="https://www.tradingview.com/chart/Q1c5VWwD/?symbol=noc" TargetMode="External" Id="rId315" /><Relationship Type="http://schemas.openxmlformats.org/officeDocument/2006/relationships/hyperlink" Target="https://www.tradingview.com/chart/Q1c5VWwD/?symbol=now" TargetMode="External" Id="rId316" /><Relationship Type="http://schemas.openxmlformats.org/officeDocument/2006/relationships/hyperlink" Target="https://www.tradingview.com/chart/Q1c5VWwD/?symbol=nrg" TargetMode="External" Id="rId317" /><Relationship Type="http://schemas.openxmlformats.org/officeDocument/2006/relationships/hyperlink" Target="https://www.tradingview.com/chart/Q1c5VWwD/?symbol=nsc" TargetMode="External" Id="rId318" /><Relationship Type="http://schemas.openxmlformats.org/officeDocument/2006/relationships/hyperlink" Target="https://www.tradingview.com/chart/Q1c5VWwD/?symbol=ntla" TargetMode="External" Id="rId319" /><Relationship Type="http://schemas.openxmlformats.org/officeDocument/2006/relationships/hyperlink" Target="https://www.tradingview.com/chart/Q1c5VWwD/?symbol=ntr" TargetMode="External" Id="rId320" /><Relationship Type="http://schemas.openxmlformats.org/officeDocument/2006/relationships/hyperlink" Target="https://www.tradingview.com/chart/Q1c5VWwD/?symbol=nue" TargetMode="External" Id="rId321" /><Relationship Type="http://schemas.openxmlformats.org/officeDocument/2006/relationships/hyperlink" Target="https://www.tradingview.com/chart/Q1c5VWwD/?symbol=nvda" TargetMode="External" Id="rId322" /><Relationship Type="http://schemas.openxmlformats.org/officeDocument/2006/relationships/hyperlink" Target="https://www.tradingview.com/chart/Q1c5VWwD/?symbol=nvo" TargetMode="External" Id="rId323" /><Relationship Type="http://schemas.openxmlformats.org/officeDocument/2006/relationships/hyperlink" Target="https://www.tradingview.com/chart/Q1c5VWwD/?symbol=nvr" TargetMode="External" Id="rId324" /><Relationship Type="http://schemas.openxmlformats.org/officeDocument/2006/relationships/hyperlink" Target="https://www.tradingview.com/chart/Q1c5VWwD/?symbol=nwsa" TargetMode="External" Id="rId325" /><Relationship Type="http://schemas.openxmlformats.org/officeDocument/2006/relationships/hyperlink" Target="https://www.tradingview.com/chart/Q1c5VWwD/?symbol=nxpi" TargetMode="External" Id="rId326" /><Relationship Type="http://schemas.openxmlformats.org/officeDocument/2006/relationships/hyperlink" Target="https://www.tradingview.com/chart/Q1c5VWwD/?symbol=nxt" TargetMode="External" Id="rId327" /><Relationship Type="http://schemas.openxmlformats.org/officeDocument/2006/relationships/hyperlink" Target="https://www.tradingview.com/chart/Q1c5VWwD/?symbol=o" TargetMode="External" Id="rId328" /><Relationship Type="http://schemas.openxmlformats.org/officeDocument/2006/relationships/hyperlink" Target="https://www.tradingview.com/chart/Q1c5VWwD/?symbol=odfl" TargetMode="External" Id="rId329" /><Relationship Type="http://schemas.openxmlformats.org/officeDocument/2006/relationships/hyperlink" Target="https://www.tradingview.com/chart/Q1c5VWwD/?symbol=ohi" TargetMode="External" Id="rId330" /><Relationship Type="http://schemas.openxmlformats.org/officeDocument/2006/relationships/hyperlink" Target="https://www.tradingview.com/chart/Q1c5VWwD/?symbol=oke" TargetMode="External" Id="rId331" /><Relationship Type="http://schemas.openxmlformats.org/officeDocument/2006/relationships/hyperlink" Target="https://www.tradingview.com/chart/Q1c5VWwD/?symbol=oklo" TargetMode="External" Id="rId332" /><Relationship Type="http://schemas.openxmlformats.org/officeDocument/2006/relationships/hyperlink" Target="https://www.tradingview.com/chart/Q1c5VWwD/?symbol=on" TargetMode="External" Id="rId333" /><Relationship Type="http://schemas.openxmlformats.org/officeDocument/2006/relationships/hyperlink" Target="https://www.tradingview.com/chart/Q1c5VWwD/?symbol=onds" TargetMode="External" Id="rId334" /><Relationship Type="http://schemas.openxmlformats.org/officeDocument/2006/relationships/hyperlink" Target="https://www.tradingview.com/chart/Q1c5VWwD/?symbol=onon" TargetMode="External" Id="rId335" /><Relationship Type="http://schemas.openxmlformats.org/officeDocument/2006/relationships/hyperlink" Target="https://www.tradingview.com/chart/Q1c5VWwD/?symbol=open" TargetMode="External" Id="rId336" /><Relationship Type="http://schemas.openxmlformats.org/officeDocument/2006/relationships/hyperlink" Target="https://www.tradingview.com/chart/Q1c5VWwD/?symbol=oscr" TargetMode="External" Id="rId337" /><Relationship Type="http://schemas.openxmlformats.org/officeDocument/2006/relationships/hyperlink" Target="https://www.tradingview.com/chart/Q1c5VWwD/?symbol=owl" TargetMode="External" Id="rId338" /><Relationship Type="http://schemas.openxmlformats.org/officeDocument/2006/relationships/hyperlink" Target="https://www.tradingview.com/chart/Q1c5VWwD/?symbol=oxy" TargetMode="External" Id="rId339" /><Relationship Type="http://schemas.openxmlformats.org/officeDocument/2006/relationships/hyperlink" Target="https://www.tradingview.com/chart/Q1c5VWwD/?symbol=paas" TargetMode="External" Id="rId340" /><Relationship Type="http://schemas.openxmlformats.org/officeDocument/2006/relationships/hyperlink" Target="https://www.tradingview.com/chart/Q1c5VWwD/?symbol=panw" TargetMode="External" Id="rId341" /><Relationship Type="http://schemas.openxmlformats.org/officeDocument/2006/relationships/hyperlink" Target="https://www.tradingview.com/chart/Q1c5VWwD/?symbol=para" TargetMode="External" Id="rId342" /><Relationship Type="http://schemas.openxmlformats.org/officeDocument/2006/relationships/hyperlink" Target="https://www.tradingview.com/chart/Q1c5VWwD/?symbol=payx" TargetMode="External" Id="rId343" /><Relationship Type="http://schemas.openxmlformats.org/officeDocument/2006/relationships/hyperlink" Target="https://www.tradingview.com/chart/Q1c5VWwD/?symbol=pcar" TargetMode="External" Id="rId344" /><Relationship Type="http://schemas.openxmlformats.org/officeDocument/2006/relationships/hyperlink" Target="https://www.tradingview.com/chart/Q1c5VWwD/?symbol=pep" TargetMode="External" Id="rId345" /><Relationship Type="http://schemas.openxmlformats.org/officeDocument/2006/relationships/hyperlink" Target="https://www.tradingview.com/chart/Q1c5VWwD/?symbol=pfe" TargetMode="External" Id="rId346" /><Relationship Type="http://schemas.openxmlformats.org/officeDocument/2006/relationships/hyperlink" Target="https://www.tradingview.com/chart/Q1c5VWwD/?symbol=pfgc" TargetMode="External" Id="rId347" /><Relationship Type="http://schemas.openxmlformats.org/officeDocument/2006/relationships/hyperlink" Target="https://www.tradingview.com/chart/Q1c5VWwD/?symbol=pg" TargetMode="External" Id="rId348" /><Relationship Type="http://schemas.openxmlformats.org/officeDocument/2006/relationships/hyperlink" Target="https://www.tradingview.com/chart/Q1c5VWwD/?symbol=pgr" TargetMode="External" Id="rId349" /><Relationship Type="http://schemas.openxmlformats.org/officeDocument/2006/relationships/hyperlink" Target="https://www.tradingview.com/chart/Q1c5VWwD/?symbol=phm" TargetMode="External" Id="rId350" /><Relationship Type="http://schemas.openxmlformats.org/officeDocument/2006/relationships/hyperlink" Target="https://www.tradingview.com/chart/Q1c5VWwD/?symbol=pins" TargetMode="External" Id="rId351" /><Relationship Type="http://schemas.openxmlformats.org/officeDocument/2006/relationships/hyperlink" Target="https://www.tradingview.com/chart/Q1c5VWwD/?symbol=pkg" TargetMode="External" Id="rId352" /><Relationship Type="http://schemas.openxmlformats.org/officeDocument/2006/relationships/hyperlink" Target="https://www.tradingview.com/chart/Q1c5VWwD/?symbol=pl" TargetMode="External" Id="rId353" /><Relationship Type="http://schemas.openxmlformats.org/officeDocument/2006/relationships/hyperlink" Target="https://www.tradingview.com/chart/Q1c5VWwD/?symbol=pld" TargetMode="External" Id="rId354" /><Relationship Type="http://schemas.openxmlformats.org/officeDocument/2006/relationships/hyperlink" Target="https://www.tradingview.com/chart/Q1c5VWwD/?symbol=pltk" TargetMode="External" Id="rId355" /><Relationship Type="http://schemas.openxmlformats.org/officeDocument/2006/relationships/hyperlink" Target="https://www.tradingview.com/chart/Q1c5VWwD/?symbol=pltr" TargetMode="External" Id="rId356" /><Relationship Type="http://schemas.openxmlformats.org/officeDocument/2006/relationships/hyperlink" Target="https://www.tradingview.com/chart/Q1c5VWwD/?symbol=pm" TargetMode="External" Id="rId357" /><Relationship Type="http://schemas.openxmlformats.org/officeDocument/2006/relationships/hyperlink" Target="https://www.tradingview.com/chart/Q1c5VWwD/?symbol=pnc" TargetMode="External" Id="rId358" /><Relationship Type="http://schemas.openxmlformats.org/officeDocument/2006/relationships/hyperlink" Target="https://www.tradingview.com/chart/Q1c5VWwD/?symbol=poet" TargetMode="External" Id="rId359" /><Relationship Type="http://schemas.openxmlformats.org/officeDocument/2006/relationships/hyperlink" Target="https://www.tradingview.com/chart/Q1c5VWwD/?symbol=pool" TargetMode="External" Id="rId360" /><Relationship Type="http://schemas.openxmlformats.org/officeDocument/2006/relationships/hyperlink" Target="https://www.tradingview.com/chart/Q1c5VWwD/?symbol=prim" TargetMode="External" Id="rId361" /><Relationship Type="http://schemas.openxmlformats.org/officeDocument/2006/relationships/hyperlink" Target="https://www.tradingview.com/chart/Q1c5VWwD/?symbol=pru" TargetMode="External" Id="rId362" /><Relationship Type="http://schemas.openxmlformats.org/officeDocument/2006/relationships/hyperlink" Target="https://www.tradingview.com/chart/Q1c5VWwD/?symbol=psa" TargetMode="External" Id="rId363" /><Relationship Type="http://schemas.openxmlformats.org/officeDocument/2006/relationships/hyperlink" Target="https://www.tradingview.com/chart/Q1c5VWwD/?symbol=psx" TargetMode="External" Id="rId364" /><Relationship Type="http://schemas.openxmlformats.org/officeDocument/2006/relationships/hyperlink" Target="https://www.tradingview.com/chart/Q1c5VWwD/?symbol=pwr" TargetMode="External" Id="rId365" /><Relationship Type="http://schemas.openxmlformats.org/officeDocument/2006/relationships/hyperlink" Target="https://www.tradingview.com/chart/Q1c5VWwD/?symbol=pypl" TargetMode="External" Id="rId366" /><Relationship Type="http://schemas.openxmlformats.org/officeDocument/2006/relationships/hyperlink" Target="https://www.tradingview.com/chart/Q1c5VWwD/?symbol=qbts" TargetMode="External" Id="rId367" /><Relationship Type="http://schemas.openxmlformats.org/officeDocument/2006/relationships/hyperlink" Target="https://www.tradingview.com/chart/Q1c5VWwD/?symbol=qubt" TargetMode="External" Id="rId368" /><Relationship Type="http://schemas.openxmlformats.org/officeDocument/2006/relationships/hyperlink" Target="https://www.tradingview.com/chart/Q1c5VWwD/?symbol=rblx" TargetMode="External" Id="rId369" /><Relationship Type="http://schemas.openxmlformats.org/officeDocument/2006/relationships/hyperlink" Target="https://www.tradingview.com/chart/Q1c5VWwD/?symbol=rcat" TargetMode="External" Id="rId370" /><Relationship Type="http://schemas.openxmlformats.org/officeDocument/2006/relationships/hyperlink" Target="https://www.tradingview.com/chart/Q1c5VWwD/?symbol=rcl" TargetMode="External" Id="rId371" /><Relationship Type="http://schemas.openxmlformats.org/officeDocument/2006/relationships/hyperlink" Target="https://www.tradingview.com/chart/Q1c5VWwD/?symbol=rddt" TargetMode="External" Id="rId372" /><Relationship Type="http://schemas.openxmlformats.org/officeDocument/2006/relationships/hyperlink" Target="https://www.tradingview.com/chart/Q1c5VWwD/?symbol=rdw" TargetMode="External" Id="rId373" /><Relationship Type="http://schemas.openxmlformats.org/officeDocument/2006/relationships/hyperlink" Target="https://www.tradingview.com/chart/Q1c5VWwD/?symbol=reg" TargetMode="External" Id="rId374" /><Relationship Type="http://schemas.openxmlformats.org/officeDocument/2006/relationships/hyperlink" Target="https://www.tradingview.com/chart/Q1c5VWwD/?symbol=regn" TargetMode="External" Id="rId375" /><Relationship Type="http://schemas.openxmlformats.org/officeDocument/2006/relationships/hyperlink" Target="https://www.tradingview.com/chart/Q1c5VWwD/?symbol=rgld" TargetMode="External" Id="rId376" /><Relationship Type="http://schemas.openxmlformats.org/officeDocument/2006/relationships/hyperlink" Target="https://www.tradingview.com/chart/Q1c5VWwD/?symbol=rgti" TargetMode="External" Id="rId377" /><Relationship Type="http://schemas.openxmlformats.org/officeDocument/2006/relationships/hyperlink" Target="https://www.tradingview.com/chart/Q1c5VWwD/?symbol=rhi" TargetMode="External" Id="rId378" /><Relationship Type="http://schemas.openxmlformats.org/officeDocument/2006/relationships/hyperlink" Target="https://www.tradingview.com/chart/Q1c5VWwD/?symbol=rig" TargetMode="External" Id="rId379" /><Relationship Type="http://schemas.openxmlformats.org/officeDocument/2006/relationships/hyperlink" Target="https://www.tradingview.com/chart/Q1c5VWwD/?symbol=riot" TargetMode="External" Id="rId380" /><Relationship Type="http://schemas.openxmlformats.org/officeDocument/2006/relationships/hyperlink" Target="https://www.tradingview.com/chart/Q1c5VWwD/?symbol=rivn" TargetMode="External" Id="rId381" /><Relationship Type="http://schemas.openxmlformats.org/officeDocument/2006/relationships/hyperlink" Target="https://www.tradingview.com/chart/Q1c5VWwD/?symbol=rklb" TargetMode="External" Id="rId382" /><Relationship Type="http://schemas.openxmlformats.org/officeDocument/2006/relationships/hyperlink" Target="https://www.tradingview.com/chart/Q1c5VWwD/?symbol=rl" TargetMode="External" Id="rId383" /><Relationship Type="http://schemas.openxmlformats.org/officeDocument/2006/relationships/hyperlink" Target="https://www.tradingview.com/chart/Q1c5VWwD/?symbol=rnr" TargetMode="External" Id="rId384" /><Relationship Type="http://schemas.openxmlformats.org/officeDocument/2006/relationships/hyperlink" Target="https://www.tradingview.com/chart/Q1c5VWwD/?symbol=rok" TargetMode="External" Id="rId385" /><Relationship Type="http://schemas.openxmlformats.org/officeDocument/2006/relationships/hyperlink" Target="https://www.tradingview.com/chart/Q1c5VWwD/?symbol=roku" TargetMode="External" Id="rId386" /><Relationship Type="http://schemas.openxmlformats.org/officeDocument/2006/relationships/hyperlink" Target="https://www.tradingview.com/chart/Q1c5VWwD/?symbol=rost" TargetMode="External" Id="rId387" /><Relationship Type="http://schemas.openxmlformats.org/officeDocument/2006/relationships/hyperlink" Target="https://www.tradingview.com/chart/Q1c5VWwD/?symbol=rs" TargetMode="External" Id="rId388" /><Relationship Type="http://schemas.openxmlformats.org/officeDocument/2006/relationships/hyperlink" Target="https://www.tradingview.com/chart/Q1c5VWwD/?symbol=rsg" TargetMode="External" Id="rId389" /><Relationship Type="http://schemas.openxmlformats.org/officeDocument/2006/relationships/hyperlink" Target="https://www.tradingview.com/chart/Q1c5VWwD/?symbol=rtx" TargetMode="External" Id="rId390" /><Relationship Type="http://schemas.openxmlformats.org/officeDocument/2006/relationships/hyperlink" Target="https://www.tradingview.com/chart/Q1c5VWwD/?symbol=run" TargetMode="External" Id="rId391" /><Relationship Type="http://schemas.openxmlformats.org/officeDocument/2006/relationships/hyperlink" Target="https://www.tradingview.com/chart/Q1c5VWwD/?symbol=rvmd" TargetMode="External" Id="rId392" /><Relationship Type="http://schemas.openxmlformats.org/officeDocument/2006/relationships/hyperlink" Target="https://www.tradingview.com/chart/Q1c5VWwD/?symbol=s" TargetMode="External" Id="rId393" /><Relationship Type="http://schemas.openxmlformats.org/officeDocument/2006/relationships/hyperlink" Target="https://www.tradingview.com/chart/Q1c5VWwD/?symbol=sana" TargetMode="External" Id="rId394" /><Relationship Type="http://schemas.openxmlformats.org/officeDocument/2006/relationships/hyperlink" Target="https://www.tradingview.com/chart/Q1c5VWwD/?symbol=sbac" TargetMode="External" Id="rId395" /><Relationship Type="http://schemas.openxmlformats.org/officeDocument/2006/relationships/hyperlink" Target="https://www.tradingview.com/chart/Q1c5VWwD/?symbol=sbux" TargetMode="External" Id="rId396" /><Relationship Type="http://schemas.openxmlformats.org/officeDocument/2006/relationships/hyperlink" Target="https://www.tradingview.com/chart/Q1c5VWwD/?symbol=scco" TargetMode="External" Id="rId397" /><Relationship Type="http://schemas.openxmlformats.org/officeDocument/2006/relationships/hyperlink" Target="https://www.tradingview.com/chart/Q1c5VWwD/?symbol=sci" TargetMode="External" Id="rId398" /><Relationship Type="http://schemas.openxmlformats.org/officeDocument/2006/relationships/hyperlink" Target="https://www.tradingview.com/chart/Q1c5VWwD/?symbol=shop" TargetMode="External" Id="rId399" /><Relationship Type="http://schemas.openxmlformats.org/officeDocument/2006/relationships/hyperlink" Target="https://www.tradingview.com/chart/Q1c5VWwD/?symbol=shw" TargetMode="External" Id="rId400" /><Relationship Type="http://schemas.openxmlformats.org/officeDocument/2006/relationships/hyperlink" Target="https://www.tradingview.com/chart/Q1c5VWwD/?symbol=slb" TargetMode="External" Id="rId401" /><Relationship Type="http://schemas.openxmlformats.org/officeDocument/2006/relationships/hyperlink" Target="https://www.tradingview.com/chart/Q1c5VWwD/?symbol=slg" TargetMode="External" Id="rId402" /><Relationship Type="http://schemas.openxmlformats.org/officeDocument/2006/relationships/hyperlink" Target="https://www.tradingview.com/chart/Q1c5VWwD/?symbol=smci" TargetMode="External" Id="rId403" /><Relationship Type="http://schemas.openxmlformats.org/officeDocument/2006/relationships/hyperlink" Target="https://www.tradingview.com/chart/Q1c5VWwD/?symbol=smr" TargetMode="External" Id="rId404" /><Relationship Type="http://schemas.openxmlformats.org/officeDocument/2006/relationships/hyperlink" Target="https://www.tradingview.com/chart/Q1c5VWwD/?symbol=snap" TargetMode="External" Id="rId405" /><Relationship Type="http://schemas.openxmlformats.org/officeDocument/2006/relationships/hyperlink" Target="https://www.tradingview.com/chart/Q1c5VWwD/?symbol=sndk" TargetMode="External" Id="rId406" /><Relationship Type="http://schemas.openxmlformats.org/officeDocument/2006/relationships/hyperlink" Target="https://www.tradingview.com/chart/Q1c5VWwD/?symbol=snow" TargetMode="External" Id="rId407" /><Relationship Type="http://schemas.openxmlformats.org/officeDocument/2006/relationships/hyperlink" Target="https://www.tradingview.com/chart/Q1c5VWwD/?symbol=snps" TargetMode="External" Id="rId408" /><Relationship Type="http://schemas.openxmlformats.org/officeDocument/2006/relationships/hyperlink" Target="https://www.tradingview.com/chart/Q1c5VWwD/?symbol=so" TargetMode="External" Id="rId409" /><Relationship Type="http://schemas.openxmlformats.org/officeDocument/2006/relationships/hyperlink" Target="https://www.tradingview.com/chart/Q1c5VWwD/?symbol=sofi" TargetMode="External" Id="rId410" /><Relationship Type="http://schemas.openxmlformats.org/officeDocument/2006/relationships/hyperlink" Target="https://www.tradingview.com/chart/Q1c5VWwD/?symbol=spg" TargetMode="External" Id="rId411" /><Relationship Type="http://schemas.openxmlformats.org/officeDocument/2006/relationships/hyperlink" Target="https://www.tradingview.com/chart/Q1c5VWwD/?symbol=spgi" TargetMode="External" Id="rId412" /><Relationship Type="http://schemas.openxmlformats.org/officeDocument/2006/relationships/hyperlink" Target="https://www.tradingview.com/chart/Q1c5VWwD/?symbol=sr" TargetMode="External" Id="rId413" /><Relationship Type="http://schemas.openxmlformats.org/officeDocument/2006/relationships/hyperlink" Target="https://www.tradingview.com/chart/Q1c5VWwD/?symbol=stag" TargetMode="External" Id="rId414" /><Relationship Type="http://schemas.openxmlformats.org/officeDocument/2006/relationships/hyperlink" Target="https://www.tradingview.com/chart/Q1c5VWwD/?symbol=stld" TargetMode="External" Id="rId415" /><Relationship Type="http://schemas.openxmlformats.org/officeDocument/2006/relationships/hyperlink" Target="https://www.tradingview.com/chart/Q1c5VWwD/?symbol=stx" TargetMode="External" Id="rId416" /><Relationship Type="http://schemas.openxmlformats.org/officeDocument/2006/relationships/hyperlink" Target="https://www.tradingview.com/chart/Q1c5VWwD/?symbol=stz" TargetMode="External" Id="rId417" /><Relationship Type="http://schemas.openxmlformats.org/officeDocument/2006/relationships/hyperlink" Target="https://www.tradingview.com/chart/Q1c5VWwD/?symbol=syf" TargetMode="External" Id="rId418" /><Relationship Type="http://schemas.openxmlformats.org/officeDocument/2006/relationships/hyperlink" Target="https://www.tradingview.com/chart/Q1c5VWwD/?symbol=syk" TargetMode="External" Id="rId419" /><Relationship Type="http://schemas.openxmlformats.org/officeDocument/2006/relationships/hyperlink" Target="https://www.tradingview.com/chart/Q1c5VWwD/?symbol=sym" TargetMode="External" Id="rId420" /><Relationship Type="http://schemas.openxmlformats.org/officeDocument/2006/relationships/hyperlink" Target="https://www.tradingview.com/chart/Q1c5VWwD/?symbol=syy" TargetMode="External" Id="rId421" /><Relationship Type="http://schemas.openxmlformats.org/officeDocument/2006/relationships/hyperlink" Target="https://www.tradingview.com/chart/Q1c5VWwD/?symbol=t" TargetMode="External" Id="rId422" /><Relationship Type="http://schemas.openxmlformats.org/officeDocument/2006/relationships/hyperlink" Target="https://www.tradingview.com/chart/Q1c5VWwD/?symbol=tap" TargetMode="External" Id="rId423" /><Relationship Type="http://schemas.openxmlformats.org/officeDocument/2006/relationships/hyperlink" Target="https://www.tradingview.com/chart/Q1c5VWwD/?symbol=tdoc" TargetMode="External" Id="rId424" /><Relationship Type="http://schemas.openxmlformats.org/officeDocument/2006/relationships/hyperlink" Target="https://www.tradingview.com/chart/Q1c5VWwD/?symbol=tdw" TargetMode="External" Id="rId425" /><Relationship Type="http://schemas.openxmlformats.org/officeDocument/2006/relationships/hyperlink" Target="https://www.tradingview.com/chart/Q1c5VWwD/?symbol=team" TargetMode="External" Id="rId426" /><Relationship Type="http://schemas.openxmlformats.org/officeDocument/2006/relationships/hyperlink" Target="https://www.tradingview.com/chart/Q1c5VWwD/?symbol=teck" TargetMode="External" Id="rId427" /><Relationship Type="http://schemas.openxmlformats.org/officeDocument/2006/relationships/hyperlink" Target="https://www.tradingview.com/chart/Q1c5VWwD/?symbol=tel" TargetMode="External" Id="rId428" /><Relationship Type="http://schemas.openxmlformats.org/officeDocument/2006/relationships/hyperlink" Target="https://www.tradingview.com/chart/Q1c5VWwD/?symbol=ter" TargetMode="External" Id="rId429" /><Relationship Type="http://schemas.openxmlformats.org/officeDocument/2006/relationships/hyperlink" Target="https://www.tradingview.com/chart/Q1c5VWwD/?symbol=tfc" TargetMode="External" Id="rId430" /><Relationship Type="http://schemas.openxmlformats.org/officeDocument/2006/relationships/hyperlink" Target="https://www.tradingview.com/chart/Q1c5VWwD/?symbol=thc" TargetMode="External" Id="rId431" /><Relationship Type="http://schemas.openxmlformats.org/officeDocument/2006/relationships/hyperlink" Target="https://www.tradingview.com/chart/Q1c5VWwD/?symbol=tjx" TargetMode="External" Id="rId432" /><Relationship Type="http://schemas.openxmlformats.org/officeDocument/2006/relationships/hyperlink" Target="https://www.tradingview.com/chart/Q1c5VWwD/?symbol=tln" TargetMode="External" Id="rId433" /><Relationship Type="http://schemas.openxmlformats.org/officeDocument/2006/relationships/hyperlink" Target="https://www.tradingview.com/chart/Q1c5VWwD/?symbol=tmc" TargetMode="External" Id="rId434" /><Relationship Type="http://schemas.openxmlformats.org/officeDocument/2006/relationships/hyperlink" Target="https://www.tradingview.com/chart/Q1c5VWwD/?symbol=tmo" TargetMode="External" Id="rId435" /><Relationship Type="http://schemas.openxmlformats.org/officeDocument/2006/relationships/hyperlink" Target="https://www.tradingview.com/chart/Q1c5VWwD/?symbol=tmus" TargetMode="External" Id="rId436" /><Relationship Type="http://schemas.openxmlformats.org/officeDocument/2006/relationships/hyperlink" Target="https://www.tradingview.com/chart/Q1c5VWwD/?symbol=tol" TargetMode="External" Id="rId437" /><Relationship Type="http://schemas.openxmlformats.org/officeDocument/2006/relationships/hyperlink" Target="https://www.tradingview.com/chart/Q1c5VWwD/?symbol=tost" TargetMode="External" Id="rId438" /><Relationship Type="http://schemas.openxmlformats.org/officeDocument/2006/relationships/hyperlink" Target="https://www.tradingview.com/chart/Q1c5VWwD/?symbol=tpb" TargetMode="External" Id="rId439" /><Relationship Type="http://schemas.openxmlformats.org/officeDocument/2006/relationships/hyperlink" Target="https://www.tradingview.com/chart/Q1c5VWwD/?symbol=trow" TargetMode="External" Id="rId440" /><Relationship Type="http://schemas.openxmlformats.org/officeDocument/2006/relationships/hyperlink" Target="https://www.tradingview.com/chart/Q1c5VWwD/?symbol=trv" TargetMode="External" Id="rId441" /><Relationship Type="http://schemas.openxmlformats.org/officeDocument/2006/relationships/hyperlink" Target="https://www.tradingview.com/chart/Q1c5VWwD/?symbol=tsla" TargetMode="External" Id="rId442" /><Relationship Type="http://schemas.openxmlformats.org/officeDocument/2006/relationships/hyperlink" Target="https://www.tradingview.com/chart/Q1c5VWwD/?symbol=tsm" TargetMode="External" Id="rId443" /><Relationship Type="http://schemas.openxmlformats.org/officeDocument/2006/relationships/hyperlink" Target="https://www.tradingview.com/chart/Q1c5VWwD/?symbol=tsn" TargetMode="External" Id="rId444" /><Relationship Type="http://schemas.openxmlformats.org/officeDocument/2006/relationships/hyperlink" Target="https://www.tradingview.com/chart/Q1c5VWwD/?symbol=tt" TargetMode="External" Id="rId445" /><Relationship Type="http://schemas.openxmlformats.org/officeDocument/2006/relationships/hyperlink" Target="https://www.tradingview.com/chart/Q1c5VWwD/?symbol=ttwo" TargetMode="External" Id="rId446" /><Relationship Type="http://schemas.openxmlformats.org/officeDocument/2006/relationships/hyperlink" Target="https://www.tradingview.com/chart/Q1c5VWwD/?symbol=txn" TargetMode="External" Id="rId447" /><Relationship Type="http://schemas.openxmlformats.org/officeDocument/2006/relationships/hyperlink" Target="https://www.tradingview.com/chart/Q1c5VWwD/?symbol=ual" TargetMode="External" Id="rId448" /><Relationship Type="http://schemas.openxmlformats.org/officeDocument/2006/relationships/hyperlink" Target="https://www.tradingview.com/chart/Q1c5VWwD/?symbol=uec" TargetMode="External" Id="rId449" /><Relationship Type="http://schemas.openxmlformats.org/officeDocument/2006/relationships/hyperlink" Target="https://www.tradingview.com/chart/Q1c5VWwD/?symbol=uhs" TargetMode="External" Id="rId450" /><Relationship Type="http://schemas.openxmlformats.org/officeDocument/2006/relationships/hyperlink" Target="https://www.tradingview.com/chart/Q1c5VWwD/?symbol=umc" TargetMode="External" Id="rId451" /><Relationship Type="http://schemas.openxmlformats.org/officeDocument/2006/relationships/hyperlink" Target="https://www.tradingview.com/chart/Q1c5VWwD/?symbol=unh" TargetMode="External" Id="rId452" /><Relationship Type="http://schemas.openxmlformats.org/officeDocument/2006/relationships/hyperlink" Target="https://www.tradingview.com/chart/Q1c5VWwD/?symbol=unp" TargetMode="External" Id="rId453" /><Relationship Type="http://schemas.openxmlformats.org/officeDocument/2006/relationships/hyperlink" Target="https://www.tradingview.com/chart/Q1c5VWwD/?symbol=ups" TargetMode="External" Id="rId454" /><Relationship Type="http://schemas.openxmlformats.org/officeDocument/2006/relationships/hyperlink" Target="https://www.tradingview.com/chart/Q1c5VWwD/?symbol=usar" TargetMode="External" Id="rId455" /><Relationship Type="http://schemas.openxmlformats.org/officeDocument/2006/relationships/hyperlink" Target="https://www.tradingview.com/chart/Q1c5VWwD/?symbol=usb" TargetMode="External" Id="rId456" /><Relationship Type="http://schemas.openxmlformats.org/officeDocument/2006/relationships/hyperlink" Target="https://www.tradingview.com/chart/Q1c5VWwD/?symbol=usfd" TargetMode="External" Id="rId457" /><Relationship Type="http://schemas.openxmlformats.org/officeDocument/2006/relationships/hyperlink" Target="https://www.tradingview.com/chart/Q1c5VWwD/?symbol=uuuu" TargetMode="External" Id="rId458" /><Relationship Type="http://schemas.openxmlformats.org/officeDocument/2006/relationships/hyperlink" Target="https://www.tradingview.com/chart/Q1c5VWwD/?symbol=v" TargetMode="External" Id="rId459" /><Relationship Type="http://schemas.openxmlformats.org/officeDocument/2006/relationships/hyperlink" Target="https://www.tradingview.com/chart/Q1c5VWwD/?symbol=val" TargetMode="External" Id="rId460" /><Relationship Type="http://schemas.openxmlformats.org/officeDocument/2006/relationships/hyperlink" Target="https://www.tradingview.com/chart/Q1c5VWwD/?symbol=vg" TargetMode="External" Id="rId461" /><Relationship Type="http://schemas.openxmlformats.org/officeDocument/2006/relationships/hyperlink" Target="https://www.tradingview.com/chart/Q1c5VWwD/?symbol=vici" TargetMode="External" Id="rId462" /><Relationship Type="http://schemas.openxmlformats.org/officeDocument/2006/relationships/hyperlink" Target="https://www.tradingview.com/chart/Q1c5VWwD/?symbol=vktx" TargetMode="External" Id="rId463" /><Relationship Type="http://schemas.openxmlformats.org/officeDocument/2006/relationships/hyperlink" Target="https://www.tradingview.com/chart/Q1c5VWwD/?symbol=vlo" TargetMode="External" Id="rId464" /><Relationship Type="http://schemas.openxmlformats.org/officeDocument/2006/relationships/hyperlink" Target="https://www.tradingview.com/chart/Q1c5VWwD/?symbol=vmc" TargetMode="External" Id="rId465" /><Relationship Type="http://schemas.openxmlformats.org/officeDocument/2006/relationships/hyperlink" Target="https://www.tradingview.com/chart/Q1c5VWwD/?symbol=vno" TargetMode="External" Id="rId466" /><Relationship Type="http://schemas.openxmlformats.org/officeDocument/2006/relationships/hyperlink" Target="https://www.tradingview.com/chart/Q1c5VWwD/?symbol=vrt" TargetMode="External" Id="rId467" /><Relationship Type="http://schemas.openxmlformats.org/officeDocument/2006/relationships/hyperlink" Target="https://www.tradingview.com/chart/Q1c5VWwD/?symbol=vrtx" TargetMode="External" Id="rId468" /><Relationship Type="http://schemas.openxmlformats.org/officeDocument/2006/relationships/hyperlink" Target="https://www.tradingview.com/chart/Q1c5VWwD/?symbol=vst" TargetMode="External" Id="rId469" /><Relationship Type="http://schemas.openxmlformats.org/officeDocument/2006/relationships/hyperlink" Target="https://www.tradingview.com/chart/Q1c5VWwD/?symbol=vtr" TargetMode="External" Id="rId470" /><Relationship Type="http://schemas.openxmlformats.org/officeDocument/2006/relationships/hyperlink" Target="https://www.tradingview.com/chart/Q1c5VWwD/?symbol=vz" TargetMode="External" Id="rId471" /><Relationship Type="http://schemas.openxmlformats.org/officeDocument/2006/relationships/hyperlink" Target="https://www.tradingview.com/chart/Q1c5VWwD/?symbol=w" TargetMode="External" Id="rId472" /><Relationship Type="http://schemas.openxmlformats.org/officeDocument/2006/relationships/hyperlink" Target="https://www.tradingview.com/chart/Q1c5VWwD/?symbol=wbd" TargetMode="External" Id="rId473" /><Relationship Type="http://schemas.openxmlformats.org/officeDocument/2006/relationships/hyperlink" Target="https://www.tradingview.com/chart/Q1c5VWwD/?symbol=wcn" TargetMode="External" Id="rId474" /><Relationship Type="http://schemas.openxmlformats.org/officeDocument/2006/relationships/hyperlink" Target="https://www.tradingview.com/chart/Q1c5VWwD/?symbol=wday" TargetMode="External" Id="rId475" /><Relationship Type="http://schemas.openxmlformats.org/officeDocument/2006/relationships/hyperlink" Target="https://www.tradingview.com/chart/Q1c5VWwD/?symbol=wdc" TargetMode="External" Id="rId476" /><Relationship Type="http://schemas.openxmlformats.org/officeDocument/2006/relationships/hyperlink" Target="https://www.tradingview.com/chart/Q1c5VWwD/?symbol=well" TargetMode="External" Id="rId477" /><Relationship Type="http://schemas.openxmlformats.org/officeDocument/2006/relationships/hyperlink" Target="https://www.tradingview.com/chart/Q1c5VWwD/?symbol=wfc" TargetMode="External" Id="rId478" /><Relationship Type="http://schemas.openxmlformats.org/officeDocument/2006/relationships/hyperlink" Target="https://www.tradingview.com/chart/Q1c5VWwD/?symbol=wfrd" TargetMode="External" Id="rId479" /><Relationship Type="http://schemas.openxmlformats.org/officeDocument/2006/relationships/hyperlink" Target="https://www.tradingview.com/chart/Q1c5VWwD/?symbol=whr" TargetMode="External" Id="rId480" /><Relationship Type="http://schemas.openxmlformats.org/officeDocument/2006/relationships/hyperlink" Target="https://www.tradingview.com/chart/Q1c5VWwD/?symbol=wm" TargetMode="External" Id="rId481" /><Relationship Type="http://schemas.openxmlformats.org/officeDocument/2006/relationships/hyperlink" Target="https://www.tradingview.com/chart/Q1c5VWwD/?symbol=wmb" TargetMode="External" Id="rId482" /><Relationship Type="http://schemas.openxmlformats.org/officeDocument/2006/relationships/hyperlink" Target="https://www.tradingview.com/chart/Q1c5VWwD/?symbol=wmt" TargetMode="External" Id="rId483" /><Relationship Type="http://schemas.openxmlformats.org/officeDocument/2006/relationships/hyperlink" Target="https://www.tradingview.com/chart/Q1c5VWwD/?symbol=wtrg" TargetMode="External" Id="rId484" /><Relationship Type="http://schemas.openxmlformats.org/officeDocument/2006/relationships/hyperlink" Target="https://www.tradingview.com/chart/Q1c5VWwD/?symbol=wtw" TargetMode="External" Id="rId485" /><Relationship Type="http://schemas.openxmlformats.org/officeDocument/2006/relationships/hyperlink" Target="https://www.tradingview.com/chart/Q1c5VWwD/?symbol=xel" TargetMode="External" Id="rId486" /><Relationship Type="http://schemas.openxmlformats.org/officeDocument/2006/relationships/hyperlink" Target="https://www.tradingview.com/chart/Q1c5VWwD/?symbol=xom" TargetMode="External" Id="rId487" /><Relationship Type="http://schemas.openxmlformats.org/officeDocument/2006/relationships/hyperlink" Target="https://www.tradingview.com/chart/Q1c5VWwD/?symbol=xpo" TargetMode="External" Id="rId488" /><Relationship Type="http://schemas.openxmlformats.org/officeDocument/2006/relationships/hyperlink" Target="https://www.tradingview.com/chart/Q1c5VWwD/?symbol=yum" TargetMode="External" Id="rId489" /><Relationship Type="http://schemas.openxmlformats.org/officeDocument/2006/relationships/hyperlink" Target="https://www.tradingview.com/chart/Q1c5VWwD/?symbol=z" TargetMode="External" Id="rId490" /><Relationship Type="http://schemas.openxmlformats.org/officeDocument/2006/relationships/hyperlink" Target="https://www.tradingview.com/chart/Q1c5VWwD/?symbol=zion" TargetMode="External" Id="rId491" /><Relationship Type="http://schemas.openxmlformats.org/officeDocument/2006/relationships/hyperlink" Target="https://www.tradingview.com/chart/Q1c5VWwD/?symbol=zs" TargetMode="External" Id="rId49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tsm" TargetMode="External" Id="rId1" /><Relationship Type="http://schemas.openxmlformats.org/officeDocument/2006/relationships/hyperlink" Target="https://www.tradingview.com/chart/Q1c5VWwD/?symbol=snps" TargetMode="External" Id="rId2" /><Relationship Type="http://schemas.openxmlformats.org/officeDocument/2006/relationships/hyperlink" Target="https://www.tradingview.com/chart/Q1c5VWwD/?symbol=cdns" TargetMode="External" Id="rId3" /><Relationship Type="http://schemas.openxmlformats.org/officeDocument/2006/relationships/hyperlink" Target="https://www.tradingview.com/chart/Q1c5VWwD/?symbol=rklb" TargetMode="External" Id="rId4" /><Relationship Type="http://schemas.openxmlformats.org/officeDocument/2006/relationships/hyperlink" Target="https://www.tradingview.com/chart/Q1c5VWwD/?symbol=asts" TargetMode="External" Id="rId5" /><Relationship Type="http://schemas.openxmlformats.org/officeDocument/2006/relationships/hyperlink" Target="https://www.tradingview.com/chart/Q1c5VWwD/?symbol=ionq" TargetMode="External" Id="rId6" /><Relationship Type="http://schemas.openxmlformats.org/officeDocument/2006/relationships/hyperlink" Target="https://www.tradingview.com/chart/Q1c5VWwD/?symbol=oklo" TargetMode="External" Id="rId7" /><Relationship Type="http://schemas.openxmlformats.org/officeDocument/2006/relationships/hyperlink" Target="https://www.tradingview.com/chart/Q1c5VWwD/?symbol=tsm" TargetMode="External" Id="rId8" /><Relationship Type="http://schemas.openxmlformats.org/officeDocument/2006/relationships/hyperlink" Target="https://www.tradingview.com/chart/Q1c5VWwD/?symbol=rklb" TargetMode="External" Id="rId9" /><Relationship Type="http://schemas.openxmlformats.org/officeDocument/2006/relationships/hyperlink" Target="https://www.tradingview.com/chart/Q1c5VWwD/?symbol=hca" TargetMode="External" Id="rId10" /><Relationship Type="http://schemas.openxmlformats.org/officeDocument/2006/relationships/hyperlink" Target="https://www.tradingview.com/chart/Q1c5VWwD/?symbol=trv" TargetMode="External" Id="rId11" /><Relationship Type="http://schemas.openxmlformats.org/officeDocument/2006/relationships/hyperlink" Target="https://www.tradingview.com/chart/Q1c5VWwD/?symbol=rnr" TargetMode="External" Id="rId12" /><Relationship Type="http://schemas.openxmlformats.org/officeDocument/2006/relationships/hyperlink" Target="https://www.tradingview.com/chart/Q1c5VWwD/?symbol=vlo" TargetMode="External" Id="rId13" /><Relationship Type="http://schemas.openxmlformats.org/officeDocument/2006/relationships/hyperlink" Target="https://www.tradingview.com/chart/Q1c5VWwD/?symbol=mpc" TargetMode="External" Id="rId14" /><Relationship Type="http://schemas.openxmlformats.org/officeDocument/2006/relationships/hyperlink" Target="https://www.tradingview.com/chart/Q1c5VWwD/?symbol=dino" TargetMode="External" Id="rId15" /><Relationship Type="http://schemas.openxmlformats.org/officeDocument/2006/relationships/hyperlink" Target="https://www.tradingview.com/chart/Q1c5VWwD/?symbol=psx" TargetMode="External" Id="rId16" /><Relationship Type="http://schemas.openxmlformats.org/officeDocument/2006/relationships/hyperlink" Target="https://www.tradingview.com/chart/Q1c5VWwD/?symbol=hca" TargetMode="External" Id="rId17" /><Relationship Type="http://schemas.openxmlformats.org/officeDocument/2006/relationships/hyperlink" Target="https://www.tradingview.com/chart/Q1c5VWwD/?symbol=trv" TargetMode="External" Id="rId18" /><Relationship Type="http://schemas.openxmlformats.org/officeDocument/2006/relationships/hyperlink" Target="https://www.tradingview.com/chart/Q1c5VWwD/?symbol=oklo" TargetMode="External" Id="rId19" /><Relationship Type="http://schemas.openxmlformats.org/officeDocument/2006/relationships/hyperlink" Target="https://www.tradingview.com/chart/Q1c5VWwD/?symbol=coin" TargetMode="External" Id="rId20" /><Relationship Type="http://schemas.openxmlformats.org/officeDocument/2006/relationships/hyperlink" Target="https://www.tradingview.com/chart/Q1c5VWwD/?symbol=rnr" TargetMode="External" Id="rId21" /><Relationship Type="http://schemas.openxmlformats.org/officeDocument/2006/relationships/hyperlink" Target="https://www.tradingview.com/chart/Q1c5VWwD/?symbol=vlo" TargetMode="External" Id="rId22" /><Relationship Type="http://schemas.openxmlformats.org/officeDocument/2006/relationships/hyperlink" Target="https://www.tradingview.com/chart/Q1c5VWwD/?symbol=mpc" TargetMode="External" Id="rId23" /><Relationship Type="http://schemas.openxmlformats.org/officeDocument/2006/relationships/hyperlink" Target="https://www.tradingview.com/chart/Q1c5VWwD/?symbol=vlo" TargetMode="External" Id="rId24" /><Relationship Type="http://schemas.openxmlformats.org/officeDocument/2006/relationships/hyperlink" Target="https://www.tradingview.com/chart/Q1c5VWwD/?symbol=mpc" TargetMode="External" Id="rId25" /><Relationship Type="http://schemas.openxmlformats.org/officeDocument/2006/relationships/hyperlink" Target="https://www.tradingview.com/chart/Q1c5VWwD/?symbol=dino" TargetMode="External" Id="rId26" /><Relationship Type="http://schemas.openxmlformats.org/officeDocument/2006/relationships/hyperlink" Target="https://www.tradingview.com/chart/Q1c5VWwD/?symbol=psx" TargetMode="External" Id="rId27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hestreet.com/stock-market-today/stock-market-today-dow-jones-sp-500-nasdaq-updates-sept-17-2026" TargetMode="External" Id="rId1" /><Relationship Type="http://schemas.openxmlformats.org/officeDocument/2006/relationships/hyperlink" Target="https://www.cnbc.com/2026/09/17/oil-prices-today-wti-brent-hormuz-iran-war.html" TargetMode="External" Id="rId2" /><Relationship Type="http://schemas.openxmlformats.org/officeDocument/2006/relationships/hyperlink" Target="https://gcaptain.com/oil-extends-drop-as-saudi-arabia-moves-to-restore-vital-pipeline/" TargetMode="External" Id="rId3" /><Relationship Type="http://schemas.openxmlformats.org/officeDocument/2006/relationships/hyperlink" Target="https://finance.yahoo.com/real-estate/articles/us-single-family-housing-starts-131652276.html" TargetMode="External" Id="rId4" /><Relationship Type="http://schemas.openxmlformats.org/officeDocument/2006/relationships/hyperlink" Target="https://www.mortgagedaily.com/rates/mortgage-rates-today-2026-09-17/" TargetMode="External" Id="rId5" /><Relationship Type="http://schemas.openxmlformats.org/officeDocument/2006/relationships/hyperlink" Target="https://in.investing.com/news/economy-news/boj-preview-september-25-bps-hike-expected-with-hawkish-outlook-5596110" TargetMode="External" Id="rId6" /><Relationship Type="http://schemas.openxmlformats.org/officeDocument/2006/relationships/hyperlink" Target="https://www.fxstreet.com/news/bank-of-japan-is-expected-to-deliver-a-hawkish-hike-pressured-by-rising-inflation-202609172200" TargetMode="External" Id="rId7" /><Relationship Type="http://schemas.openxmlformats.org/officeDocument/2006/relationships/hyperlink" Target="https://247wallst.com/investing/2026/09/17/think-its-too-late-to-buy-marathon-and-valero-heres-why-analysts-say-wait-instead/" TargetMode="External" Id="rId8" /><Relationship Type="http://schemas.openxmlformats.org/officeDocument/2006/relationships/hyperlink" Target="https://www.aljazeera.com/news/2026/9/6/us-iran-engaged-in-tanker-war-where-is-the-months-long-conflict-headed" TargetMode="External" Id="rId9" /><Relationship Type="http://schemas.openxmlformats.org/officeDocument/2006/relationships/hyperlink" Target="https://www.cnbc.com/2026/09/16/fed-rate-decision-september-2026.html" TargetMode="External" Id="rId10" /><Relationship Type="http://schemas.openxmlformats.org/officeDocument/2006/relationships/hyperlink" Target="https://www.cnbc.com/2026/09/16/fed-meeting-today-live-updates.html" TargetMode="External" Id="rId11" /><Relationship Type="http://schemas.openxmlformats.org/officeDocument/2006/relationships/hyperlink" Target="https://www.foxbusiness.com/economy/federal-reserve-interest-rate-decision-september-16-2026" TargetMode="External" Id="rId12" /><Relationship Type="http://schemas.openxmlformats.org/officeDocument/2006/relationships/hyperlink" Target="https://www.thestreet.com/stock-market-today/stock-market-today-dow-jones-sp-500-nasdaq-updates-sept-16-2026" TargetMode="External" Id="rId13" /><Relationship Type="http://schemas.openxmlformats.org/officeDocument/2006/relationships/hyperlink" Target="https://www.thestreet.com/stock-market-today/stock-market-today-sept-15-2026-dow-futures-slide-as-oil-prices-surge-and-treasury-yields-hit-2007-highs" TargetMode="External" Id="rId14" /><Relationship Type="http://schemas.openxmlformats.org/officeDocument/2006/relationships/hyperlink" Target="https://www.cnbc.com/2026/09/16/oil-prices-today-brent-wti-hormuz-iran-war.html" TargetMode="External" Id="rId15" /><Relationship Type="http://schemas.openxmlformats.org/officeDocument/2006/relationships/hyperlink" Target="https://www.cnbc.com/2026/09/13/oil-price-iran-war-strait-hormuz-saudi-pipeline.html" TargetMode="External" Id="rId16" /><Relationship Type="http://schemas.openxmlformats.org/officeDocument/2006/relationships/hyperlink" Target="https://www.aljazeera.com/news/2026/9/14/why-saudi-arabias-east-west-pipeline-matters-for-global-oil" TargetMode="External" Id="rId17" /><Relationship Type="http://schemas.openxmlformats.org/officeDocument/2006/relationships/hyperlink" Target="https://en.wikipedia.org/wiki/2026_East%E2%80%93West_Crude_Oil_Pipeline_attack" TargetMode="External" Id="rId18" /><Relationship Type="http://schemas.openxmlformats.org/officeDocument/2006/relationships/hyperlink" Target="https://rbnenergy.com/daily-posts/blog/100bbl-diesel-crack-or-how-2026-exposed-fragility-global-refining" TargetMode="External" Id="rId19" /><Relationship Type="http://schemas.openxmlformats.org/officeDocument/2006/relationships/hyperlink" Target="https://discoveryalert.com/analysis/us-diesel-prices-record-september-2026/" TargetMode="External" Id="rId20" /><Relationship Type="http://schemas.openxmlformats.org/officeDocument/2006/relationships/hyperlink" Target="https://www.pravda.com.ua/eng/news/2026/08/29/8050963/" TargetMode="External" Id="rId21" /><Relationship Type="http://schemas.openxmlformats.org/officeDocument/2006/relationships/hyperlink" Target="https://www.kyivpost.com/post/84579" TargetMode="External" Id="rId22" /><Relationship Type="http://schemas.openxmlformats.org/officeDocument/2006/relationships/hyperlink" Target="https://www.thenationalnews.com/business/2026/07/17/war-risk-shipping-premium-surges-again-as-tensions-escalate-at-strait-of-hormuz/" TargetMode="External" Id="rId23" /><Relationship Type="http://schemas.openxmlformats.org/officeDocument/2006/relationships/hyperlink" Target="https://www.spglobal.com/energy/en/news-research/latest-news/shipping/072226-middle-east-shipping-insurance-costs-rise-on-hormuz-risks-marsh" TargetMode="External" Id="rId24" /><Relationship Type="http://schemas.openxmlformats.org/officeDocument/2006/relationships/hyperlink" Target="https://www.kiplinger.com/investing/economy/this-weeks-economic-calendar" TargetMode="External" Id="rId25" /><Relationship Type="http://schemas.openxmlformats.org/officeDocument/2006/relationships/hyperlink" Target="https://finance.yahoo.com/economy/policy/articles/fomc-september-2026-odds-rate-201618784.html" TargetMode="External" Id="rId26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8" customWidth="1" min="7" max="7"/>
  </cols>
  <sheetData>
    <row r="1" ht="22" customHeight="1">
      <c r="A1" s="1" t="inlineStr">
        <is>
          <t>加息及地緣政治 3 日觀察清單 R2.00</t>
        </is>
      </c>
    </row>
    <row r="2">
      <c r="A2" s="2" t="inlineStr">
        <is>
          <t>基準：2026-09-17 美東收市　·　涵蓋交易日：2026-09-18（五）、09-21（一）、09-22（二）　·　生成：2026-09-18 09:00 HKT　·　claude-opus-5 / high</t>
        </is>
      </c>
    </row>
    <row r="3"/>
    <row r="4">
      <c r="A4" s="3" t="inlineStr">
        <is>
          <t>一、當前 regime：三個同時發生的衝擊</t>
        </is>
      </c>
    </row>
    <row r="5" ht="30" customHeight="1">
      <c r="A5" s="4" t="inlineStr">
        <is>
          <t>面向</t>
        </is>
      </c>
      <c r="B5" s="4" t="inlineStr">
        <is>
          <t>事件</t>
        </is>
      </c>
      <c r="C5" s="4" t="inlineStr">
        <is>
          <t>關鍵數字</t>
        </is>
      </c>
      <c r="D5" s="4" t="inlineStr"/>
      <c r="E5" s="4" t="inlineStr"/>
      <c r="F5" s="4" t="inlineStr"/>
      <c r="G5" s="4" t="inlineStr">
        <is>
          <t>對股票的傳導</t>
        </is>
      </c>
    </row>
    <row r="6" ht="58" customHeight="1">
      <c r="A6" s="5" t="inlineStr">
        <is>
          <t>貨幣政策</t>
        </is>
      </c>
      <c r="B6" s="6" t="inlineStr">
        <is>
          <t>9/16 FOMC 加息 25bp 至 3.75–4.00%（2023 年 7 月以來首次，票數 12-0，主席 Kevin Warsh）。9/18 日本央行預期加息 25bp 至 1.25%，1993 年以來最高</t>
        </is>
      </c>
      <c r="D6" s="6" t="inlineStr">
        <is>
          <t>點陣圖：18 人中 16 人預期年內再加一次。但 9/17 十年期由 5.04% 的 19 年高位回落至 5.01%，**8 連升中斷**；兩年期 4.744% 仍為 2024 年 7 月以來最高</t>
        </is>
      </c>
      <c r="G6" s="6" t="inlineStr">
        <is>
          <t>9/16 與 9/17 是兩種相反的息率日：前者殺長久期資產，後者令同一批資產單日彈 1.3–8.0%。對息率方向下注 = 對這兩日的順序下注</t>
        </is>
      </c>
    </row>
    <row r="7" ht="58" customHeight="1">
      <c r="A7" s="5" t="inlineStr">
        <is>
          <t>地緣政治</t>
        </is>
      </c>
      <c r="B7" s="6" t="inlineStr">
        <is>
          <t>沙特 East–West 輸油管（Hormuz 的替代路線）9/10 遇襲後關閉。Aramco 繞過受損段，數日內恢復約一半運能，全面復原約需六週；同時改以 Hormuz 外 Sohar 附近船對船轉運補充亞洲買家</t>
        </is>
      </c>
      <c r="D7" s="6" t="inlineStr">
        <is>
          <t>9/17 Brent −$1.01 收 $104.82、WTI −$0.52 收 $101.91。美伊進入「油輪換油輪」互擊，停火談判多次破裂；戰爭險保費為船體價值 7.5–10%（戰前 0.25%）</t>
        </is>
      </c>
      <c r="G7" s="6" t="inlineStr">
        <is>
          <t>原油供應在恢復，煉油產能沒有 —— 中東逾 20% 煉油產能實體損毀。這個落差就是裂解價差，也是本清單第①組的全部理由</t>
        </is>
      </c>
    </row>
    <row r="8" ht="58" customHeight="1">
      <c r="A8" s="5" t="inlineStr">
        <is>
          <t>成品油</t>
        </is>
      </c>
      <c r="B8" s="6" t="inlineStr">
        <is>
          <t>柴油裂解價差本月創歷史新高（$102–108/桶，正常夏季約 $20）。俄羅斯柴油出口禁令延至 9/30，8 月煉油量 380 萬桶/日為二十年最低；烏克蘭無人機已打掉約 280 萬桶俄煉油產能</t>
        </is>
      </c>
      <c r="D8" s="6" t="inlineStr">
        <is>
          <t>美國煉廠開工率 &gt;97%；MPC 年內 +157%、VLO +152%，兩者股價均高於分析員共識目標價，評級以 Hold 居多</t>
        </is>
      </c>
      <c r="G8" s="6" t="inlineStr">
        <is>
          <t>機制最強但估值已伸展 —— 本版維持第①組但把「未伸展度」由 4 分降至 2 分</t>
        </is>
      </c>
    </row>
    <row r="9"/>
    <row r="10">
      <c r="A10" s="3" t="inlineStr">
        <is>
          <t>二、核心判斷</t>
        </is>
      </c>
    </row>
    <row r="11" ht="30" customHeight="1">
      <c r="A11" s="6" t="inlineStr">
        <is>
          <t>• R1.01 的 3 日窗口第一日（9/17）已有結果：兩個「兩態皆贏」的判斷完全兌現（煉油 +2.53% 名次升至第 2、診斷工具 +3.08% 連續兩版第 1），但四個依賴「息率續升」的判斷全部落空，而被列為迴避的長久期資產反而是當日最大贏家（SMR +8.01%、量子 +7.99%、數位資產 +5.30%）。逐項對照見「判斷記分卡」頁。</t>
        </is>
      </c>
    </row>
    <row r="12" ht="30" customHeight="1">
      <c r="A12" s="6" t="inlineStr">
        <is>
          <t>• 結構性教訓：上一版把「收保費 vs 持久期」（保險 vs 銀行）當成兩態皆贏的價差，其實它不是 —— 它是對息率方向的單邊下注，只在息率續升時成立。真正的兩態價差只有一個：裂解價差 vs 原油。</t>
        </is>
      </c>
    </row>
    <row r="13" ht="30" customHeight="1">
      <c r="A13" s="6" t="inlineStr">
        <is>
          <t>• 因此本版只在兩態皆贏的部位上維持信心（第①②組），把依賴息率方向的部位兩邊都減注（第⑦組防守、B 類中性），並把 9/17 證明自己的組別升級（第③晶圓代工、④太空、⑤鋼鐵）。</t>
        </is>
      </c>
    </row>
    <row r="14" ht="30" customHeight="1">
      <c r="A14" s="6" t="inlineStr">
        <is>
          <t>• 未來 3 日的分岔點不再是油價，而是息率：9/18 日本央行若鷹派加息觸發日圓套息平倉，就回到 9/16 的形態；若被消化，9/17 的長久期反彈會延續。同日是四巫日，倉位驅動的急升最易在此回吐。</t>
        </is>
      </c>
    </row>
    <row r="15"/>
    <row r="16">
      <c r="A16" s="3" t="inlineStr">
        <is>
          <t>三、清單統計（公式即時計算，隨清單頁改動更新）</t>
        </is>
      </c>
    </row>
    <row r="17" ht="30" customHeight="1">
      <c r="A17" s="4" t="inlineStr">
        <is>
          <t>指標</t>
        </is>
      </c>
      <c r="B17" s="4" t="inlineStr">
        <is>
          <t>數值</t>
        </is>
      </c>
      <c r="C17" s="4" t="inlineStr"/>
      <c r="D17" s="4" t="inlineStr">
        <is>
          <t>指標</t>
        </is>
      </c>
      <c r="E17" s="4" t="inlineStr">
        <is>
          <t>數值</t>
        </is>
      </c>
      <c r="F17" s="4" t="inlineStr"/>
      <c r="G17" s="4" t="inlineStr">
        <is>
          <t>說明</t>
        </is>
      </c>
    </row>
    <row r="18">
      <c r="A18" s="7" t="inlineStr">
        <is>
          <t>受惠股檔數</t>
        </is>
      </c>
      <c r="B18" s="8">
        <f>COUNT('3日受惠清單 Watchlist'!Q9:Q28)</f>
        <v>20.0</v>
      </c>
      <c r="D18" s="7" t="inlineStr">
        <is>
          <t>迴避股檔數</t>
        </is>
      </c>
      <c r="E18" s="8">
        <f>COUNTA('迴避清單 Avoid'!B9:B33)</f>
        <v>25.0</v>
      </c>
      <c r="G18" s="9" t="inlineStr">
        <is>
          <t>兩表合計覆蓋的美股檔數</t>
        </is>
      </c>
    </row>
    <row r="19">
      <c r="A19" s="7" t="inlineStr">
        <is>
          <t>受惠股平均綜合分</t>
        </is>
      </c>
      <c r="B19" s="10">
        <f>AVERAGE('3日受惠清單 Watchlist'!Q9:Q28)</f>
        <v>77.65</v>
      </c>
      <c r="D19" s="7" t="inlineStr">
        <is>
          <t>受惠股 9/16 平均漲跌</t>
        </is>
      </c>
      <c r="E19" s="11">
        <f>AVERAGE('3日受惠清單 Watchlist'!H9:H28)</f>
        <v>0.020369015780853796</v>
      </c>
      <c r="G19" s="9" t="inlineStr">
        <is>
          <t>綜合分為 0–100，權重可於清單頁黃色格調整</t>
        </is>
      </c>
    </row>
    <row r="20">
      <c r="A20" s="7" t="inlineStr">
        <is>
          <t>綜合分 ≥ 80 檔數</t>
        </is>
      </c>
      <c r="B20" s="8">
        <f>COUNTIF('3日受惠清單 Watchlist'!Q9:Q28,"&gt;=80")</f>
        <v>10.0</v>
      </c>
      <c r="D20" s="7" t="inlineStr">
        <is>
          <t>迴避股 9/16 平均漲跌</t>
        </is>
      </c>
      <c r="E20" s="11">
        <f>AVERAGE('迴避清單 Avoid'!G9:G33)</f>
        <v>0.021485284466972912</v>
      </c>
      <c r="G20" s="9" t="inlineStr">
        <is>
          <t>當日兩表平均表現差距即為輪動幅度</t>
        </is>
      </c>
    </row>
    <row r="21">
      <c r="A21" s="7" t="inlineStr">
        <is>
          <t>9/16 全市中位漲跌</t>
        </is>
      </c>
      <c r="B21" s="12" t="n">
        <v>0.002392156862745187</v>
      </c>
      <c r="D21" s="7" t="inlineStr">
        <is>
          <t>9/16 市場面板檔數</t>
        </is>
      </c>
      <c r="E21" s="13" t="n">
        <v>1109</v>
      </c>
      <c r="G21" s="9" t="inlineStr">
        <is>
          <t>來源：SubSector 資金流向 R12 引擎（本次重跑） 平衡市場面板</t>
        </is>
      </c>
    </row>
    <row r="22"/>
    <row r="23">
      <c r="A23" s="3" t="inlineStr">
        <is>
          <t>四、R1.01 判斷在 9/17 的結果與本版修正（逐項見「判斷記分卡」頁）</t>
        </is>
      </c>
    </row>
    <row r="24" ht="30" customHeight="1">
      <c r="A24" s="4" t="inlineStr">
        <is>
          <t>R1.01 的判斷類別</t>
        </is>
      </c>
      <c r="B24" s="4" t="inlineStr"/>
      <c r="C24" s="4" t="inlineStr">
        <is>
          <t>9/17 實際結果</t>
        </is>
      </c>
      <c r="D24" s="4" t="inlineStr"/>
      <c r="E24" s="4" t="inlineStr">
        <is>
          <t>為何如此</t>
        </is>
      </c>
      <c r="F24" s="4" t="inlineStr"/>
      <c r="G24" s="4" t="inlineStr">
        <is>
          <t>本版如何修正</t>
        </is>
      </c>
    </row>
    <row r="25" ht="62" customHeight="1">
      <c r="A25" s="5" t="inlineStr">
        <is>
          <t>兩態皆贏的判斷（煉油、診斷工具）</t>
        </is>
      </c>
      <c r="C25" s="6" t="inlineStr">
        <is>
          <t>煉油 +2.53%、廣度 1.00、名次 4→2；診斷工具 +3.08%、廣度 1.00、連續兩版第 1</t>
        </is>
      </c>
      <c r="E25" s="6" t="inlineStr">
        <is>
          <t>這兩組的多頭邏輯不需要猜息率或油價方向：一個做多裂解價差、一個沒有油品投入也沒有久期</t>
        </is>
      </c>
      <c r="G25" s="6" t="inlineStr">
        <is>
          <t>維持核心；煉油因估值已高於共識目標，未伸展度由 4 降至 2</t>
        </is>
      </c>
    </row>
    <row r="26" ht="62" customHeight="1">
      <c r="A26" s="5" t="inlineStr">
        <is>
          <t>依賴「息率續升」的判斷（醫院、產險、電網）</t>
        </is>
      </c>
      <c r="C26" s="6" t="inlineStr">
        <is>
          <t>醫院 −0.63% 廣度 0.00、名次 3→20；產險 −0.10% 廣度 0.00、名次 6→16；電網 +0.90% 名次 14→21</t>
        </is>
      </c>
      <c r="E26" s="6" t="inlineStr">
        <is>
          <t>這些被寫成「防守」與「收息受惠」，實際是對息率方向的單邊下注。9/17 息率一停升，三組同時失去相對優勢</t>
        </is>
      </c>
      <c r="G26" s="6" t="inlineStr">
        <is>
          <t>全部降級：醫院與產險移至第⑦組（只在狀態 B 成立），電網降至第⑥組</t>
        </is>
      </c>
    </row>
    <row r="27" ht="62" customHeight="1">
      <c r="A27" s="5" t="inlineStr">
        <is>
          <t>被低估的判斷（AI 半導體、鋼鐵）</t>
        </is>
      </c>
      <c r="C27" s="6" t="inlineStr">
        <is>
          <t>晶圓代工 +6.43% 名次 38→9；EDA +3.20% 名次 37→23；鋼鐵 +2.81% 廣度 1.00 名次 11→6</t>
        </is>
      </c>
      <c r="E27" s="6" t="inlineStr">
        <is>
          <t>上一版把 AI 半導體列為「戰術小注、不建議追」，鋼鐵列為「觀察不建倉」。兩者都是當日前列，鋼鐵更是升勢有廣度且未伸展</t>
        </is>
      </c>
      <c r="G27" s="6" t="inlineStr">
        <is>
          <t>AI 半導體升為第③組、鋼鐵升為第⑤組</t>
        </is>
      </c>
    </row>
    <row r="28" ht="62" customHeight="1">
      <c r="A28" s="5" t="inlineStr">
        <is>
          <t>被推翻的迴避（SMR、數位資產、建商、鈾、稀土、再生能源）</t>
        </is>
      </c>
      <c r="C28" s="6" t="inlineStr">
        <is>
          <t>SMR +8.01% 名次 108→54；量子 +7.99% 名次 69→15；數位資產 +5.30% 名次 104→51；建商 +1.29% 廣度 1.00 名次 44→17</t>
        </is>
      </c>
      <c r="E28" s="6" t="inlineStr">
        <is>
          <t>迴避理由是「長久期、無盈利、加息周期最先被殺」。這個理由在息率上升時正確，在息率暫停時反向成立 —— 被殺得最重的，反彈也最烈</t>
        </is>
      </c>
      <c r="G28" s="6" t="inlineStr">
        <is>
          <t>改列 B 類中性：不建議新倉，亦不再視為迴避；孳息若重上 5.1%，迴避理由即時恢復</t>
        </is>
      </c>
    </row>
    <row r="29" ht="62" customHeight="1">
      <c r="A29" s="5" t="inlineStr">
        <is>
          <t>已驗證的迴避（電信、油服、區域銀行、貨運）</t>
        </is>
      </c>
      <c r="C29" s="6" t="inlineStr">
        <is>
          <t>電信 −3.43% 廣度 0.00，為 9/17 全 111 組最差，名次 33→100；油服反彈日仍 −0.42%；區域銀行 +0.33%；貨運 +0.76%</t>
        </is>
      </c>
      <c r="E29" s="6" t="inlineStr">
        <is>
          <t>這四組在全巿反彈日依然落後 —— 機制不隨息率方向改變，是真正的結構性迴避</t>
        </is>
      </c>
      <c r="G29" s="6" t="inlineStr">
        <is>
          <t>維持 A 類迴避</t>
        </is>
      </c>
    </row>
    <row r="30"/>
    <row r="31">
      <c r="A31" s="2" t="inlineStr">
        <is>
          <t>本表為研究紀錄，非投資建議。所有判斷分數為分析員主觀評分，方法與限制見「數據來源與限制」頁。</t>
        </is>
      </c>
    </row>
  </sheetData>
  <mergeCells count="28">
    <mergeCell ref="A14:G14"/>
    <mergeCell ref="B7:C7"/>
    <mergeCell ref="D7:F7"/>
    <mergeCell ref="C26:D26"/>
    <mergeCell ref="A13:G13"/>
    <mergeCell ref="C29:D29"/>
    <mergeCell ref="A25:B25"/>
    <mergeCell ref="E29:F29"/>
    <mergeCell ref="A31:G31"/>
    <mergeCell ref="C25:D25"/>
    <mergeCell ref="E28:F28"/>
    <mergeCell ref="A27:B27"/>
    <mergeCell ref="B8:C8"/>
    <mergeCell ref="D8:F8"/>
    <mergeCell ref="A11:G11"/>
    <mergeCell ref="A26:B26"/>
    <mergeCell ref="A1:G1"/>
    <mergeCell ref="C27:D27"/>
    <mergeCell ref="E27:F27"/>
    <mergeCell ref="E26:F26"/>
    <mergeCell ref="B6:C6"/>
    <mergeCell ref="A29:B29"/>
    <mergeCell ref="E25:F25"/>
    <mergeCell ref="A12:G12"/>
    <mergeCell ref="A28:B28"/>
    <mergeCell ref="C28:D28"/>
    <mergeCell ref="A2:G2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860B"/>
    <outlinePr summaryBelow="1" summaryRight="1"/>
    <pageSetUpPr/>
  </sheetPr>
  <dimension ref="A1:J38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9" customWidth="1" min="5" max="5"/>
    <col width="8" customWidth="1" min="6" max="6"/>
    <col width="8" customWidth="1" min="7" max="7"/>
    <col width="9" customWidth="1" min="8" max="8"/>
    <col width="10" customWidth="1" min="9" max="9"/>
    <col width="44" customWidth="1" min="10" max="10"/>
  </cols>
  <sheetData>
    <row r="1" ht="22" customHeight="1">
      <c r="A1" s="1" t="inlineStr">
        <is>
          <t>R1.01 判斷記分卡（3 日窗口第 1 日：2026-09-17）</t>
        </is>
      </c>
    </row>
    <row r="2">
      <c r="A2" s="2" t="inlineStr">
        <is>
          <t>D–H 欄直接讀自本次重跑的資金流數據，非人手填寫　·　名次為 111 個子板塊的 5 日綜合排名（1 = 最強）</t>
        </is>
      </c>
    </row>
    <row r="8" ht="30" customHeight="1">
      <c r="A8" s="14" t="inlineStr">
        <is>
          <t>R1.01 類別</t>
        </is>
      </c>
      <c r="B8" s="14" t="inlineStr">
        <is>
          <t>子板塊</t>
        </is>
      </c>
      <c r="C8" s="14" t="inlineStr">
        <is>
          <t>R1.01 當時的判斷</t>
        </is>
      </c>
      <c r="D8" s="14" t="inlineStr">
        <is>
          <t>9-17
漲跌%</t>
        </is>
      </c>
      <c r="E8" s="14" t="inlineStr">
        <is>
          <t>9-17
廣度</t>
        </is>
      </c>
      <c r="F8" s="14" t="inlineStr">
        <is>
          <t>R11
名次</t>
        </is>
      </c>
      <c r="G8" s="14" t="inlineStr">
        <is>
          <t>R12
名次</t>
        </is>
      </c>
      <c r="H8" s="14" t="inlineStr">
        <is>
          <t>名次
變化</t>
        </is>
      </c>
      <c r="I8" s="14" t="inlineStr">
        <is>
          <t>判定</t>
        </is>
      </c>
      <c r="J8" s="14" t="inlineStr">
        <is>
          <t>本版如何處理</t>
        </is>
      </c>
    </row>
    <row r="9" ht="40" customHeight="1">
      <c r="A9" s="15" t="inlineStr">
        <is>
          <t>① 最高信心</t>
        </is>
      </c>
      <c r="B9" s="15" t="inlineStr">
        <is>
          <t>煉油與成品油</t>
        </is>
      </c>
      <c r="C9" s="16" t="inlineStr">
        <is>
          <t>做多裂解價差、做空原油；兩態皆贏</t>
        </is>
      </c>
      <c r="D9" s="17" t="n">
        <v>0.02526657988744307</v>
      </c>
      <c r="E9" s="18" t="n">
        <v>1</v>
      </c>
      <c r="F9" s="19" t="n">
        <v>4</v>
      </c>
      <c r="G9" s="19" t="n">
        <v>2</v>
      </c>
      <c r="H9" s="20">
        <f>F9-G9</f>
        <v>2.0</v>
      </c>
      <c r="I9" s="21" t="inlineStr">
        <is>
          <t>✓ 正確</t>
        </is>
      </c>
      <c r="J9" s="16" t="inlineStr">
        <is>
          <t>維持第①組；未伸展度由 4 降至 2（VLO 年內 +152%、MPC +157%，已高於共識目標價）</t>
        </is>
      </c>
    </row>
    <row r="10" ht="40" customHeight="1">
      <c r="A10" s="15" t="inlineStr">
        <is>
          <t>② 高信心</t>
        </is>
      </c>
      <c r="B10" s="15" t="inlineStr">
        <is>
          <t>診斷與生命科學工具</t>
        </is>
      </c>
      <c r="C10" s="16" t="inlineStr">
        <is>
          <t>無油品投入、本土收入、無久期</t>
        </is>
      </c>
      <c r="D10" s="17" t="n">
        <v>0.03078718168213362</v>
      </c>
      <c r="E10" s="18" t="n">
        <v>1</v>
      </c>
      <c r="F10" s="19" t="n">
        <v>1</v>
      </c>
      <c r="G10" s="19" t="n">
        <v>1</v>
      </c>
      <c r="H10" s="20">
        <f>F10-G10</f>
        <v>0.0</v>
      </c>
      <c r="I10" s="21" t="inlineStr">
        <is>
          <t>✓ 正確</t>
        </is>
      </c>
      <c r="J10" s="16" t="inlineStr">
        <is>
          <t>維持第②組；已伸展（5 日 +11.46%），改以 DHR 作為未追高的參與方式</t>
        </is>
      </c>
    </row>
    <row r="11" ht="40" customHeight="1">
      <c r="A11" s="22" t="inlineStr">
        <is>
          <t>② 高信心</t>
        </is>
      </c>
      <c r="B11" s="22" t="inlineStr">
        <is>
          <t>醫院與醫療服務</t>
        </is>
      </c>
      <c r="C11" s="23" t="inlineStr">
        <is>
          <t>資金流最確認的防守配置</t>
        </is>
      </c>
      <c r="D11" s="24" t="n">
        <v>-0.006299070314567168</v>
      </c>
      <c r="E11" s="25" t="n">
        <v>0</v>
      </c>
      <c r="F11" s="26" t="n">
        <v>3</v>
      </c>
      <c r="G11" s="26" t="n">
        <v>20</v>
      </c>
      <c r="H11" s="27">
        <f>F11-G11</f>
        <v>-17.0</v>
      </c>
      <c r="I11" s="28" t="inlineStr">
        <is>
          <t>✗ 錯誤</t>
        </is>
      </c>
      <c r="J11" s="23" t="inlineStr">
        <is>
          <t>降級至第⑦組。這其實是對息率方向的下注，不是對機制的下注</t>
        </is>
      </c>
    </row>
    <row r="12" ht="40" customHeight="1">
      <c r="A12" s="22" t="inlineStr">
        <is>
          <t>③ 買入</t>
        </is>
      </c>
      <c r="B12" s="22" t="inlineStr">
        <is>
          <t>電氣設備與電網</t>
        </is>
      </c>
      <c r="C12" s="23" t="inlineStr">
        <is>
          <t>AI 用電中有訂單、有定價權的一邊</t>
        </is>
      </c>
      <c r="D12" s="24" t="n">
        <v>0.009042011090423107</v>
      </c>
      <c r="E12" s="25" t="n">
        <v>0.6</v>
      </c>
      <c r="F12" s="26" t="n">
        <v>14</v>
      </c>
      <c r="G12" s="26" t="n">
        <v>21</v>
      </c>
      <c r="H12" s="27">
        <f>F12-G12</f>
        <v>-7.0</v>
      </c>
      <c r="I12" s="28" t="inlineStr">
        <is>
          <t>✗ 偏錯</t>
        </is>
      </c>
      <c r="J12" s="23" t="inlineStr">
        <is>
          <t>降至第⑥組；只有 ETN 單隻走強，組別廣度 0.60</t>
        </is>
      </c>
    </row>
    <row r="13" ht="40" customHeight="1">
      <c r="A13" s="22" t="inlineStr">
        <is>
          <t>④ 買入</t>
        </is>
      </c>
      <c r="B13" s="22" t="inlineStr">
        <is>
          <t>產險與再保</t>
        </is>
      </c>
      <c r="C13" s="23" t="inlineStr">
        <is>
          <t>唯一「想要」5% 孳息的金融</t>
        </is>
      </c>
      <c r="D13" s="24" t="n">
        <v>-0.0009702644069072619</v>
      </c>
      <c r="E13" s="25" t="n">
        <v>0</v>
      </c>
      <c r="F13" s="26" t="n">
        <v>6</v>
      </c>
      <c r="G13" s="26" t="n">
        <v>16</v>
      </c>
      <c r="H13" s="27">
        <f>F13-G13</f>
        <v>-10.0</v>
      </c>
      <c r="I13" s="28" t="inlineStr">
        <is>
          <t>✗ 錯誤</t>
        </is>
      </c>
      <c r="J13" s="23" t="inlineStr">
        <is>
          <t>降級至第⑦組；浮存金邏輯在孳息見頂時失去邊際動力</t>
        </is>
      </c>
    </row>
    <row r="14" ht="40" customHeight="1">
      <c r="A14" s="22" t="inlineStr">
        <is>
          <t>⑤ 戰術小注</t>
        </is>
      </c>
      <c r="B14" s="22" t="inlineStr">
        <is>
          <t>晶圓代工/IDM</t>
        </is>
      </c>
      <c r="C14" s="23" t="inlineStr">
        <is>
          <t>列為「反彈非趨勢、不建議追」</t>
        </is>
      </c>
      <c r="D14" s="24" t="n">
        <v>0.06428036668293857</v>
      </c>
      <c r="E14" s="25" t="n">
        <v>1</v>
      </c>
      <c r="F14" s="26" t="n">
        <v>38</v>
      </c>
      <c r="G14" s="26" t="n">
        <v>9</v>
      </c>
      <c r="H14" s="27">
        <f>F14-G14</f>
        <v>29.0</v>
      </c>
      <c r="I14" s="28" t="inlineStr">
        <is>
          <t>✗ 低估</t>
        </is>
      </c>
      <c r="J14" s="23" t="inlineStr">
        <is>
          <t>升為第③組；9/17 為當日第 4 強，5 日綜合升 29 位</t>
        </is>
      </c>
    </row>
    <row r="15" ht="40" customHeight="1">
      <c r="A15" s="22" t="inlineStr">
        <is>
          <t>⑤ 戰術小注</t>
        </is>
      </c>
      <c r="B15" s="22" t="inlineStr">
        <is>
          <t>EDA與半導體IP</t>
        </is>
      </c>
      <c r="C15" s="23" t="inlineStr">
        <is>
          <t>同上</t>
        </is>
      </c>
      <c r="D15" s="24" t="n">
        <v>0.03200271794765467</v>
      </c>
      <c r="E15" s="25" t="n">
        <v>1</v>
      </c>
      <c r="F15" s="26" t="n">
        <v>37</v>
      </c>
      <c r="G15" s="26" t="n">
        <v>23</v>
      </c>
      <c r="H15" s="27">
        <f>F15-G15</f>
        <v>14.0</v>
      </c>
      <c r="I15" s="28" t="inlineStr">
        <is>
          <t>✗ 低估</t>
        </is>
      </c>
      <c r="J15" s="23" t="inlineStr">
        <is>
          <t>升為第③組</t>
        </is>
      </c>
    </row>
    <row r="16" ht="40" customHeight="1">
      <c r="A16" s="22" t="inlineStr">
        <is>
          <t>⑥ 觀察不建倉</t>
        </is>
      </c>
      <c r="B16" s="22" t="inlineStr">
        <is>
          <t>鋼鐵</t>
        </is>
      </c>
      <c r="C16" s="23" t="inlineStr">
        <is>
          <t>「方向未確立」</t>
        </is>
      </c>
      <c r="D16" s="24" t="n">
        <v>0.02811528543442571</v>
      </c>
      <c r="E16" s="25" t="n">
        <v>1</v>
      </c>
      <c r="F16" s="26" t="n">
        <v>11</v>
      </c>
      <c r="G16" s="26" t="n">
        <v>6</v>
      </c>
      <c r="H16" s="27">
        <f>F16-G16</f>
        <v>5.0</v>
      </c>
      <c r="I16" s="28" t="inlineStr">
        <is>
          <t>✗ 低估</t>
        </is>
      </c>
      <c r="J16" s="23" t="inlineStr">
        <is>
          <t>升為第⑤組；升勢有廣度（9/17 廣度 1.00）且未伸展</t>
        </is>
      </c>
    </row>
    <row r="17" ht="40" customHeight="1">
      <c r="A17" s="22" t="inlineStr">
        <is>
          <t>未列入</t>
        </is>
      </c>
      <c r="B17" s="22" t="inlineStr">
        <is>
          <t>太空與衛星</t>
        </is>
      </c>
      <c r="C17" s="23" t="inlineStr">
        <is>
          <t>R1.01 完全未提及</t>
        </is>
      </c>
      <c r="D17" s="24" t="n">
        <v>0.06356748339923927</v>
      </c>
      <c r="E17" s="25" t="n">
        <v>1</v>
      </c>
      <c r="F17" s="26" t="n">
        <v>40</v>
      </c>
      <c r="G17" s="26" t="n">
        <v>8</v>
      </c>
      <c r="H17" s="27">
        <f>F17-G17</f>
        <v>32.0</v>
      </c>
      <c r="I17" s="28" t="inlineStr">
        <is>
          <t>✗ 遺漏</t>
        </is>
      </c>
      <c r="J17" s="23" t="inlineStr">
        <is>
          <t>新增為第④組；斜率 +0.62 為全表第二高</t>
        </is>
      </c>
    </row>
    <row r="18" ht="40" customHeight="1">
      <c r="A18" s="15" t="inlineStr">
        <is>
          <t>✕ 迴避</t>
        </is>
      </c>
      <c r="B18" s="15" t="inlineStr">
        <is>
          <t>電信營運商</t>
        </is>
      </c>
      <c r="C18" s="16" t="inlineStr">
        <is>
          <t>5% 無風險利率壓縮股息吸引力</t>
        </is>
      </c>
      <c r="D18" s="17" t="n">
        <v>-0.03433751301374496</v>
      </c>
      <c r="E18" s="18" t="n">
        <v>0</v>
      </c>
      <c r="F18" s="19" t="n">
        <v>33</v>
      </c>
      <c r="G18" s="19" t="n">
        <v>100</v>
      </c>
      <c r="H18" s="20">
        <f>F18-G18</f>
        <v>-67.0</v>
      </c>
      <c r="I18" s="21" t="inlineStr">
        <is>
          <t>✓ 完全正確</t>
        </is>
      </c>
      <c r="J18" s="16" t="inlineStr">
        <is>
          <t>維持 A 類迴避；9/17 為全 111 組最差</t>
        </is>
      </c>
    </row>
    <row r="19" ht="40" customHeight="1">
      <c r="A19" s="15" t="inlineStr">
        <is>
          <t>✕ 迴避</t>
        </is>
      </c>
      <c r="B19" s="15" t="inlineStr">
        <is>
          <t>油田服務</t>
        </is>
      </c>
      <c r="C19" s="16" t="inlineStr">
        <is>
          <t>擁擠多倉解除</t>
        </is>
      </c>
      <c r="D19" s="17" t="n">
        <v>-0.004215409888310734</v>
      </c>
      <c r="E19" s="18" t="n">
        <v>0.25</v>
      </c>
      <c r="F19" s="19" t="n">
        <v>101</v>
      </c>
      <c r="G19" s="19" t="n">
        <v>103</v>
      </c>
      <c r="H19" s="20">
        <f>F19-G19</f>
        <v>-2.0</v>
      </c>
      <c r="I19" s="21" t="inlineStr">
        <is>
          <t>✓ 正確</t>
        </is>
      </c>
      <c r="J19" s="16" t="inlineStr">
        <is>
          <t>維持 A 類迴避；反彈日仍然下跌</t>
        </is>
      </c>
    </row>
    <row r="20" ht="40" customHeight="1">
      <c r="A20" s="15" t="inlineStr">
        <is>
          <t>✕ 迴避</t>
        </is>
      </c>
      <c r="B20" s="15" t="inlineStr">
        <is>
          <t>區域與社區銀行</t>
        </is>
      </c>
      <c r="C20" s="16" t="inlineStr">
        <is>
          <t>持債虧損 + 存款成本 + CRE</t>
        </is>
      </c>
      <c r="D20" s="17" t="n">
        <v>0.003284718602271885</v>
      </c>
      <c r="E20" s="18" t="n">
        <v>0.4</v>
      </c>
      <c r="F20" s="19" t="n">
        <v>89</v>
      </c>
      <c r="G20" s="19" t="n">
        <v>104</v>
      </c>
      <c r="H20" s="20">
        <f>F20-G20</f>
        <v>-15.0</v>
      </c>
      <c r="I20" s="21" t="inlineStr">
        <is>
          <t>✓ 正確</t>
        </is>
      </c>
      <c r="J20" s="16" t="inlineStr">
        <is>
          <t>維持 A 類迴避</t>
        </is>
      </c>
    </row>
    <row r="21" ht="40" customHeight="1">
      <c r="A21" s="15" t="inlineStr">
        <is>
          <t>✕ 迴避</t>
        </is>
      </c>
      <c r="B21" s="15" t="inlineStr">
        <is>
          <t>投行與資本巿場</t>
        </is>
      </c>
      <c r="C21" s="16" t="inlineStr">
        <is>
          <t>孳息 5% 下 deal flow 凍結</t>
        </is>
      </c>
      <c r="D21" s="17" t="n">
        <v>0.00432291219416161</v>
      </c>
      <c r="E21" s="18" t="n">
        <v>0.8</v>
      </c>
      <c r="F21" s="19" t="n">
        <v>107</v>
      </c>
      <c r="G21" s="19" t="n">
        <v>98</v>
      </c>
      <c r="H21" s="20">
        <f>F21-G21</f>
        <v>9.0</v>
      </c>
      <c r="I21" s="21" t="inlineStr">
        <is>
          <t>✓ 正確</t>
        </is>
      </c>
      <c r="J21" s="16" t="inlineStr">
        <is>
          <t>維持 A 類迴避</t>
        </is>
      </c>
    </row>
    <row r="22" ht="40" customHeight="1">
      <c r="A22" s="15" t="inlineStr">
        <is>
          <t>✕ 迴避</t>
        </is>
      </c>
      <c r="B22" s="15" t="inlineStr">
        <is>
          <t>貨運與物流</t>
        </is>
      </c>
      <c r="C22" s="16" t="inlineStr">
        <is>
          <t>FDX 指引屬多日重估</t>
        </is>
      </c>
      <c r="D22" s="17" t="n">
        <v>0.007558005343648056</v>
      </c>
      <c r="E22" s="18" t="n">
        <v>0.8</v>
      </c>
      <c r="F22" s="19" t="n">
        <v>81</v>
      </c>
      <c r="G22" s="19" t="n">
        <v>88</v>
      </c>
      <c r="H22" s="20">
        <f>F22-G22</f>
        <v>-7.0</v>
      </c>
      <c r="I22" s="21" t="inlineStr">
        <is>
          <t>✓ 正確</t>
        </is>
      </c>
      <c r="J22" s="16" t="inlineStr">
        <is>
          <t>維持 A 類迴避</t>
        </is>
      </c>
    </row>
    <row r="23" ht="40" customHeight="1">
      <c r="A23" s="15" t="inlineStr">
        <is>
          <t>✕ 迴避</t>
        </is>
      </c>
      <c r="B23" s="15" t="inlineStr">
        <is>
          <t>綜合油氣巨頭</t>
        </is>
      </c>
      <c r="C23" s="16" t="inlineStr">
        <is>
          <t>上游佔比高、對沖不足</t>
        </is>
      </c>
      <c r="D23" s="17" t="n">
        <v>-7.733214381705489e-05</v>
      </c>
      <c r="E23" s="18" t="n">
        <v>0</v>
      </c>
      <c r="F23" s="19" t="n">
        <v>53</v>
      </c>
      <c r="G23" s="19" t="n">
        <v>45</v>
      </c>
      <c r="H23" s="20">
        <f>F23-G23</f>
        <v>8.0</v>
      </c>
      <c r="I23" s="21" t="inlineStr">
        <is>
          <t>✓ 正確</t>
        </is>
      </c>
      <c r="J23" s="16" t="inlineStr">
        <is>
          <t>維持 A 類迴避</t>
        </is>
      </c>
    </row>
    <row r="24" ht="40" customHeight="1">
      <c r="A24" s="22" t="inlineStr">
        <is>
          <t>✕ 迴避</t>
        </is>
      </c>
      <c r="B24" s="22" t="inlineStr">
        <is>
          <t>小型模組化核能SMR</t>
        </is>
      </c>
      <c r="C24" s="23" t="inlineStr">
        <is>
          <t>零收入、長久期，加息周期最先被殺</t>
        </is>
      </c>
      <c r="D24" s="24" t="n">
        <v>0.08012660738688482</v>
      </c>
      <c r="E24" s="25" t="n">
        <v>1</v>
      </c>
      <c r="F24" s="26" t="n">
        <v>108</v>
      </c>
      <c r="G24" s="26" t="n">
        <v>54</v>
      </c>
      <c r="H24" s="27">
        <f>F24-G24</f>
        <v>54.0</v>
      </c>
      <c r="I24" s="28" t="inlineStr">
        <is>
          <t>✗✗ 嚴重錯誤</t>
        </is>
      </c>
      <c r="J24" s="23" t="inlineStr">
        <is>
          <t>改列 B 類中性；斜率 +0.99 為全表最高</t>
        </is>
      </c>
    </row>
    <row r="25" ht="40" customHeight="1">
      <c r="A25" s="22" t="inlineStr">
        <is>
          <t>✕ 迴避</t>
        </is>
      </c>
      <c r="B25" s="22" t="inlineStr">
        <is>
          <t>量子運算</t>
        </is>
      </c>
      <c r="C25" s="23" t="inlineStr">
        <is>
          <t>（同屬長久期主題）</t>
        </is>
      </c>
      <c r="D25" s="24" t="n">
        <v>0.07993312771763289</v>
      </c>
      <c r="E25" s="25" t="n">
        <v>1</v>
      </c>
      <c r="F25" s="26" t="n">
        <v>69</v>
      </c>
      <c r="G25" s="26" t="n">
        <v>15</v>
      </c>
      <c r="H25" s="27">
        <f>F25-G25</f>
        <v>54.0</v>
      </c>
      <c r="I25" s="28" t="inlineStr">
        <is>
          <t>✗✗ 嚴重錯誤</t>
        </is>
      </c>
      <c r="J25" s="23" t="inlineStr">
        <is>
          <t>改列 B 類中性；9/17 為當日 111 組之冠</t>
        </is>
      </c>
    </row>
    <row r="26" ht="40" customHeight="1">
      <c r="A26" s="22" t="inlineStr">
        <is>
          <t>✕ 迴避</t>
        </is>
      </c>
      <c r="B26" s="22" t="inlineStr">
        <is>
          <t>數位資產金融與礦業轉HPC</t>
        </is>
      </c>
      <c r="C26" s="23" t="inlineStr">
        <is>
          <t>實質利率 beta 最高</t>
        </is>
      </c>
      <c r="D26" s="24" t="n">
        <v>0.0530337610082291</v>
      </c>
      <c r="E26" s="25" t="n">
        <v>1</v>
      </c>
      <c r="F26" s="26" t="n">
        <v>104</v>
      </c>
      <c r="G26" s="26" t="n">
        <v>51</v>
      </c>
      <c r="H26" s="27">
        <f>F26-G26</f>
        <v>53.0</v>
      </c>
      <c r="I26" s="28" t="inlineStr">
        <is>
          <t>✗✗ 嚴重錯誤</t>
        </is>
      </c>
      <c r="J26" s="23" t="inlineStr">
        <is>
          <t>改列 B 類中性；實質利率 beta 最高在息率回落時反向成立</t>
        </is>
      </c>
    </row>
    <row r="27" ht="40" customHeight="1">
      <c r="A27" s="22" t="inlineStr">
        <is>
          <t>✕ 迴避</t>
        </is>
      </c>
      <c r="B27" s="22" t="inlineStr">
        <is>
          <t>住宅建築商</t>
        </is>
      </c>
      <c r="C27" s="23" t="inlineStr">
        <is>
          <t>9/17 新屋開工是向下催化劑</t>
        </is>
      </c>
      <c r="D27" s="24" t="n">
        <v>0.01291432417886487</v>
      </c>
      <c r="E27" s="25" t="n">
        <v>1</v>
      </c>
      <c r="F27" s="26" t="n">
        <v>44</v>
      </c>
      <c r="G27" s="26" t="n">
        <v>17</v>
      </c>
      <c r="H27" s="27">
        <f>F27-G27</f>
        <v>27.0</v>
      </c>
      <c r="I27" s="28" t="inlineStr">
        <is>
          <t>✗ 錯誤</t>
        </is>
      </c>
      <c r="J27" s="23" t="inlineStr">
        <is>
          <t>改列 B 類中性；開工 1,275k 雖遜預期，但單戶 +7.6%，市場取了好的一面</t>
        </is>
      </c>
    </row>
    <row r="28" ht="40" customHeight="1">
      <c r="A28" s="22" t="inlineStr">
        <is>
          <t>✕ 迴避</t>
        </is>
      </c>
      <c r="B28" s="22" t="inlineStr">
        <is>
          <t>鈾與核燃料</t>
        </is>
      </c>
      <c r="C28" s="23" t="inlineStr">
        <is>
          <t>長久期、無現金流</t>
        </is>
      </c>
      <c r="D28" s="24" t="n">
        <v>0.03024831142679853</v>
      </c>
      <c r="E28" s="25" t="n">
        <v>1</v>
      </c>
      <c r="F28" s="26" t="n">
        <v>111</v>
      </c>
      <c r="G28" s="26" t="n">
        <v>96</v>
      </c>
      <c r="H28" s="27">
        <f>F28-G28</f>
        <v>15.0</v>
      </c>
      <c r="I28" s="28" t="inlineStr">
        <is>
          <t>✗ 錯誤</t>
        </is>
      </c>
      <c r="J28" s="23" t="inlineStr">
        <is>
          <t>改列 B 類中性</t>
        </is>
      </c>
    </row>
    <row r="29" ht="40" customHeight="1">
      <c r="A29" s="22" t="inlineStr">
        <is>
          <t>✕ 迴避</t>
        </is>
      </c>
      <c r="B29" s="22" t="inlineStr">
        <is>
          <t>稀土與關鍵礦產</t>
        </is>
      </c>
      <c r="C29" s="23" t="inlineStr">
        <is>
          <t>長久期主題股</t>
        </is>
      </c>
      <c r="D29" s="24" t="n">
        <v>0.02486573134593758</v>
      </c>
      <c r="E29" s="25" t="n">
        <v>1</v>
      </c>
      <c r="F29" s="26" t="n">
        <v>109</v>
      </c>
      <c r="G29" s="26" t="n">
        <v>94</v>
      </c>
      <c r="H29" s="27">
        <f>F29-G29</f>
        <v>15.0</v>
      </c>
      <c r="I29" s="28" t="inlineStr">
        <is>
          <t>✗ 錯誤</t>
        </is>
      </c>
      <c r="J29" s="23" t="inlineStr">
        <is>
          <t>改列 B 類中性</t>
        </is>
      </c>
    </row>
    <row r="30" ht="40" customHeight="1">
      <c r="A30" s="22" t="inlineStr">
        <is>
          <t>✕ 迴避</t>
        </is>
      </c>
      <c r="B30" s="22" t="inlineStr">
        <is>
          <t>再生能源與太陽能</t>
        </is>
      </c>
      <c r="C30" s="23" t="inlineStr">
        <is>
          <t>公用事業 + 再生能源雙重久期</t>
        </is>
      </c>
      <c r="D30" s="24" t="n">
        <v>0.04006540518797967</v>
      </c>
      <c r="E30" s="25" t="n">
        <v>1</v>
      </c>
      <c r="F30" s="26" t="n">
        <v>97</v>
      </c>
      <c r="G30" s="26" t="n">
        <v>71</v>
      </c>
      <c r="H30" s="27">
        <f>F30-G30</f>
        <v>26.0</v>
      </c>
      <c r="I30" s="28" t="inlineStr">
        <is>
          <t>✗ 錯誤</t>
        </is>
      </c>
      <c r="J30" s="23" t="inlineStr">
        <is>
          <t>改列 B 類中性</t>
        </is>
      </c>
    </row>
    <row r="31" ht="40" customHeight="1">
      <c r="A31" s="29" t="inlineStr">
        <is>
          <t>✕ 迴避</t>
        </is>
      </c>
      <c r="B31" s="29" t="inlineStr">
        <is>
          <t>頁岩E&amp;P勘探生產</t>
        </is>
      </c>
      <c r="C31" s="30" t="inlineStr">
        <is>
          <t>擁擠多倉在 8.31x 成交量下爆掉</t>
        </is>
      </c>
      <c r="D31" s="31" t="n">
        <v>0.004825595209955136</v>
      </c>
      <c r="E31" s="32" t="n">
        <v>0.6</v>
      </c>
      <c r="F31" s="33" t="n">
        <v>45</v>
      </c>
      <c r="G31" s="33" t="n">
        <v>44</v>
      </c>
      <c r="H31" s="34">
        <f>F31-G31</f>
        <v>1.0</v>
      </c>
      <c r="I31" s="35" t="inlineStr">
        <is>
          <t>○ 中性</t>
        </is>
      </c>
      <c r="J31" s="30" t="inlineStr">
        <is>
          <t>9/17 只 +0.48%，名次 45→44；擠擁已解除，但未見新買盤</t>
        </is>
      </c>
    </row>
    <row r="33">
      <c r="B33" s="3" t="inlineStr">
        <is>
          <t>判定統計</t>
        </is>
      </c>
    </row>
    <row r="34">
      <c r="B34" s="7" t="inlineStr">
        <is>
          <t>✓ 正確</t>
        </is>
      </c>
      <c r="C34" s="36">
        <f>COUNTIF(I9:I31,"✓*")</f>
        <v>8.0</v>
      </c>
      <c r="D34" s="11">
        <f>C34/COUNTA($I$9:$I$31)</f>
        <v>0.34782608695652173</v>
      </c>
    </row>
    <row r="35">
      <c r="B35" s="7" t="inlineStr">
        <is>
          <t>✗ 錯誤</t>
        </is>
      </c>
      <c r="C35" s="36">
        <f>COUNTIF(I9:I31,"✗*")</f>
        <v>14.0</v>
      </c>
      <c r="D35" s="11">
        <f>C35/COUNTA($I$9:$I$31)</f>
        <v>0.6086956521739131</v>
      </c>
    </row>
    <row r="36">
      <c r="B36" s="7" t="inlineStr">
        <is>
          <t>○ 中性</t>
        </is>
      </c>
      <c r="C36" s="36">
        <f>COUNTIF(I9:I31,"○*")</f>
        <v>1.0</v>
      </c>
      <c r="D36" s="11">
        <f>C36/COUNTA($I$9:$I$31)</f>
        <v>0.043478260869565216</v>
      </c>
    </row>
    <row r="38" ht="46" customHeight="1">
      <c r="B38" s="9" t="inlineStr">
        <is>
          <t>本頁存在的理由：一份 3 日清單如果沒有逐日對照，就永遠不會知道自己錯在哪裡。9/17 的結論很集中 —— 凡是「不需要猜息率方向」的判斷全部正確（煉油、診斷工具，以及五組結構性迴避），凡是「押注息率續升」的判斷全部落空（醫院、產險、電網），而凡是「因為息率上升而迴避」的，在息率一停升時就全部反彈。</t>
        </is>
      </c>
    </row>
  </sheetData>
  <mergeCells count="3">
    <mergeCell ref="A1:J1"/>
    <mergeCell ref="B38:J3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2E7D32"/>
    <outlinePr summaryBelow="1" summaryRight="1"/>
    <pageSetUpPr/>
  </sheetPr>
  <dimension ref="A1:U31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9" customWidth="1" min="17" max="17"/>
    <col width="50" customWidth="1" min="18" max="18"/>
    <col width="22" customWidth="1" min="19" max="19"/>
    <col width="22" customWidth="1" min="20" max="20"/>
    <col width="34" customWidth="1" min="21" max="21"/>
  </cols>
  <sheetData>
    <row r="1" ht="22" customHeight="1">
      <c r="A1" s="1" t="inlineStr">
        <is>
          <t>3 日受惠股清單　Rate-Hike &amp; Geopolitical 3-Day Watchlist R2.00</t>
        </is>
      </c>
    </row>
    <row r="2">
      <c r="A2" s="2" t="inlineStr">
        <is>
          <t>基準 2026-09-17 美東收市　·　H/I/L/Q 欄為公式，黑字＝公式、藍字＝輸入值、黃底＝可調整假設　·　代號可點擊開 TradingView 圖表</t>
        </is>
      </c>
    </row>
    <row r="4">
      <c r="M4" s="3" t="inlineStr">
        <is>
          <t>綜合分權重（黃底＝可調整輸入，改動後 Q 欄即時重算）</t>
        </is>
      </c>
    </row>
    <row r="5">
      <c r="M5" s="37" t="inlineStr">
        <is>
          <t>機制強度</t>
        </is>
      </c>
      <c r="N5" s="37" t="inlineStr">
        <is>
          <t>資金流確認</t>
        </is>
      </c>
      <c r="O5" s="37" t="inlineStr">
        <is>
          <t>未伸展度</t>
        </is>
      </c>
      <c r="P5" s="37" t="inlineStr">
        <is>
          <t>廣度</t>
        </is>
      </c>
      <c r="Q5" s="37" t="inlineStr">
        <is>
          <t>合計</t>
        </is>
      </c>
    </row>
    <row r="6">
      <c r="M6" s="38" t="n">
        <v>0.4</v>
      </c>
      <c r="N6" s="38" t="n">
        <v>0.25</v>
      </c>
      <c r="O6" s="38" t="n">
        <v>0.2</v>
      </c>
      <c r="P6" s="38" t="n">
        <v>0.15</v>
      </c>
      <c r="Q6" s="39">
        <f>SUM(M6:P6)</f>
        <v>1.0</v>
      </c>
    </row>
    <row r="8" ht="30" customHeight="1">
      <c r="A8" s="14" t="inlineStr">
        <is>
          <t>組別</t>
        </is>
      </c>
      <c r="B8" s="14" t="inlineStr">
        <is>
          <t>主題板塊</t>
        </is>
      </c>
      <c r="C8" s="14" t="inlineStr">
        <is>
          <t>代號</t>
        </is>
      </c>
      <c r="D8" s="14" t="inlineStr">
        <is>
          <t>公司</t>
        </is>
      </c>
      <c r="E8" s="14" t="inlineStr">
        <is>
          <t>收市
09-17</t>
        </is>
      </c>
      <c r="F8" s="14" t="inlineStr">
        <is>
          <t>前收
09-16</t>
        </is>
      </c>
      <c r="G8" s="14" t="inlineStr">
        <is>
          <t>5日前收
09-10</t>
        </is>
      </c>
      <c r="H8" s="14" t="inlineStr">
        <is>
          <t>09-17
漲跌%</t>
        </is>
      </c>
      <c r="I8" s="14" t="inlineStr">
        <is>
          <t>5日
漲跌%</t>
        </is>
      </c>
      <c r="J8" s="14" t="inlineStr">
        <is>
          <t>09-17
成交量</t>
        </is>
      </c>
      <c r="K8" s="14" t="inlineStr">
        <is>
          <t>20日
中位量</t>
        </is>
      </c>
      <c r="L8" s="14" t="inlineStr">
        <is>
          <t>相對量</t>
        </is>
      </c>
      <c r="M8" s="14" t="inlineStr">
        <is>
          <t>機制
0-5</t>
        </is>
      </c>
      <c r="N8" s="14" t="inlineStr">
        <is>
          <t>資金流
0-5</t>
        </is>
      </c>
      <c r="O8" s="14" t="inlineStr">
        <is>
          <t>未伸展
0-5</t>
        </is>
      </c>
      <c r="P8" s="14" t="inlineStr">
        <is>
          <t>廣度
0-5</t>
        </is>
      </c>
      <c r="Q8" s="14" t="inlineStr">
        <is>
          <t>綜合分
0-100</t>
        </is>
      </c>
      <c r="R8" s="14" t="inlineStr">
        <is>
          <t>受惠機制（為何這 3 日會贏）</t>
        </is>
      </c>
      <c r="S8" s="14" t="inlineStr">
        <is>
          <t>狀態A：油續跌</t>
        </is>
      </c>
      <c r="T8" s="14" t="inlineStr">
        <is>
          <t>狀態B：油再爆</t>
        </is>
      </c>
      <c r="U8" s="14" t="inlineStr">
        <is>
          <t>失效條件 / 注意</t>
        </is>
      </c>
    </row>
    <row r="9" ht="56" customHeight="1">
      <c r="A9" s="40" t="inlineStr">
        <is>
          <t>①</t>
        </is>
      </c>
      <c r="B9" s="6" t="inlineStr">
        <is>
          <t>煉油與成品油</t>
        </is>
      </c>
      <c r="C9" s="41" t="inlineStr">
        <is>
          <t>VLO</t>
        </is>
      </c>
      <c r="D9" s="6" t="inlineStr">
        <is>
          <t>Valero Energy</t>
        </is>
      </c>
      <c r="E9" s="42" t="n">
        <v>412.33</v>
      </c>
      <c r="F9" s="42" t="n">
        <v>403.28</v>
      </c>
      <c r="G9" s="42" t="n">
        <v>385.43</v>
      </c>
      <c r="H9" s="11">
        <f>E9/F9-1</f>
        <v>0.02244098393175964</v>
      </c>
      <c r="I9" s="11">
        <f>E9/G9-1</f>
        <v>0.06979218016241595</v>
      </c>
      <c r="J9" s="13" t="n">
        <v>2741747</v>
      </c>
      <c r="K9" s="13" t="n">
        <v>2735900</v>
      </c>
      <c r="L9" s="43">
        <f>J9/K9</f>
        <v>1.0021371395153331</v>
      </c>
      <c r="M9" s="44" t="n">
        <v>5</v>
      </c>
      <c r="N9" s="44" t="n">
        <v>5</v>
      </c>
      <c r="O9" s="44" t="n">
        <v>2</v>
      </c>
      <c r="P9" s="44" t="n">
        <v>5</v>
      </c>
      <c r="Q9" s="45">
        <f>(M9*$M$6+N9*$N$6+O9*$O$6+P9*$P$6)*20</f>
        <v>88.0</v>
      </c>
      <c r="R9" s="6" t="inlineStr">
        <is>
          <t>做多裂解價差、做空原油。9/17 組別 +2.53%、廣度 1.00，5 日綜合由第 4 升至第 2，斜率 +0.62。機制未變：Aramco 只能在數日內恢復約一半管線運能，全面復原約需六週；中東逾 20% 煉油產能實體損毀不會隨管線修復而回來</t>
        </is>
      </c>
      <c r="S9" s="6" t="inlineStr">
        <is>
          <t>強（原料成本回落、裂解維持）</t>
        </is>
      </c>
      <c r="T9" s="6" t="inlineStr">
        <is>
          <t>強（成品油價領先原油）</t>
        </is>
      </c>
      <c r="U9" s="6" t="inlineStr">
        <is>
          <t>⚠ 已伸展：VLO 年內 +152%、MPC +157%，均高於分析員目標價（VLO $355 對 $405、MPC $370 對 $413），評級以 Hold 居多。俄羅斯柴油出口禁令 9/30 到期不續則裂解回落</t>
        </is>
      </c>
    </row>
    <row r="10" ht="56" customHeight="1">
      <c r="A10" s="40" t="inlineStr">
        <is>
          <t>①</t>
        </is>
      </c>
      <c r="B10" s="6" t="inlineStr">
        <is>
          <t>煉油與成品油</t>
        </is>
      </c>
      <c r="C10" s="41" t="inlineStr">
        <is>
          <t>MPC</t>
        </is>
      </c>
      <c r="D10" s="6" t="inlineStr">
        <is>
          <t>Marathon Petroleum</t>
        </is>
      </c>
      <c r="E10" s="42" t="n">
        <v>422.22</v>
      </c>
      <c r="F10" s="42" t="n">
        <v>413.92</v>
      </c>
      <c r="G10" s="42" t="n">
        <v>392.42</v>
      </c>
      <c r="H10" s="11">
        <f>E10/F10-1</f>
        <v>0.02005218399690767</v>
      </c>
      <c r="I10" s="11">
        <f>E10/G10-1</f>
        <v>0.07593904490087144</v>
      </c>
      <c r="J10" s="13" t="n">
        <v>1918111</v>
      </c>
      <c r="K10" s="13" t="n">
        <v>2367300</v>
      </c>
      <c r="L10" s="43">
        <f>J10/K10</f>
        <v>0.8102526084568918</v>
      </c>
      <c r="M10" s="44" t="n">
        <v>5</v>
      </c>
      <c r="N10" s="44" t="n">
        <v>5</v>
      </c>
      <c r="O10" s="44" t="n">
        <v>2</v>
      </c>
      <c r="P10" s="44" t="n">
        <v>5</v>
      </c>
      <c r="Q10" s="45">
        <f>(M10*$M$6+N10*$N$6+O10*$O$6+P10*$P$6)*20</f>
        <v>88.0</v>
      </c>
      <c r="R10" s="6" t="inlineStr">
        <is>
          <t>美國煉油產能最大；9/17 同組齊升，5 日 +7.21%</t>
        </is>
      </c>
      <c r="S10" s="6" t="inlineStr">
        <is>
          <t>強</t>
        </is>
      </c>
      <c r="T10" s="6" t="inlineStr">
        <is>
          <t>強</t>
        </is>
      </c>
      <c r="U10" s="6" t="inlineStr">
        <is>
          <t>同上；年內 +157%，估值已高於共識目標</t>
        </is>
      </c>
    </row>
    <row r="11" ht="56" customHeight="1">
      <c r="A11" s="40" t="inlineStr">
        <is>
          <t>①</t>
        </is>
      </c>
      <c r="B11" s="6" t="inlineStr">
        <is>
          <t>煉油與成品油</t>
        </is>
      </c>
      <c r="C11" s="41" t="inlineStr">
        <is>
          <t>DINO</t>
        </is>
      </c>
      <c r="D11" s="6" t="inlineStr">
        <is>
          <t>HF Sinclair</t>
        </is>
      </c>
      <c r="E11" s="42" t="n">
        <v>116.58</v>
      </c>
      <c r="F11" s="42" t="n">
        <v>113.97</v>
      </c>
      <c r="G11" s="42" t="n">
        <v>107.72</v>
      </c>
      <c r="H11" s="11">
        <f>E11/F11-1</f>
        <v>0.022900763358778553</v>
      </c>
      <c r="I11" s="11">
        <f>E11/G11-1</f>
        <v>0.08225027849981426</v>
      </c>
      <c r="J11" s="13" t="n">
        <v>2043292</v>
      </c>
      <c r="K11" s="13" t="n">
        <v>2268100</v>
      </c>
      <c r="L11" s="43">
        <f>J11/K11</f>
        <v>0.900882677130638</v>
      </c>
      <c r="M11" s="44" t="n">
        <v>5</v>
      </c>
      <c r="N11" s="44" t="n">
        <v>5</v>
      </c>
      <c r="O11" s="44" t="n">
        <v>2</v>
      </c>
      <c r="P11" s="44" t="n">
        <v>5</v>
      </c>
      <c r="Q11" s="45">
        <f>(M11*$M$6+N11*$N$6+O11*$O$6+P11*$P$6)*20</f>
        <v>88.0</v>
      </c>
      <c r="R11" s="6" t="inlineStr">
        <is>
          <t>柴油佔比高，直接對應柴油裂解價差的歷史高位（本月曾見 $102–108/桶，正常夏季約 $20）</t>
        </is>
      </c>
      <c r="S11" s="6" t="inlineStr">
        <is>
          <t>強</t>
        </is>
      </c>
      <c r="T11" s="6" t="inlineStr">
        <is>
          <t>強</t>
        </is>
      </c>
      <c r="U11" s="6" t="inlineStr">
        <is>
          <t>同上；小型股波幅較大</t>
        </is>
      </c>
    </row>
    <row r="12" ht="56" customHeight="1">
      <c r="A12" s="40" t="inlineStr">
        <is>
          <t>①</t>
        </is>
      </c>
      <c r="B12" s="6" t="inlineStr">
        <is>
          <t>煉油與成品油</t>
        </is>
      </c>
      <c r="C12" s="41" t="inlineStr">
        <is>
          <t>PSX</t>
        </is>
      </c>
      <c r="D12" s="6" t="inlineStr">
        <is>
          <t>Phillips 66</t>
        </is>
      </c>
      <c r="E12" s="42" t="n">
        <v>274.07</v>
      </c>
      <c r="F12" s="42" t="n">
        <v>264.63</v>
      </c>
      <c r="G12" s="42" t="n">
        <v>258.51</v>
      </c>
      <c r="H12" s="11">
        <f>E12/F12-1</f>
        <v>0.03567244832407512</v>
      </c>
      <c r="I12" s="11">
        <f>E12/G12-1</f>
        <v>0.06019109512204568</v>
      </c>
      <c r="J12" s="13" t="n">
        <v>2527722</v>
      </c>
      <c r="K12" s="13" t="n">
        <v>2662400</v>
      </c>
      <c r="L12" s="43">
        <f>J12/K12</f>
        <v>0.949414813701923</v>
      </c>
      <c r="M12" s="44" t="n">
        <v>4</v>
      </c>
      <c r="N12" s="44" t="n">
        <v>4</v>
      </c>
      <c r="O12" s="44" t="n">
        <v>3</v>
      </c>
      <c r="P12" s="44" t="n">
        <v>5</v>
      </c>
      <c r="Q12" s="45">
        <f>(M12*$M$6+N12*$N$6+O12*$O$6+P12*$P$6)*20</f>
        <v>79.0</v>
      </c>
      <c r="R12" s="6" t="inlineStr">
        <is>
          <t>中游與化工佔比較高，純煉油度較低，相對未伸展</t>
        </is>
      </c>
      <c r="S12" s="6" t="inlineStr">
        <is>
          <t>中強</t>
        </is>
      </c>
      <c r="T12" s="6" t="inlineStr">
        <is>
          <t>中</t>
        </is>
      </c>
      <c r="U12" s="6" t="inlineStr">
        <is>
          <t>中游業務對沖掉部分裂解上行</t>
        </is>
      </c>
    </row>
    <row r="13" ht="56" customHeight="1">
      <c r="A13" s="46" t="inlineStr">
        <is>
          <t>②</t>
        </is>
      </c>
      <c r="B13" s="47" t="inlineStr">
        <is>
          <t>診斷與生命科學工具</t>
        </is>
      </c>
      <c r="C13" s="48" t="inlineStr">
        <is>
          <t>TMO</t>
        </is>
      </c>
      <c r="D13" s="47" t="inlineStr">
        <is>
          <t>Thermo Fisher Scientific</t>
        </is>
      </c>
      <c r="E13" s="49" t="n">
        <v>658.26</v>
      </c>
      <c r="F13" s="49" t="n">
        <v>648.4299999999999</v>
      </c>
      <c r="G13" s="49" t="n">
        <v>603.1799999999999</v>
      </c>
      <c r="H13" s="50">
        <f>E13/F13-1</f>
        <v>0.015159693413321573</v>
      </c>
      <c r="I13" s="50">
        <f>E13/G13-1</f>
        <v>0.09131602506714431</v>
      </c>
      <c r="J13" s="51" t="n">
        <v>2593716</v>
      </c>
      <c r="K13" s="51" t="n">
        <v>1672050</v>
      </c>
      <c r="L13" s="52">
        <f>J13/K13</f>
        <v>1.5512191621063964</v>
      </c>
      <c r="M13" s="53" t="n">
        <v>4</v>
      </c>
      <c r="N13" s="53" t="n">
        <v>5</v>
      </c>
      <c r="O13" s="53" t="n">
        <v>1</v>
      </c>
      <c r="P13" s="53" t="n">
        <v>5</v>
      </c>
      <c r="Q13" s="54">
        <f>(M13*$M$6+N13*$N$6+O13*$O$6+P13*$P$6)*20</f>
        <v>76.0</v>
      </c>
      <c r="R13" s="47" t="inlineStr">
        <is>
          <t>5 日綜合連續兩版排第 1；9/17 +3.08%、廣度 1.00。零石油投入、收入本土、近期盈利無久期 —— 在 9/16（息率急升）與 9/17（息率回落）兩種日子都上升，是本清單少數真正兩態皆贏的組別</t>
        </is>
      </c>
      <c r="S13" s="47" t="inlineStr">
        <is>
          <t>強</t>
        </is>
      </c>
      <c r="T13" s="47" t="inlineStr">
        <is>
          <t>強</t>
        </is>
      </c>
      <c r="U13" s="47" t="inlineStr">
        <is>
          <t>⚠ 組別 5 日已 +11.46%，為 111 組最大升幅之一，追價風險高</t>
        </is>
      </c>
    </row>
    <row r="14" ht="56" customHeight="1">
      <c r="A14" s="46" t="inlineStr">
        <is>
          <t>②</t>
        </is>
      </c>
      <c r="B14" s="47" t="inlineStr">
        <is>
          <t>診斷與生命科學工具</t>
        </is>
      </c>
      <c r="C14" s="48" t="inlineStr">
        <is>
          <t>A</t>
        </is>
      </c>
      <c r="D14" s="47" t="inlineStr">
        <is>
          <t>Agilent Technologies</t>
        </is>
      </c>
      <c r="E14" s="49" t="n">
        <v>156.35</v>
      </c>
      <c r="F14" s="49" t="n">
        <v>153.69</v>
      </c>
      <c r="G14" s="49" t="n">
        <v>143.12</v>
      </c>
      <c r="H14" s="50">
        <f>E14/F14-1</f>
        <v>0.017307567180688377</v>
      </c>
      <c r="I14" s="50">
        <f>E14/G14-1</f>
        <v>0.09243991056456102</v>
      </c>
      <c r="J14" s="51" t="n">
        <v>1734708</v>
      </c>
      <c r="K14" s="51" t="n">
        <v>2611600</v>
      </c>
      <c r="L14" s="52">
        <f>J14/K14</f>
        <v>0.6642318884974728</v>
      </c>
      <c r="M14" s="53" t="n">
        <v>4</v>
      </c>
      <c r="N14" s="53" t="n">
        <v>5</v>
      </c>
      <c r="O14" s="53" t="n">
        <v>2</v>
      </c>
      <c r="P14" s="53" t="n">
        <v>5</v>
      </c>
      <c r="Q14" s="54">
        <f>(M14*$M$6+N14*$N$6+O14*$O$6+P14*$P$6)*20</f>
        <v>80.0</v>
      </c>
      <c r="R14" s="47" t="inlineStr">
        <is>
          <t>同組，9/17 同步上升；相對 TMO 較未伸展</t>
        </is>
      </c>
      <c r="S14" s="47" t="inlineStr">
        <is>
          <t>強</t>
        </is>
      </c>
      <c r="T14" s="47" t="inlineStr">
        <is>
          <t>強</t>
        </is>
      </c>
      <c r="U14" s="47" t="inlineStr">
        <is>
          <t>同組伸展風險</t>
        </is>
      </c>
    </row>
    <row r="15" ht="56" customHeight="1">
      <c r="A15" s="46" t="inlineStr">
        <is>
          <t>②</t>
        </is>
      </c>
      <c r="B15" s="47" t="inlineStr">
        <is>
          <t>診斷與生命科學工具</t>
        </is>
      </c>
      <c r="C15" s="48" t="inlineStr">
        <is>
          <t>DHR</t>
        </is>
      </c>
      <c r="D15" s="47" t="inlineStr">
        <is>
          <t>Danaher</t>
        </is>
      </c>
      <c r="E15" s="49" t="n">
        <v>212.51</v>
      </c>
      <c r="F15" s="49" t="n">
        <v>208.36</v>
      </c>
      <c r="G15" s="49" t="n">
        <v>200.53</v>
      </c>
      <c r="H15" s="50">
        <f>E15/F15-1</f>
        <v>0.01991745056632732</v>
      </c>
      <c r="I15" s="50">
        <f>E15/G15-1</f>
        <v>0.0597416845359795</v>
      </c>
      <c r="J15" s="51" t="n">
        <v>5375812</v>
      </c>
      <c r="K15" s="51" t="n">
        <v>3085150</v>
      </c>
      <c r="L15" s="52">
        <f>J15/K15</f>
        <v>1.7424799442490642</v>
      </c>
      <c r="M15" s="53" t="n">
        <v>4</v>
      </c>
      <c r="N15" s="53" t="n">
        <v>4</v>
      </c>
      <c r="O15" s="53" t="n">
        <v>3</v>
      </c>
      <c r="P15" s="53" t="n">
        <v>5</v>
      </c>
      <c r="Q15" s="54">
        <f>(M15*$M$6+N15*$N$6+O15*$O$6+P15*$P$6)*20</f>
        <v>79.0</v>
      </c>
      <c r="R15" s="47" t="inlineStr">
        <is>
          <t>組內最落後的一隻，是參與該組而不追高的方式</t>
        </is>
      </c>
      <c r="S15" s="47" t="inlineStr">
        <is>
          <t>強</t>
        </is>
      </c>
      <c r="T15" s="47" t="inlineStr">
        <is>
          <t>中強</t>
        </is>
      </c>
      <c r="U15" s="47" t="inlineStr">
        <is>
          <t>中國採購與 NIH 預算消息</t>
        </is>
      </c>
    </row>
    <row r="16" ht="56" customHeight="1">
      <c r="A16" s="40" t="inlineStr">
        <is>
          <t>③</t>
        </is>
      </c>
      <c r="B16" s="6" t="inlineStr">
        <is>
          <t>晶圓代工與AI半導體</t>
        </is>
      </c>
      <c r="C16" s="41" t="inlineStr">
        <is>
          <t>TSM</t>
        </is>
      </c>
      <c r="D16" s="6" t="inlineStr">
        <is>
          <t>Taiwan Semiconductor</t>
        </is>
      </c>
      <c r="E16" s="42" t="n">
        <v>430.14</v>
      </c>
      <c r="F16" s="42" t="n">
        <v>417.72</v>
      </c>
      <c r="G16" s="42" t="n">
        <v>428.03</v>
      </c>
      <c r="H16" s="11">
        <f>E16/F16-1</f>
        <v>0.029732835392128676</v>
      </c>
      <c r="I16" s="11">
        <f>E16/G16-1</f>
        <v>0.004929561012078532</v>
      </c>
      <c r="J16" s="13" t="n">
        <v>7894769</v>
      </c>
      <c r="K16" s="13" t="n">
        <v>8922050</v>
      </c>
      <c r="L16" s="43">
        <f>J16/K16</f>
        <v>0.8848604300581144</v>
      </c>
      <c r="M16" s="44" t="n">
        <v>4</v>
      </c>
      <c r="N16" s="44" t="n">
        <v>5</v>
      </c>
      <c r="O16" s="44" t="n">
        <v>3</v>
      </c>
      <c r="P16" s="44" t="n">
        <v>5</v>
      </c>
      <c r="Q16" s="45">
        <f>(M16*$M$6+N16*$N$6+O16*$O$6+P16*$P$6)*20</f>
        <v>84.0</v>
      </c>
      <c r="R16" s="6" t="inlineStr">
        <is>
          <t>9/17 晶圓代工 +6.43%、廣度 1.00，5 日綜合由第 38 急升至第 9，斜率 +0.44。息率 8 連升中斷當日，AI 資本開支的利率免疫性被重新定價</t>
        </is>
      </c>
      <c r="S16" s="6" t="inlineStr">
        <is>
          <t>強（息率見頂則最大受惠）</t>
        </is>
      </c>
      <c r="T16" s="6" t="inlineStr">
        <is>
          <t>弱（高 beta，久期衝擊時最先被拋）</t>
        </is>
      </c>
      <c r="U16" s="6" t="inlineStr">
        <is>
          <t>⚠ 9/18 四巫日 + 日本央行議息：單日 +6% 之後撞正到期日，回吐風險高</t>
        </is>
      </c>
    </row>
    <row r="17" ht="56" customHeight="1">
      <c r="A17" s="40" t="inlineStr">
        <is>
          <t>③</t>
        </is>
      </c>
      <c r="B17" s="6" t="inlineStr">
        <is>
          <t>晶圓代工與AI半導體</t>
        </is>
      </c>
      <c r="C17" s="41" t="inlineStr">
        <is>
          <t>SNPS</t>
        </is>
      </c>
      <c r="D17" s="6" t="inlineStr">
        <is>
          <t>Synopsys</t>
        </is>
      </c>
      <c r="E17" s="42" t="n">
        <v>381.18</v>
      </c>
      <c r="F17" s="42" t="n">
        <v>378.47</v>
      </c>
      <c r="G17" s="42" t="n">
        <v>397.17</v>
      </c>
      <c r="H17" s="11">
        <f>E17/F17-1</f>
        <v>0.007160409015245506</v>
      </c>
      <c r="I17" s="11">
        <f>E17/G17-1</f>
        <v>-0.04025983835637137</v>
      </c>
      <c r="J17" s="13" t="n">
        <v>1224298</v>
      </c>
      <c r="K17" s="13" t="n">
        <v>1700650</v>
      </c>
      <c r="L17" s="43">
        <f>J17/K17</f>
        <v>0.7199000382206804</v>
      </c>
      <c r="M17" s="44" t="n">
        <v>4</v>
      </c>
      <c r="N17" s="44" t="n">
        <v>5</v>
      </c>
      <c r="O17" s="44" t="n">
        <v>3</v>
      </c>
      <c r="P17" s="44" t="n">
        <v>4</v>
      </c>
      <c r="Q17" s="45">
        <f>(M17*$M$6+N17*$N$6+O17*$O$6+P17*$P$6)*20</f>
        <v>81.0</v>
      </c>
      <c r="R17" s="6" t="inlineStr">
        <is>
          <t>EDA：現金流最穩、波幅最小的參與方式；9/17 +3.20%、廣度 1.00</t>
        </is>
      </c>
      <c r="S17" s="6" t="inlineStr">
        <is>
          <t>強</t>
        </is>
      </c>
      <c r="T17" s="6" t="inlineStr">
        <is>
          <t>中</t>
        </is>
      </c>
      <c r="U17" s="6" t="inlineStr">
        <is>
          <t>同上</t>
        </is>
      </c>
    </row>
    <row r="18" ht="56" customHeight="1">
      <c r="A18" s="40" t="inlineStr">
        <is>
          <t>③</t>
        </is>
      </c>
      <c r="B18" s="6" t="inlineStr">
        <is>
          <t>晶圓代工與AI半導體</t>
        </is>
      </c>
      <c r="C18" s="41" t="inlineStr">
        <is>
          <t>CDNS</t>
        </is>
      </c>
      <c r="D18" s="6" t="inlineStr">
        <is>
          <t>Cadence Design Systems</t>
        </is>
      </c>
      <c r="E18" s="42" t="n">
        <v>280.78</v>
      </c>
      <c r="F18" s="42" t="n">
        <v>279.9</v>
      </c>
      <c r="G18" s="42" t="n">
        <v>284.95</v>
      </c>
      <c r="H18" s="11">
        <f>E18/F18-1</f>
        <v>0.0031439799928545398</v>
      </c>
      <c r="I18" s="11">
        <f>E18/G18-1</f>
        <v>-0.014634146341463428</v>
      </c>
      <c r="J18" s="13" t="n">
        <v>1484302</v>
      </c>
      <c r="K18" s="13" t="n">
        <v>2291050</v>
      </c>
      <c r="L18" s="43">
        <f>J18/K18</f>
        <v>0.6478697540429061</v>
      </c>
      <c r="M18" s="44" t="n">
        <v>4</v>
      </c>
      <c r="N18" s="44" t="n">
        <v>5</v>
      </c>
      <c r="O18" s="44" t="n">
        <v>3</v>
      </c>
      <c r="P18" s="44" t="n">
        <v>4</v>
      </c>
      <c r="Q18" s="45">
        <f>(M18*$M$6+N18*$N$6+O18*$O$6+P18*$P$6)*20</f>
        <v>81.0</v>
      </c>
      <c r="R18" s="6" t="inlineStr">
        <is>
          <t>同上，EDA 雙雄</t>
        </is>
      </c>
      <c r="S18" s="6" t="inlineStr">
        <is>
          <t>強</t>
        </is>
      </c>
      <c r="T18" s="6" t="inlineStr">
        <is>
          <t>中</t>
        </is>
      </c>
      <c r="U18" s="6" t="inlineStr">
        <is>
          <t>同上</t>
        </is>
      </c>
    </row>
    <row r="19" ht="56" customHeight="1">
      <c r="A19" s="46" t="inlineStr">
        <is>
          <t>④</t>
        </is>
      </c>
      <c r="B19" s="47" t="inlineStr">
        <is>
          <t>太空與衛星</t>
        </is>
      </c>
      <c r="C19" s="48" t="inlineStr">
        <is>
          <t>RKLB</t>
        </is>
      </c>
      <c r="D19" s="47" t="inlineStr">
        <is>
          <t>Rocket Lab</t>
        </is>
      </c>
      <c r="E19" s="49" t="n">
        <v>67.80500000000001</v>
      </c>
      <c r="F19" s="49" t="n">
        <v>63.7</v>
      </c>
      <c r="G19" s="49" t="n">
        <v>61.96</v>
      </c>
      <c r="H19" s="50">
        <f>E19/F19-1</f>
        <v>0.06444270015698583</v>
      </c>
      <c r="I19" s="50">
        <f>E19/G19-1</f>
        <v>0.09433505487411242</v>
      </c>
      <c r="J19" s="51" t="n">
        <v>18977980</v>
      </c>
      <c r="K19" s="51" t="n">
        <v>15903100</v>
      </c>
      <c r="L19" s="52">
        <f>J19/K19</f>
        <v>1.193350981884035</v>
      </c>
      <c r="M19" s="53" t="n">
        <v>4</v>
      </c>
      <c r="N19" s="53" t="n">
        <v>5</v>
      </c>
      <c r="O19" s="53" t="n">
        <v>3</v>
      </c>
      <c r="P19" s="53" t="n">
        <v>4</v>
      </c>
      <c r="Q19" s="54">
        <f>(M19*$M$6+N19*$N$6+O19*$O$6+P19*$P$6)*20</f>
        <v>81.0</v>
      </c>
      <c r="R19" s="47" t="inlineStr">
        <is>
          <t>9/17 +6.36%、廣度 1.00，5 日綜合由第 40 升至第 8，斜率 +0.62（全表第二高）。地緣衝突持續下的國防與衛星需求，加上息率回落對長久期成長股的解壓</t>
        </is>
      </c>
      <c r="S19" s="47" t="inlineStr">
        <is>
          <t>強</t>
        </is>
      </c>
      <c r="T19" s="47" t="inlineStr">
        <is>
          <t>中（衝突升級有利訂單，但高 beta）</t>
        </is>
      </c>
      <c r="U19" s="47" t="inlineStr">
        <is>
          <t>小型高 beta，四巫日波幅放大；訂單消息驅動，單一合約新聞即可逆轉</t>
        </is>
      </c>
    </row>
    <row r="20" ht="56" customHeight="1">
      <c r="A20" s="46" t="inlineStr">
        <is>
          <t>④</t>
        </is>
      </c>
      <c r="B20" s="47" t="inlineStr">
        <is>
          <t>太空與衛星</t>
        </is>
      </c>
      <c r="C20" s="48" t="inlineStr">
        <is>
          <t>ASTS</t>
        </is>
      </c>
      <c r="D20" s="47" t="inlineStr">
        <is>
          <t>AST SpaceMobile</t>
        </is>
      </c>
      <c r="E20" s="49" t="n">
        <v>62.71</v>
      </c>
      <c r="F20" s="49" t="n">
        <v>59.27</v>
      </c>
      <c r="G20" s="49" t="n">
        <v>59.91</v>
      </c>
      <c r="H20" s="50">
        <f>E20/F20-1</f>
        <v>0.05803948034418749</v>
      </c>
      <c r="I20" s="50">
        <f>E20/G20-1</f>
        <v>0.04673677182440339</v>
      </c>
      <c r="J20" s="51" t="n">
        <v>7957510</v>
      </c>
      <c r="K20" s="51" t="n">
        <v>8364450</v>
      </c>
      <c r="L20" s="52">
        <f>J20/K20</f>
        <v>0.9513488633442725</v>
      </c>
      <c r="M20" s="53" t="n">
        <v>4</v>
      </c>
      <c r="N20" s="53" t="n">
        <v>5</v>
      </c>
      <c r="O20" s="53" t="n">
        <v>2</v>
      </c>
      <c r="P20" s="53" t="n">
        <v>4</v>
      </c>
      <c r="Q20" s="54">
        <f>(M20*$M$6+N20*$N$6+O20*$O$6+P20*$P$6)*20</f>
        <v>77.0</v>
      </c>
      <c r="R20" s="47" t="inlineStr">
        <is>
          <t>同組，衛星直連手機</t>
        </is>
      </c>
      <c r="S20" s="47" t="inlineStr">
        <is>
          <t>強</t>
        </is>
      </c>
      <c r="T20" s="47" t="inlineStr">
        <is>
          <t>中</t>
        </is>
      </c>
      <c r="U20" s="47" t="inlineStr">
        <is>
          <t>同上，且未有盈利</t>
        </is>
      </c>
    </row>
    <row r="21" ht="56" customHeight="1">
      <c r="A21" s="40" t="inlineStr">
        <is>
          <t>⑤</t>
        </is>
      </c>
      <c r="B21" s="6" t="inlineStr">
        <is>
          <t>鋼鐵</t>
        </is>
      </c>
      <c r="C21" s="41" t="inlineStr">
        <is>
          <t>NUE</t>
        </is>
      </c>
      <c r="D21" s="6" t="inlineStr">
        <is>
          <t>Nucor</t>
        </is>
      </c>
      <c r="E21" s="42" t="n">
        <v>265.15</v>
      </c>
      <c r="F21" s="42" t="n">
        <v>260.68</v>
      </c>
      <c r="G21" s="42" t="n">
        <v>255.46</v>
      </c>
      <c r="H21" s="11">
        <f>E21/F21-1</f>
        <v>0.017147460487954458</v>
      </c>
      <c r="I21" s="11">
        <f>E21/G21-1</f>
        <v>0.03793157441478101</v>
      </c>
      <c r="J21" s="13" t="n">
        <v>687417</v>
      </c>
      <c r="K21" s="13" t="n">
        <v>1069100</v>
      </c>
      <c r="L21" s="43">
        <f>J21/K21</f>
        <v>0.6429866242633991</v>
      </c>
      <c r="M21" s="44" t="n">
        <v>4</v>
      </c>
      <c r="N21" s="44" t="n">
        <v>4</v>
      </c>
      <c r="O21" s="44" t="n">
        <v>4</v>
      </c>
      <c r="P21" s="44" t="n">
        <v>5</v>
      </c>
      <c r="Q21" s="45">
        <f>(M21*$M$6+N21*$N$6+O21*$O$6+P21*$P$6)*20</f>
        <v>83.0</v>
      </c>
      <c r="R21" s="6" t="inlineStr">
        <is>
          <t>9/17 +2.81%、廣度 1.00，5 日綜合由第 11 升至第 6，ret5 +4.29%。本土、關稅保護、戰爭與基建需求，對利率不如建商敏感 —— 是本輪少數升勢有廣度且未伸展的組別</t>
        </is>
      </c>
      <c r="S21" s="6" t="inlineStr">
        <is>
          <t>中強</t>
        </is>
      </c>
      <c r="T21" s="6" t="inlineStr">
        <is>
          <t>強（衝突與基建需求）</t>
        </is>
      </c>
      <c r="U21" s="6" t="inlineStr">
        <is>
          <t>能源成本上升侵蝕電爐煉鋼毛利</t>
        </is>
      </c>
    </row>
    <row r="22" ht="56" customHeight="1">
      <c r="A22" s="40" t="inlineStr">
        <is>
          <t>⑤</t>
        </is>
      </c>
      <c r="B22" s="6" t="inlineStr">
        <is>
          <t>鋼鐵</t>
        </is>
      </c>
      <c r="C22" s="41" t="inlineStr">
        <is>
          <t>STLD</t>
        </is>
      </c>
      <c r="D22" s="6" t="inlineStr">
        <is>
          <t>Steel Dynamics</t>
        </is>
      </c>
      <c r="E22" s="42" t="n">
        <v>245.31</v>
      </c>
      <c r="F22" s="42" t="n">
        <v>238.23</v>
      </c>
      <c r="G22" s="42" t="n">
        <v>237.08</v>
      </c>
      <c r="H22" s="11">
        <f>E22/F22-1</f>
        <v>0.029719178944717317</v>
      </c>
      <c r="I22" s="11">
        <f>E22/G22-1</f>
        <v>0.034714020583769045</v>
      </c>
      <c r="J22" s="13" t="n">
        <v>613203</v>
      </c>
      <c r="K22" s="13" t="n">
        <v>1089900</v>
      </c>
      <c r="L22" s="43">
        <f>J22/K22</f>
        <v>0.5626231764382054</v>
      </c>
      <c r="M22" s="44" t="n">
        <v>4</v>
      </c>
      <c r="N22" s="44" t="n">
        <v>4</v>
      </c>
      <c r="O22" s="44" t="n">
        <v>4</v>
      </c>
      <c r="P22" s="44" t="n">
        <v>5</v>
      </c>
      <c r="Q22" s="45">
        <f>(M22*$M$6+N22*$N$6+O22*$O$6+P22*$P$6)*20</f>
        <v>83.0</v>
      </c>
      <c r="R22" s="6" t="inlineStr">
        <is>
          <t>同組，成本結構最佳</t>
        </is>
      </c>
      <c r="S22" s="6" t="inlineStr">
        <is>
          <t>中強</t>
        </is>
      </c>
      <c r="T22" s="6" t="inlineStr">
        <is>
          <t>強</t>
        </is>
      </c>
      <c r="U22" s="6" t="inlineStr">
        <is>
          <t>同上</t>
        </is>
      </c>
    </row>
    <row r="23" ht="56" customHeight="1">
      <c r="A23" s="40" t="inlineStr">
        <is>
          <t>⑤</t>
        </is>
      </c>
      <c r="B23" s="6" t="inlineStr">
        <is>
          <t>鋼鐵</t>
        </is>
      </c>
      <c r="C23" s="41" t="inlineStr">
        <is>
          <t>RS</t>
        </is>
      </c>
      <c r="D23" s="6" t="inlineStr">
        <is>
          <t>Reliance Inc</t>
        </is>
      </c>
      <c r="E23" s="42" t="n">
        <v>400.53</v>
      </c>
      <c r="F23" s="42" t="n">
        <v>394.3</v>
      </c>
      <c r="G23" s="42" t="n">
        <v>392.4</v>
      </c>
      <c r="H23" s="11">
        <f>E23/F23-1</f>
        <v>0.015800152168399695</v>
      </c>
      <c r="I23" s="11">
        <f>E23/G23-1</f>
        <v>0.020718654434250805</v>
      </c>
      <c r="J23" s="13" t="n">
        <v>150897</v>
      </c>
      <c r="K23" s="13" t="n">
        <v>298950</v>
      </c>
      <c r="L23" s="43">
        <f>J23/K23</f>
        <v>0.5047566482689413</v>
      </c>
      <c r="M23" s="44" t="n">
        <v>4</v>
      </c>
      <c r="N23" s="44" t="n">
        <v>3</v>
      </c>
      <c r="O23" s="44" t="n">
        <v>4</v>
      </c>
      <c r="P23" s="44" t="n">
        <v>5</v>
      </c>
      <c r="Q23" s="45">
        <f>(M23*$M$6+N23*$N$6+O23*$O$6+P23*$P$6)*20</f>
        <v>78.0</v>
      </c>
      <c r="R23" s="6" t="inlineStr">
        <is>
          <t>金屬服務中心，加工毛利較穩</t>
        </is>
      </c>
      <c r="S23" s="6" t="inlineStr">
        <is>
          <t>中強</t>
        </is>
      </c>
      <c r="T23" s="6" t="inlineStr">
        <is>
          <t>中強</t>
        </is>
      </c>
      <c r="U23" s="6" t="inlineStr">
        <is>
          <t>同上</t>
        </is>
      </c>
    </row>
    <row r="24" ht="56" customHeight="1">
      <c r="A24" s="46" t="inlineStr">
        <is>
          <t>⑥</t>
        </is>
      </c>
      <c r="B24" s="47" t="inlineStr">
        <is>
          <t>電氣設備與電網</t>
        </is>
      </c>
      <c r="C24" s="48" t="inlineStr">
        <is>
          <t>GEV</t>
        </is>
      </c>
      <c r="D24" s="47" t="inlineStr">
        <is>
          <t>GE Vernova</t>
        </is>
      </c>
      <c r="E24" s="49" t="n">
        <v>925.3200000000001</v>
      </c>
      <c r="F24" s="49" t="n">
        <v>925.09</v>
      </c>
      <c r="G24" s="49" t="n">
        <v>923.91</v>
      </c>
      <c r="H24" s="50">
        <f>E24/F24-1</f>
        <v>0.0002486244581607622</v>
      </c>
      <c r="I24" s="50">
        <f>E24/G24-1</f>
        <v>0.0015261226742866452</v>
      </c>
      <c r="J24" s="51" t="n">
        <v>2789734</v>
      </c>
      <c r="K24" s="51" t="n">
        <v>1958000</v>
      </c>
      <c r="L24" s="52">
        <f>J24/K24</f>
        <v>1.4247875383043922</v>
      </c>
      <c r="M24" s="53" t="n">
        <v>4</v>
      </c>
      <c r="N24" s="53" t="n">
        <v>3</v>
      </c>
      <c r="O24" s="53" t="n">
        <v>4</v>
      </c>
      <c r="P24" s="53" t="n">
        <v>3</v>
      </c>
      <c r="Q24" s="54">
        <f>(M24*$M$6+N24*$N$6+O24*$O$6+P24*$P$6)*20</f>
        <v>72.00000000000001</v>
      </c>
      <c r="R24" s="47" t="inlineStr">
        <is>
          <t>AI 用電中有訂單、有定價權的一邊。但 9/17 組別只升 0.90%、廣度 0.60，名次由 14 跌至 21，斜率轉負 —— 表現未如 R1.01 預期，故降級</t>
        </is>
      </c>
      <c r="S24" s="47" t="inlineStr">
        <is>
          <t>中強</t>
        </is>
      </c>
      <c r="T24" s="47" t="inlineStr">
        <is>
          <t>中</t>
        </is>
      </c>
      <c r="U24" s="47" t="inlineStr">
        <is>
          <t>組別內部分歧大（5 日廣度 0.48→0.60）；高 beta 工業股</t>
        </is>
      </c>
    </row>
    <row r="25" ht="56" customHeight="1">
      <c r="A25" s="46" t="inlineStr">
        <is>
          <t>⑥</t>
        </is>
      </c>
      <c r="B25" s="47" t="inlineStr">
        <is>
          <t>電氣設備與電網</t>
        </is>
      </c>
      <c r="C25" s="48" t="inlineStr">
        <is>
          <t>ETN</t>
        </is>
      </c>
      <c r="D25" s="47" t="inlineStr">
        <is>
          <t>Eaton</t>
        </is>
      </c>
      <c r="E25" s="49" t="n">
        <v>409.37</v>
      </c>
      <c r="F25" s="49" t="n">
        <v>397.8</v>
      </c>
      <c r="G25" s="49" t="n">
        <v>409.15</v>
      </c>
      <c r="H25" s="50">
        <f>E25/F25-1</f>
        <v>0.029084967320261335</v>
      </c>
      <c r="I25" s="50">
        <f>E25/G25-1</f>
        <v>0.0005377001099842182</v>
      </c>
      <c r="J25" s="51" t="n">
        <v>2155777</v>
      </c>
      <c r="K25" s="51" t="n">
        <v>1762250</v>
      </c>
      <c r="L25" s="52">
        <f>J25/K25</f>
        <v>1.2233094055894453</v>
      </c>
      <c r="M25" s="53" t="n">
        <v>4</v>
      </c>
      <c r="N25" s="53" t="n">
        <v>3</v>
      </c>
      <c r="O25" s="53" t="n">
        <v>4</v>
      </c>
      <c r="P25" s="53" t="n">
        <v>3</v>
      </c>
      <c r="Q25" s="54">
        <f>(M25*$M$6+N25*$N$6+O25*$O$6+P25*$P$6)*20</f>
        <v>72.00000000000001</v>
      </c>
      <c r="R25" s="47" t="inlineStr">
        <is>
          <t>資料中心配電；9/17 +2.91%，是組內唯一明確走強的一隻</t>
        </is>
      </c>
      <c r="S25" s="47" t="inlineStr">
        <is>
          <t>中強</t>
        </is>
      </c>
      <c r="T25" s="47" t="inlineStr">
        <is>
          <t>中</t>
        </is>
      </c>
      <c r="U25" s="47" t="inlineStr">
        <is>
          <t>同上</t>
        </is>
      </c>
    </row>
    <row r="26" ht="56" customHeight="1">
      <c r="A26" s="40" t="inlineStr">
        <is>
          <t>⑦</t>
        </is>
      </c>
      <c r="B26" s="6" t="inlineStr">
        <is>
          <t>防守（已降級）</t>
        </is>
      </c>
      <c r="C26" s="41" t="inlineStr">
        <is>
          <t>HCA</t>
        </is>
      </c>
      <c r="D26" s="6" t="inlineStr">
        <is>
          <t>HCA Healthcare</t>
        </is>
      </c>
      <c r="E26" s="42" t="n">
        <v>429.15</v>
      </c>
      <c r="F26" s="42" t="n">
        <v>430.43</v>
      </c>
      <c r="G26" s="42" t="n">
        <v>421.21</v>
      </c>
      <c r="H26" s="11">
        <f>E26/F26-1</f>
        <v>-0.002973770415630961</v>
      </c>
      <c r="I26" s="11">
        <f>E26/G26-1</f>
        <v>0.018850454642577397</v>
      </c>
      <c r="J26" s="13" t="n">
        <v>858794</v>
      </c>
      <c r="K26" s="13" t="n">
        <v>1319750</v>
      </c>
      <c r="L26" s="43">
        <f>J26/K26</f>
        <v>0.6507247584769843</v>
      </c>
      <c r="M26" s="44" t="n">
        <v>3</v>
      </c>
      <c r="N26" s="44" t="n">
        <v>2</v>
      </c>
      <c r="O26" s="44" t="n">
        <v>4</v>
      </c>
      <c r="P26" s="44" t="n">
        <v>3</v>
      </c>
      <c r="Q26" s="45">
        <f>(M26*$M$6+N26*$N$6+O26*$O$6+P26*$P$6)*20</f>
        <v>59.0</v>
      </c>
      <c r="R26" s="6" t="inlineStr">
        <is>
          <t>⚠ R1.01 列為第②組高信心，9/17 證伪：組別 −0.63%、廣度 0.00，名次由第 3 跌至第 20。原因是該組的多頭邏輯是「息率續升時的避險」，而 9/17 正是息率回落的一日</t>
        </is>
      </c>
      <c r="S26" s="6" t="inlineStr">
        <is>
          <t>弱（息率回落時防守性失去溢價）</t>
        </is>
      </c>
      <c r="T26" s="6" t="inlineStr">
        <is>
          <t>強（息率再升時的避風港）</t>
        </is>
      </c>
      <c r="U26" s="6" t="inlineStr">
        <is>
          <t>保留但大幅降級；只在狀態 B 成立</t>
        </is>
      </c>
    </row>
    <row r="27" ht="56" customHeight="1">
      <c r="A27" s="40" t="inlineStr">
        <is>
          <t>⑦</t>
        </is>
      </c>
      <c r="B27" s="6" t="inlineStr">
        <is>
          <t>防守（已降級）</t>
        </is>
      </c>
      <c r="C27" s="41" t="inlineStr">
        <is>
          <t>TRV</t>
        </is>
      </c>
      <c r="D27" s="6" t="inlineStr">
        <is>
          <t>Travelers</t>
        </is>
      </c>
      <c r="E27" s="42" t="n">
        <v>379.5</v>
      </c>
      <c r="F27" s="42" t="n">
        <v>378.92</v>
      </c>
      <c r="G27" s="42" t="n">
        <v>367.56</v>
      </c>
      <c r="H27" s="11">
        <f>E27/F27-1</f>
        <v>0.0015306661036629254</v>
      </c>
      <c r="I27" s="11">
        <f>E27/G27-1</f>
        <v>0.032484492327783165</v>
      </c>
      <c r="J27" s="13" t="n">
        <v>799793</v>
      </c>
      <c r="K27" s="13" t="n">
        <v>1474800</v>
      </c>
      <c r="L27" s="43">
        <f>J27/K27</f>
        <v>0.5423060754000543</v>
      </c>
      <c r="M27" s="44" t="n">
        <v>3</v>
      </c>
      <c r="N27" s="44" t="n">
        <v>2</v>
      </c>
      <c r="O27" s="44" t="n">
        <v>4</v>
      </c>
      <c r="P27" s="44" t="n">
        <v>4</v>
      </c>
      <c r="Q27" s="45">
        <f>(M27*$M$6+N27*$N$6+O27*$O$6+P27*$P$6)*20</f>
        <v>62.0</v>
      </c>
      <c r="R27" s="6" t="inlineStr">
        <is>
          <t>⚠ 同樣降級：9/17 產險 −0.10%、廣度 0.00，名次由第 6 跌至第 16。浮存金以 5% 再投資的邏輯，在 10 年期見頂回落時失去邊際動力</t>
        </is>
      </c>
      <c r="S27" s="6" t="inlineStr">
        <is>
          <t>弱</t>
        </is>
      </c>
      <c r="T27" s="6" t="inlineStr">
        <is>
          <t>強（息率再升 + 戰爭險硬市場）</t>
        </is>
      </c>
      <c r="U27" s="6" t="inlineStr">
        <is>
          <t>10 年期若確認見頂，此組的相對優勢消失</t>
        </is>
      </c>
    </row>
    <row r="28" ht="56" customHeight="1">
      <c r="A28" s="40" t="inlineStr">
        <is>
          <t>⑦</t>
        </is>
      </c>
      <c r="B28" s="6" t="inlineStr">
        <is>
          <t>防守（已降級）</t>
        </is>
      </c>
      <c r="C28" s="41" t="inlineStr">
        <is>
          <t>RNR</t>
        </is>
      </c>
      <c r="D28" s="6" t="inlineStr">
        <is>
          <t>RenaissanceRe</t>
        </is>
      </c>
      <c r="E28" s="42" t="n">
        <v>328.71</v>
      </c>
      <c r="F28" s="42" t="n">
        <v>328.43</v>
      </c>
      <c r="G28" s="42" t="n">
        <v>326.53</v>
      </c>
      <c r="H28" s="11">
        <f>E28/F28-1</f>
        <v>0.0008525408762900533</v>
      </c>
      <c r="I28" s="11">
        <f>E28/G28-1</f>
        <v>0.0066762625179921375</v>
      </c>
      <c r="J28" s="13" t="n">
        <v>183448</v>
      </c>
      <c r="K28" s="13" t="n">
        <v>234950</v>
      </c>
      <c r="L28" s="43">
        <f>J28/K28</f>
        <v>0.7807959140242605</v>
      </c>
      <c r="M28" s="44" t="n">
        <v>3</v>
      </c>
      <c r="N28" s="44" t="n">
        <v>2</v>
      </c>
      <c r="O28" s="44" t="n">
        <v>4</v>
      </c>
      <c r="P28" s="44" t="n">
        <v>4</v>
      </c>
      <c r="Q28" s="45">
        <f>(M28*$M$6+N28*$N$6+O28*$O$6+P28*$P$6)*20</f>
        <v>62.0</v>
      </c>
      <c r="R28" s="6" t="inlineStr">
        <is>
          <t>海事／戰爭再保仍是最直接的 Hormuz 受惠方式（戰爭險保費由船體價值 0.25% 升至 7.5–10%），但 9/17 未有反應</t>
        </is>
      </c>
      <c r="S28" s="6" t="inlineStr">
        <is>
          <t>弱</t>
        </is>
      </c>
      <c r="T28" s="6" t="inlineStr">
        <is>
          <t>強</t>
        </is>
      </c>
      <c r="U28" s="6" t="inlineStr">
        <is>
          <t>颶風季 + 實際戰爭損失</t>
        </is>
      </c>
    </row>
    <row r="29">
      <c r="A29" s="55" t="n"/>
      <c r="B29" s="56" t="inlineStr">
        <is>
          <t>組合平均</t>
        </is>
      </c>
      <c r="C29" s="55" t="n"/>
      <c r="D29" s="55" t="n"/>
      <c r="E29" s="55" t="n"/>
      <c r="F29" s="55" t="n"/>
      <c r="G29" s="55" t="n"/>
      <c r="H29" s="57">
        <f>AVERAGE(H9:H28)</f>
        <v>0.020369015780853796</v>
      </c>
      <c r="I29" s="57">
        <f>AVERAGE(I9:I28)</f>
        <v>0.03881084517855081</v>
      </c>
      <c r="J29" s="55" t="n"/>
      <c r="K29" s="55" t="n"/>
      <c r="L29" s="58">
        <f>AVERAGE(L9:L28)</f>
        <v>0.9175119220986705</v>
      </c>
      <c r="M29" s="55" t="n"/>
      <c r="N29" s="55" t="n"/>
      <c r="O29" s="55" t="n"/>
      <c r="P29" s="55" t="n"/>
      <c r="Q29" s="59">
        <f>AVERAGE(Q9:Q28)</f>
        <v>77.65</v>
      </c>
      <c r="R29" s="55" t="n"/>
      <c r="S29" s="55" t="n"/>
      <c r="T29" s="55" t="n"/>
      <c r="U29" s="55" t="n"/>
    </row>
    <row r="31">
      <c r="A31" s="9" t="inlineStr">
        <is>
          <t>組別說明：① 煉油＝最高信心（兩態皆贏）　② 醫療服務／工具＝資金流最確認　③ 電網＝AI 用電中有收入的一邊　④ 產險再保＝唯一「想要」5% 孳息的金融　⑤ AI 半導體＝戰術小注　⑥ 鋼鐵＝觀察不建倉</t>
        </is>
      </c>
    </row>
  </sheetData>
  <mergeCells count="4">
    <mergeCell ref="A1:U1"/>
    <mergeCell ref="A31:U31"/>
    <mergeCell ref="M4:Q4"/>
    <mergeCell ref="A2:U2"/>
  </mergeCells>
  <hyperlinks>
    <hyperlink ref="C9" r:id="rId1"/>
    <hyperlink ref="C10" r:id="rId2"/>
    <hyperlink ref="C11" r:id="rId3"/>
    <hyperlink ref="C12" r:id="rId4"/>
    <hyperlink ref="C13" r:id="rId5"/>
    <hyperlink ref="C14" r:id="rId6"/>
    <hyperlink ref="C15" r:id="rId7"/>
    <hyperlink ref="C16" r:id="rId8"/>
    <hyperlink ref="C17" r:id="rId9"/>
    <hyperlink ref="C18" r:id="rId10"/>
    <hyperlink ref="C19" r:id="rId11"/>
    <hyperlink ref="C20" r:id="rId12"/>
    <hyperlink ref="C21" r:id="rId13"/>
    <hyperlink ref="C22" r:id="rId14"/>
    <hyperlink ref="C23" r:id="rId15"/>
    <hyperlink ref="C24" r:id="rId16"/>
    <hyperlink ref="C25" r:id="rId17"/>
    <hyperlink ref="C26" r:id="rId18"/>
    <hyperlink ref="C27" r:id="rId19"/>
    <hyperlink ref="C28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B71C1C"/>
    <outlinePr summaryBelow="1" summaryRight="1"/>
    <pageSetUpPr/>
  </sheetPr>
  <dimension ref="A1:M3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8" customWidth="1" min="11" max="11"/>
    <col width="56" customWidth="1" min="12" max="12"/>
    <col width="34" customWidth="1" min="13" max="13"/>
  </cols>
  <sheetData>
    <row r="1" ht="22" customHeight="1">
      <c r="A1" s="1" t="inlineStr">
        <is>
          <t>3 日迴避／中性清單　Avoid &amp; Stand-down List R2.00</t>
        </is>
      </c>
    </row>
    <row r="2">
      <c r="A2" s="2" t="inlineStr">
        <is>
          <t>基準 2026-09-17 美東收市　·　G/H/K 欄為公式　·　代號可點擊開 TradingView 圖表　·　列出「有具體理由」的迴避標的，非泛泛看淡</t>
        </is>
      </c>
    </row>
    <row r="8" ht="30" customHeight="1">
      <c r="A8" s="14" t="inlineStr">
        <is>
          <t>類別</t>
        </is>
      </c>
      <c r="B8" s="14" t="inlineStr">
        <is>
          <t>代號</t>
        </is>
      </c>
      <c r="C8" s="14" t="inlineStr">
        <is>
          <t>公司</t>
        </is>
      </c>
      <c r="D8" s="14" t="inlineStr">
        <is>
          <t>收市
09-17</t>
        </is>
      </c>
      <c r="E8" s="14" t="inlineStr">
        <is>
          <t>前收
09-16</t>
        </is>
      </c>
      <c r="F8" s="14" t="inlineStr">
        <is>
          <t>5日前收
09-10</t>
        </is>
      </c>
      <c r="G8" s="14" t="inlineStr">
        <is>
          <t>09-17
漲跌%</t>
        </is>
      </c>
      <c r="H8" s="14" t="inlineStr">
        <is>
          <t>5日
漲跌%</t>
        </is>
      </c>
      <c r="I8" s="14" t="inlineStr">
        <is>
          <t>09-17
成交量</t>
        </is>
      </c>
      <c r="J8" s="14" t="inlineStr">
        <is>
          <t>20日
中位量</t>
        </is>
      </c>
      <c r="K8" s="14" t="inlineStr">
        <is>
          <t>相對量</t>
        </is>
      </c>
      <c r="L8" s="14" t="inlineStr">
        <is>
          <t>迴避理由</t>
        </is>
      </c>
      <c r="M8" s="14" t="inlineStr">
        <is>
          <t>何時反手做多</t>
        </is>
      </c>
    </row>
    <row r="9" ht="46" customHeight="1">
      <c r="A9" s="22" t="inlineStr">
        <is>
          <t>A 結構性迴避｜油田服務</t>
        </is>
      </c>
      <c r="B9" s="60" t="inlineStr">
        <is>
          <t>SLB</t>
        </is>
      </c>
      <c r="C9" s="23" t="inlineStr">
        <is>
          <t>SLB (Schlumberger)</t>
        </is>
      </c>
      <c r="D9" s="61" t="n">
        <v>52.085</v>
      </c>
      <c r="E9" s="61" t="n">
        <v>52.3</v>
      </c>
      <c r="F9" s="61" t="n">
        <v>56.01</v>
      </c>
      <c r="G9" s="24">
        <f>D9/E9-1</f>
        <v>-0.0041108986615677745</v>
      </c>
      <c r="H9" s="24">
        <f>D9/F9-1</f>
        <v>-0.07007677200499907</v>
      </c>
      <c r="I9" s="62" t="n">
        <v>6869904</v>
      </c>
      <c r="J9" s="62" t="n">
        <v>13457850</v>
      </c>
      <c r="K9" s="63">
        <f>I9/J9</f>
        <v>0.5104755960275973</v>
      </c>
      <c r="L9" s="23" t="inlineStr">
        <is>
          <t>5 日綜合第 103（111 組中），ret5 −6.54%、廣度 0.25。9/17 全巿反彈日仍然 −0.42% —— 反彈日跌，是機制仍然成立的最強證據</t>
        </is>
      </c>
      <c r="M9" s="23" t="inlineStr">
        <is>
          <t>油價確立在 $110 以上且上游資本開支上調</t>
        </is>
      </c>
    </row>
    <row r="10" ht="46" customHeight="1">
      <c r="A10" s="22" t="inlineStr">
        <is>
          <t>A 結構性迴避｜油田服務</t>
        </is>
      </c>
      <c r="B10" s="60" t="inlineStr">
        <is>
          <t>HAL</t>
        </is>
      </c>
      <c r="C10" s="23" t="inlineStr">
        <is>
          <t>Halliburton</t>
        </is>
      </c>
      <c r="D10" s="61" t="n">
        <v>34.03</v>
      </c>
      <c r="E10" s="61" t="n">
        <v>34.51</v>
      </c>
      <c r="F10" s="61" t="n">
        <v>36.07</v>
      </c>
      <c r="G10" s="24">
        <f>D10/E10-1</f>
        <v>-0.01390901188061422</v>
      </c>
      <c r="H10" s="24">
        <f>D10/F10-1</f>
        <v>-0.056556695314665895</v>
      </c>
      <c r="I10" s="62" t="n">
        <v>11076403</v>
      </c>
      <c r="J10" s="62" t="n">
        <v>10010150</v>
      </c>
      <c r="K10" s="63">
        <f>I10/J10</f>
        <v>1.106517185057167</v>
      </c>
      <c r="L10" s="23" t="inlineStr">
        <is>
          <t>同上</t>
        </is>
      </c>
      <c r="M10" s="23" t="inlineStr">
        <is>
          <t>同上</t>
        </is>
      </c>
    </row>
    <row r="11" ht="46" customHeight="1">
      <c r="A11" s="22" t="inlineStr">
        <is>
          <t>A 結構性迴避｜區域銀行</t>
        </is>
      </c>
      <c r="B11" s="60" t="inlineStr">
        <is>
          <t>USB</t>
        </is>
      </c>
      <c r="C11" s="23" t="inlineStr">
        <is>
          <t>U.S. Bancorp</t>
        </is>
      </c>
      <c r="D11" s="61" t="n">
        <v>60.25</v>
      </c>
      <c r="E11" s="61" t="n">
        <v>59.73</v>
      </c>
      <c r="F11" s="61" t="n">
        <v>62.41</v>
      </c>
      <c r="G11" s="24">
        <f>D11/E11-1</f>
        <v>0.008705842959986665</v>
      </c>
      <c r="H11" s="24">
        <f>D11/F11-1</f>
        <v>-0.034609838166960394</v>
      </c>
      <c r="I11" s="62" t="n">
        <v>5244310</v>
      </c>
      <c r="J11" s="62" t="n">
        <v>6336150</v>
      </c>
      <c r="K11" s="63">
        <f>I11/J11</f>
        <v>0.8276808472021654</v>
      </c>
      <c r="L11" s="23" t="inlineStr">
        <is>
          <t>5 日綜合由第 89 再跌至第 104，ret5 −4.15%。9/17 僅 +0.33%，遠遜大市 —— 即使息率回落亦未能吸引資金，存款成本與 CRE 曝險未解</t>
        </is>
      </c>
      <c r="M11" s="23" t="inlineStr">
        <is>
          <t>孳息曲線明確轉陡</t>
        </is>
      </c>
    </row>
    <row r="12" ht="46" customHeight="1">
      <c r="A12" s="22" t="inlineStr">
        <is>
          <t>A 結構性迴避｜區域銀行</t>
        </is>
      </c>
      <c r="B12" s="60" t="inlineStr">
        <is>
          <t>PNC</t>
        </is>
      </c>
      <c r="C12" s="23" t="inlineStr">
        <is>
          <t>PNC Financial</t>
        </is>
      </c>
      <c r="D12" s="61" t="n">
        <v>232</v>
      </c>
      <c r="E12" s="61" t="n">
        <v>231.49</v>
      </c>
      <c r="F12" s="61" t="n">
        <v>242.98</v>
      </c>
      <c r="G12" s="24">
        <f>D12/E12-1</f>
        <v>0.002203118925223402</v>
      </c>
      <c r="H12" s="24">
        <f>D12/F12-1</f>
        <v>-0.04518890443657908</v>
      </c>
      <c r="I12" s="62" t="n">
        <v>1165721</v>
      </c>
      <c r="J12" s="62" t="n">
        <v>1537550</v>
      </c>
      <c r="K12" s="63">
        <f>I12/J12</f>
        <v>0.7581678644596924</v>
      </c>
      <c r="L12" s="23" t="inlineStr">
        <is>
          <t>同上</t>
        </is>
      </c>
      <c r="M12" s="23" t="inlineStr">
        <is>
          <t>同上</t>
        </is>
      </c>
    </row>
    <row r="13" ht="46" customHeight="1">
      <c r="A13" s="22" t="inlineStr">
        <is>
          <t>A 結構性迴避｜區域銀行</t>
        </is>
      </c>
      <c r="B13" s="60" t="inlineStr">
        <is>
          <t>ZION</t>
        </is>
      </c>
      <c r="C13" s="23" t="inlineStr">
        <is>
          <t>Zions Bancorporation</t>
        </is>
      </c>
      <c r="D13" s="61" t="n">
        <v>65.72</v>
      </c>
      <c r="E13" s="61" t="n">
        <v>65.47</v>
      </c>
      <c r="F13" s="61" t="n">
        <v>68.29000000000001</v>
      </c>
      <c r="G13" s="24">
        <f>D13/E13-1</f>
        <v>0.0038185428440506985</v>
      </c>
      <c r="H13" s="24">
        <f>D13/F13-1</f>
        <v>-0.037633621320837696</v>
      </c>
      <c r="I13" s="62" t="n">
        <v>1368599</v>
      </c>
      <c r="J13" s="62" t="n">
        <v>1385800</v>
      </c>
      <c r="K13" s="63">
        <f>I13/J13</f>
        <v>0.9875876749891759</v>
      </c>
      <c r="L13" s="23" t="inlineStr">
        <is>
          <t>同上</t>
        </is>
      </c>
      <c r="M13" s="23" t="inlineStr">
        <is>
          <t>同上</t>
        </is>
      </c>
    </row>
    <row r="14" ht="46" customHeight="1">
      <c r="A14" s="22" t="inlineStr">
        <is>
          <t>A 結構性迴避｜投行</t>
        </is>
      </c>
      <c r="B14" s="60" t="inlineStr">
        <is>
          <t>GS</t>
        </is>
      </c>
      <c r="C14" s="23" t="inlineStr">
        <is>
          <t>Goldman Sachs</t>
        </is>
      </c>
      <c r="D14" s="61" t="n">
        <v>951.15</v>
      </c>
      <c r="E14" s="61" t="n">
        <v>937.98</v>
      </c>
      <c r="F14" s="61" t="n">
        <v>1019.77</v>
      </c>
      <c r="G14" s="24">
        <f>D14/E14-1</f>
        <v>0.014040811104714335</v>
      </c>
      <c r="H14" s="24">
        <f>D14/F14-1</f>
        <v>-0.06728968296772797</v>
      </c>
      <c r="I14" s="62" t="n">
        <v>2592863</v>
      </c>
      <c r="J14" s="62" t="n">
        <v>1800900</v>
      </c>
      <c r="K14" s="63">
        <f>I14/J14</f>
        <v>1.4397595646621133</v>
      </c>
      <c r="L14" s="23" t="inlineStr">
        <is>
          <t>5 日 ret5 −8.68%。9/17 僅 +0.43%。孳息 5% 下 IPO/M&amp;A 窗口未開</t>
        </is>
      </c>
      <c r="M14" s="23" t="inlineStr">
        <is>
          <t>孳息回落至 4.5% 以下且併購公告回升</t>
        </is>
      </c>
    </row>
    <row r="15" ht="46" customHeight="1">
      <c r="A15" s="22" t="inlineStr">
        <is>
          <t>A 結構性迴避｜投行</t>
        </is>
      </c>
      <c r="B15" s="60" t="inlineStr">
        <is>
          <t>MS</t>
        </is>
      </c>
      <c r="C15" s="23" t="inlineStr">
        <is>
          <t>Morgan Stanley</t>
        </is>
      </c>
      <c r="D15" s="61" t="n">
        <v>203.48</v>
      </c>
      <c r="E15" s="61" t="n">
        <v>202.42</v>
      </c>
      <c r="F15" s="61" t="n">
        <v>212.66</v>
      </c>
      <c r="G15" s="24">
        <f>D15/E15-1</f>
        <v>0.005236636695978625</v>
      </c>
      <c r="H15" s="24">
        <f>D15/F15-1</f>
        <v>-0.043167497413712064</v>
      </c>
      <c r="I15" s="62" t="n">
        <v>3656022</v>
      </c>
      <c r="J15" s="62" t="n">
        <v>3975750</v>
      </c>
      <c r="K15" s="63">
        <f>I15/J15</f>
        <v>0.9195804565176382</v>
      </c>
      <c r="L15" s="23" t="inlineStr">
        <is>
          <t>同上</t>
        </is>
      </c>
      <c r="M15" s="23" t="inlineStr">
        <is>
          <t>同上</t>
        </is>
      </c>
    </row>
    <row r="16" ht="46" customHeight="1">
      <c r="A16" s="22" t="inlineStr">
        <is>
          <t>A 結構性迴避｜貨運物流</t>
        </is>
      </c>
      <c r="B16" s="60" t="inlineStr">
        <is>
          <t>FDX</t>
        </is>
      </c>
      <c r="C16" s="23" t="inlineStr">
        <is>
          <t>FedEx</t>
        </is>
      </c>
      <c r="D16" s="61" t="n">
        <v>305.94</v>
      </c>
      <c r="E16" s="61" t="n">
        <v>301.72</v>
      </c>
      <c r="F16" s="61" t="n">
        <v>311.8</v>
      </c>
      <c r="G16" s="24">
        <f>D16/E16-1</f>
        <v>0.013986477528834529</v>
      </c>
      <c r="H16" s="24">
        <f>D16/F16-1</f>
        <v>-0.01879409878127014</v>
      </c>
      <c r="I16" s="62" t="n">
        <v>674165</v>
      </c>
      <c r="J16" s="62" t="n">
        <v>1323200</v>
      </c>
      <c r="K16" s="63">
        <f>I16/J16</f>
        <v>0.5094959189842805</v>
      </c>
      <c r="L16" s="23" t="inlineStr">
        <is>
          <t>指引下調屬多日重估；5 日綜合第 88，ret5 −3.93%，9/17 只 +0.76%</t>
        </is>
      </c>
      <c r="M16" s="23" t="inlineStr">
        <is>
          <t>指引重設後首次上修</t>
        </is>
      </c>
    </row>
    <row r="17" ht="46" customHeight="1">
      <c r="A17" s="22" t="inlineStr">
        <is>
          <t>A 結構性迴避｜貨運物流</t>
        </is>
      </c>
      <c r="B17" s="60" t="inlineStr">
        <is>
          <t>UPS</t>
        </is>
      </c>
      <c r="C17" s="23" t="inlineStr">
        <is>
          <t>United Parcel Service</t>
        </is>
      </c>
      <c r="D17" s="61" t="n">
        <v>100.18</v>
      </c>
      <c r="E17" s="61" t="n">
        <v>98.77</v>
      </c>
      <c r="F17" s="61" t="n">
        <v>99.97</v>
      </c>
      <c r="G17" s="24">
        <f>D17/E17-1</f>
        <v>0.014275589753973916</v>
      </c>
      <c r="H17" s="24">
        <f>D17/F17-1</f>
        <v>0.002100630189056707</v>
      </c>
      <c r="I17" s="62" t="n">
        <v>2525673</v>
      </c>
      <c r="J17" s="62" t="n">
        <v>3735150</v>
      </c>
      <c r="K17" s="63">
        <f>I17/J17</f>
        <v>0.6761905144371712</v>
      </c>
      <c r="L17" s="23" t="inlineStr">
        <is>
          <t>同上</t>
        </is>
      </c>
      <c r="M17" s="23" t="inlineStr">
        <is>
          <t>同上</t>
        </is>
      </c>
    </row>
    <row r="18" ht="46" customHeight="1">
      <c r="A18" s="22" t="inlineStr">
        <is>
          <t>A 結構性迴避｜電信</t>
        </is>
      </c>
      <c r="B18" s="60" t="inlineStr">
        <is>
          <t>T</t>
        </is>
      </c>
      <c r="C18" s="23" t="inlineStr">
        <is>
          <t>AT&amp;T</t>
        </is>
      </c>
      <c r="D18" s="61" t="n">
        <v>25.38</v>
      </c>
      <c r="E18" s="61" t="n">
        <v>25.86</v>
      </c>
      <c r="F18" s="61" t="n">
        <v>25.55</v>
      </c>
      <c r="G18" s="24">
        <f>D18/E18-1</f>
        <v>-0.018561484918793503</v>
      </c>
      <c r="H18" s="24">
        <f>D18/F18-1</f>
        <v>-0.006653620352250589</v>
      </c>
      <c r="I18" s="62" t="n">
        <v>27356100</v>
      </c>
      <c r="J18" s="62" t="n">
        <v>32823800</v>
      </c>
      <c r="K18" s="63">
        <f>I18/J18</f>
        <v>0.8334226993827649</v>
      </c>
      <c r="L18" s="23" t="inlineStr">
        <is>
          <t>★ R1.01 的判斷已驗證：9/17 電信 −3.43%、廣度 0.00，為當日 111 組最差，名次由第 33 直插至第 100。5% 無風險利率下股息吸引力被壓縮</t>
        </is>
      </c>
      <c r="M18" s="23" t="inlineStr">
        <is>
          <t>孳息明確見頂回落</t>
        </is>
      </c>
    </row>
    <row r="19" ht="46" customHeight="1">
      <c r="A19" s="22" t="inlineStr">
        <is>
          <t>A 結構性迴避｜電信</t>
        </is>
      </c>
      <c r="B19" s="60" t="inlineStr">
        <is>
          <t>VZ</t>
        </is>
      </c>
      <c r="C19" s="23" t="inlineStr">
        <is>
          <t>Verizon</t>
        </is>
      </c>
      <c r="D19" s="61" t="n">
        <v>48.33</v>
      </c>
      <c r="E19" s="61" t="n">
        <v>49.76</v>
      </c>
      <c r="F19" s="61" t="n">
        <v>49.97</v>
      </c>
      <c r="G19" s="24">
        <f>D19/E19-1</f>
        <v>-0.0287379421221865</v>
      </c>
      <c r="H19" s="24">
        <f>D19/F19-1</f>
        <v>-0.032819691815089036</v>
      </c>
      <c r="I19" s="62" t="n">
        <v>18656140</v>
      </c>
      <c r="J19" s="62" t="n">
        <v>18296250</v>
      </c>
      <c r="K19" s="63">
        <f>I19/J19</f>
        <v>1.0196701509872241</v>
      </c>
      <c r="L19" s="23" t="inlineStr">
        <is>
          <t>同上</t>
        </is>
      </c>
      <c r="M19" s="23" t="inlineStr">
        <is>
          <t>同上</t>
        </is>
      </c>
    </row>
    <row r="20" ht="46" customHeight="1">
      <c r="A20" s="22" t="inlineStr">
        <is>
          <t>A 結構性迴避｜綜合油氣</t>
        </is>
      </c>
      <c r="B20" s="60" t="inlineStr">
        <is>
          <t>XOM</t>
        </is>
      </c>
      <c r="C20" s="23" t="inlineStr">
        <is>
          <t>Exxon Mobil</t>
        </is>
      </c>
      <c r="D20" s="61" t="n">
        <v>163.26</v>
      </c>
      <c r="E20" s="61" t="n">
        <v>163.32</v>
      </c>
      <c r="F20" s="61" t="n">
        <v>165.23</v>
      </c>
      <c r="G20" s="24">
        <f>D20/E20-1</f>
        <v>-0.00036737692872890193</v>
      </c>
      <c r="H20" s="24">
        <f>D20/F20-1</f>
        <v>-0.011922774314591766</v>
      </c>
      <c r="I20" s="62" t="n">
        <v>7719504</v>
      </c>
      <c r="J20" s="62" t="n">
        <v>13702000</v>
      </c>
      <c r="K20" s="63">
        <f>I20/J20</f>
        <v>0.5633851992409867</v>
      </c>
      <c r="L20" s="23" t="inlineStr">
        <is>
          <t>9/17 −0.01%，反彈日零反應；上游佔比高，下游對沖不足</t>
        </is>
      </c>
      <c r="M20" s="23" t="inlineStr">
        <is>
          <t>下游佔比提升</t>
        </is>
      </c>
    </row>
    <row r="21" ht="46" customHeight="1">
      <c r="A21" s="22" t="inlineStr">
        <is>
          <t>A 結構性迴避｜綜合油氣</t>
        </is>
      </c>
      <c r="B21" s="60" t="inlineStr">
        <is>
          <t>CVX</t>
        </is>
      </c>
      <c r="C21" s="23" t="inlineStr">
        <is>
          <t>Chevron</t>
        </is>
      </c>
      <c r="D21" s="61" t="n">
        <v>211.585</v>
      </c>
      <c r="E21" s="61" t="n">
        <v>211.54</v>
      </c>
      <c r="F21" s="61" t="n">
        <v>212.76</v>
      </c>
      <c r="G21" s="24">
        <f>D21/E21-1</f>
        <v>0.00021272572563124648</v>
      </c>
      <c r="H21" s="24">
        <f>D21/F21-1</f>
        <v>-0.00552265463432966</v>
      </c>
      <c r="I21" s="62" t="n">
        <v>5455593</v>
      </c>
      <c r="J21" s="62" t="n">
        <v>8078700</v>
      </c>
      <c r="K21" s="63">
        <f>I21/J21</f>
        <v>0.6753058041516581</v>
      </c>
      <c r="L21" s="23" t="inlineStr">
        <is>
          <t>同上</t>
        </is>
      </c>
      <c r="M21" s="23" t="inlineStr">
        <is>
          <t>同上</t>
        </is>
      </c>
    </row>
    <row r="22" ht="46" customHeight="1">
      <c r="A22" s="22" t="inlineStr">
        <is>
          <t>B 由迴避改為中性｜SMR</t>
        </is>
      </c>
      <c r="B22" s="60" t="inlineStr">
        <is>
          <t>OKLO</t>
        </is>
      </c>
      <c r="C22" s="23" t="inlineStr">
        <is>
          <t>Oklo</t>
        </is>
      </c>
      <c r="D22" s="61" t="n">
        <v>39.64</v>
      </c>
      <c r="E22" s="61" t="n">
        <v>35.62</v>
      </c>
      <c r="F22" s="61" t="n">
        <v>39.88</v>
      </c>
      <c r="G22" s="24">
        <f>D22/E22-1</f>
        <v>0.11285794497473334</v>
      </c>
      <c r="H22" s="24">
        <f>D22/F22-1</f>
        <v>-0.006018054162487463</v>
      </c>
      <c r="I22" s="62" t="n">
        <v>15666870</v>
      </c>
      <c r="J22" s="62" t="n">
        <v>7856450</v>
      </c>
      <c r="K22" s="63">
        <f>I22/J22</f>
        <v>1.9941411197169205</v>
      </c>
      <c r="L22" s="23" t="inlineStr">
        <is>
          <t>⚠ R1.01 判斷被推翻：9/17 +11.29%，組別 +8.01%、廣度 1.00，名次由第 108 急升至第 54，斜率 +0.99（全表最高）。10 年期 8 連升中斷，被息率殺得最兇的長久期無盈利資產反彈最烈</t>
        </is>
      </c>
      <c r="M22" s="23" t="inlineStr">
        <is>
          <t>已改為中性：不建議新倉亦不再列為迴避；息率若再上則迴避理由恢復</t>
        </is>
      </c>
    </row>
    <row r="23" ht="46" customHeight="1">
      <c r="A23" s="22" t="inlineStr">
        <is>
          <t>B 由迴避改為中性｜SMR</t>
        </is>
      </c>
      <c r="B23" s="60" t="inlineStr">
        <is>
          <t>SMR</t>
        </is>
      </c>
      <c r="C23" s="23" t="inlineStr">
        <is>
          <t>NuScale Power</t>
        </is>
      </c>
      <c r="D23" s="61" t="n">
        <v>9.07</v>
      </c>
      <c r="E23" s="61" t="n">
        <v>8.300000000000001</v>
      </c>
      <c r="F23" s="61" t="n">
        <v>10.21</v>
      </c>
      <c r="G23" s="24">
        <f>D23/E23-1</f>
        <v>0.09277108433734926</v>
      </c>
      <c r="H23" s="24">
        <f>D23/F23-1</f>
        <v>-0.11165523996082272</v>
      </c>
      <c r="I23" s="62" t="n">
        <v>44385934</v>
      </c>
      <c r="J23" s="62" t="n">
        <v>36589050</v>
      </c>
      <c r="K23" s="63">
        <f>I23/J23</f>
        <v>1.2130933708308906</v>
      </c>
      <c r="L23" s="23" t="inlineStr">
        <is>
          <t>同上</t>
        </is>
      </c>
      <c r="M23" s="23" t="inlineStr">
        <is>
          <t>同上</t>
        </is>
      </c>
    </row>
    <row r="24" ht="46" customHeight="1">
      <c r="A24" s="22" t="inlineStr">
        <is>
          <t>B 由迴避改為中性｜鈾</t>
        </is>
      </c>
      <c r="B24" s="60" t="inlineStr">
        <is>
          <t>CCJ</t>
        </is>
      </c>
      <c r="C24" s="23" t="inlineStr">
        <is>
          <t>Cameco</t>
        </is>
      </c>
      <c r="D24" s="61" t="n">
        <v>92.77</v>
      </c>
      <c r="E24" s="61" t="n">
        <v>90.90000000000001</v>
      </c>
      <c r="F24" s="61" t="n">
        <v>97.42</v>
      </c>
      <c r="G24" s="24">
        <f>D24/E24-1</f>
        <v>0.020572057205720418</v>
      </c>
      <c r="H24" s="24">
        <f>D24/F24-1</f>
        <v>-0.04773147197700678</v>
      </c>
      <c r="I24" s="62" t="n">
        <v>1912626</v>
      </c>
      <c r="J24" s="62" t="n">
        <v>2240400</v>
      </c>
      <c r="K24" s="63">
        <f>I24/J24</f>
        <v>0.8536984467059454</v>
      </c>
      <c r="L24" s="23" t="inlineStr">
        <is>
          <t>9/17 +2.06%，組別 +3.02%、廣度 1.00，名次由第 111 升至第 96</t>
        </is>
      </c>
      <c r="M24" s="23" t="inlineStr">
        <is>
          <t>同上</t>
        </is>
      </c>
    </row>
    <row r="25" ht="46" customHeight="1">
      <c r="A25" s="22" t="inlineStr">
        <is>
          <t>B 由迴避改為中性｜鈾</t>
        </is>
      </c>
      <c r="B25" s="60" t="inlineStr">
        <is>
          <t>UEC</t>
        </is>
      </c>
      <c r="C25" s="23" t="inlineStr">
        <is>
          <t>Uranium Energy</t>
        </is>
      </c>
      <c r="D25" s="61" t="n">
        <v>10.13</v>
      </c>
      <c r="E25" s="61" t="n">
        <v>10.08</v>
      </c>
      <c r="F25" s="61" t="n">
        <v>11.02</v>
      </c>
      <c r="G25" s="24">
        <f>D25/E25-1</f>
        <v>0.004960317460317443</v>
      </c>
      <c r="H25" s="24">
        <f>D25/F25-1</f>
        <v>-0.08076225045372043</v>
      </c>
      <c r="I25" s="62" t="n">
        <v>5755549</v>
      </c>
      <c r="J25" s="62" t="n">
        <v>8724100</v>
      </c>
      <c r="K25" s="63">
        <f>I25/J25</f>
        <v>0.6597298288648685</v>
      </c>
      <c r="L25" s="23" t="inlineStr">
        <is>
          <t>同上</t>
        </is>
      </c>
      <c r="M25" s="23" t="inlineStr">
        <is>
          <t>同上</t>
        </is>
      </c>
    </row>
    <row r="26" ht="46" customHeight="1">
      <c r="A26" s="22" t="inlineStr">
        <is>
          <t>B 由迴避改為中性｜稀土</t>
        </is>
      </c>
      <c r="B26" s="60" t="inlineStr">
        <is>
          <t>MP</t>
        </is>
      </c>
      <c r="C26" s="23" t="inlineStr">
        <is>
          <t>MP Materials</t>
        </is>
      </c>
      <c r="D26" s="61" t="n">
        <v>49.39</v>
      </c>
      <c r="E26" s="61" t="n">
        <v>48.99</v>
      </c>
      <c r="F26" s="61" t="n">
        <v>51.32</v>
      </c>
      <c r="G26" s="24">
        <f>D26/E26-1</f>
        <v>0.00816493161869758</v>
      </c>
      <c r="H26" s="24">
        <f>D26/F26-1</f>
        <v>-0.03760717069368669</v>
      </c>
      <c r="I26" s="62" t="n">
        <v>3580157</v>
      </c>
      <c r="J26" s="62" t="n">
        <v>4690050</v>
      </c>
      <c r="K26" s="63">
        <f>I26/J26</f>
        <v>0.7633515634161683</v>
      </c>
      <c r="L26" s="23" t="inlineStr">
        <is>
          <t>組別 9/17 +2.49%、廣度 1.00，名次由第 109 升至第 94</t>
        </is>
      </c>
      <c r="M26" s="23" t="inlineStr">
        <is>
          <t>同上</t>
        </is>
      </c>
    </row>
    <row r="27" ht="46" customHeight="1">
      <c r="A27" s="22" t="inlineStr">
        <is>
          <t>B 由迴避改為中性｜數位資產</t>
        </is>
      </c>
      <c r="B27" s="60" t="inlineStr">
        <is>
          <t>COIN</t>
        </is>
      </c>
      <c r="C27" s="23" t="inlineStr">
        <is>
          <t>Coinbase</t>
        </is>
      </c>
      <c r="D27" s="61" t="n">
        <v>173.99</v>
      </c>
      <c r="E27" s="61" t="n">
        <v>164.51</v>
      </c>
      <c r="F27" s="61" t="n">
        <v>172.28</v>
      </c>
      <c r="G27" s="24">
        <f>D27/E27-1</f>
        <v>0.05762567625068393</v>
      </c>
      <c r="H27" s="24">
        <f>D27/F27-1</f>
        <v>0.009925702345019882</v>
      </c>
      <c r="I27" s="62" t="n">
        <v>8779082</v>
      </c>
      <c r="J27" s="62" t="n">
        <v>10290900</v>
      </c>
      <c r="K27" s="63">
        <f>I27/J27</f>
        <v>0.8530917606817674</v>
      </c>
      <c r="L27" s="23" t="inlineStr">
        <is>
          <t>⚠ 9/17 +5.76%，組別 +5.30%、廣度 1.00，名次由第 104 升至第 51。實質利率 beta 最高 —— 息率回落時升得最急，這正是把它列為迴避的鏡像風險</t>
        </is>
      </c>
      <c r="M27" s="23" t="inlineStr">
        <is>
          <t>同上；實質利率方向是唯一決定因素</t>
        </is>
      </c>
    </row>
    <row r="28" ht="46" customHeight="1">
      <c r="A28" s="22" t="inlineStr">
        <is>
          <t>B 由迴避改為中性｜數位資產</t>
        </is>
      </c>
      <c r="B28" s="60" t="inlineStr">
        <is>
          <t>HOOD</t>
        </is>
      </c>
      <c r="C28" s="23" t="inlineStr">
        <is>
          <t>Robinhood Markets</t>
        </is>
      </c>
      <c r="D28" s="61" t="n">
        <v>109.81</v>
      </c>
      <c r="E28" s="61" t="n">
        <v>104.42</v>
      </c>
      <c r="F28" s="61" t="n">
        <v>113.33</v>
      </c>
      <c r="G28" s="24">
        <f>D28/E28-1</f>
        <v>0.05161846389580549</v>
      </c>
      <c r="H28" s="24">
        <f>D28/F28-1</f>
        <v>-0.031059737051089664</v>
      </c>
      <c r="I28" s="62" t="n">
        <v>20094312</v>
      </c>
      <c r="J28" s="62" t="n">
        <v>22391850</v>
      </c>
      <c r="K28" s="63">
        <f>I28/J28</f>
        <v>0.897394007194582</v>
      </c>
      <c r="L28" s="23" t="inlineStr">
        <is>
          <t>同上</t>
        </is>
      </c>
      <c r="M28" s="23" t="inlineStr">
        <is>
          <t>同上</t>
        </is>
      </c>
    </row>
    <row r="29" ht="46" customHeight="1">
      <c r="A29" s="22" t="inlineStr">
        <is>
          <t>B 由迴避改為中性｜住宅建商</t>
        </is>
      </c>
      <c r="B29" s="60" t="inlineStr">
        <is>
          <t>DHI</t>
        </is>
      </c>
      <c r="C29" s="23" t="inlineStr">
        <is>
          <t>D.R. Horton</t>
        </is>
      </c>
      <c r="D29" s="61" t="n">
        <v>140.38</v>
      </c>
      <c r="E29" s="61" t="n">
        <v>138.32</v>
      </c>
      <c r="F29" s="61" t="n">
        <v>135.57</v>
      </c>
      <c r="G29" s="24">
        <f>D29/E29-1</f>
        <v>0.014893001735106992</v>
      </c>
      <c r="H29" s="24">
        <f>D29/F29-1</f>
        <v>0.035479825920188945</v>
      </c>
      <c r="I29" s="62" t="n">
        <v>2586522</v>
      </c>
      <c r="J29" s="62" t="n">
        <v>1928200</v>
      </c>
      <c r="K29" s="63">
        <f>I29/J29</f>
        <v>1.341417902707188</v>
      </c>
      <c r="L29" s="23" t="inlineStr">
        <is>
          <t>⚠ 9/17 +1.49%、組別廣度 1.00，名次由第 44 升至第 17。8 月新屋開工雖然 1,275k 低於預期 1,320k，但單戶開工 +7.6% 至 918k，市場取了好的一面；30 年按揭 7.01%</t>
        </is>
      </c>
      <c r="M29" s="23" t="inlineStr">
        <is>
          <t>同上；10 年期若重上 5.1% 則迴避理由恢復</t>
        </is>
      </c>
    </row>
    <row r="30" ht="46" customHeight="1">
      <c r="A30" s="22" t="inlineStr">
        <is>
          <t>B 由迴避改為中性｜住宅建商</t>
        </is>
      </c>
      <c r="B30" s="60" t="inlineStr">
        <is>
          <t>LEN</t>
        </is>
      </c>
      <c r="C30" s="23" t="inlineStr">
        <is>
          <t>Lennar</t>
        </is>
      </c>
      <c r="D30" s="61" t="n">
        <v>79.7</v>
      </c>
      <c r="E30" s="61" t="n">
        <v>78.36</v>
      </c>
      <c r="F30" s="61" t="n">
        <v>77.90000000000001</v>
      </c>
      <c r="G30" s="24">
        <f>D30/E30-1</f>
        <v>0.017100561510974943</v>
      </c>
      <c r="H30" s="24">
        <f>D30/F30-1</f>
        <v>0.02310654685494229</v>
      </c>
      <c r="I30" s="62" t="n">
        <v>7463362</v>
      </c>
      <c r="J30" s="62" t="n">
        <v>2870400</v>
      </c>
      <c r="K30" s="63">
        <f>I30/J30</f>
        <v>2.6001121794871795</v>
      </c>
      <c r="L30" s="23" t="inlineStr">
        <is>
          <t>同上</t>
        </is>
      </c>
      <c r="M30" s="23" t="inlineStr">
        <is>
          <t>同上</t>
        </is>
      </c>
    </row>
    <row r="31" ht="46" customHeight="1">
      <c r="A31" s="22" t="inlineStr">
        <is>
          <t>B 由迴避改為中性｜再生能源</t>
        </is>
      </c>
      <c r="B31" s="60" t="inlineStr">
        <is>
          <t>NEE</t>
        </is>
      </c>
      <c r="C31" s="23" t="inlineStr">
        <is>
          <t>NextEra Energy</t>
        </is>
      </c>
      <c r="D31" s="61" t="n">
        <v>81.26000000000001</v>
      </c>
      <c r="E31" s="61" t="n">
        <v>80.37</v>
      </c>
      <c r="F31" s="61" t="n">
        <v>82.44</v>
      </c>
      <c r="G31" s="24">
        <f>D31/E31-1</f>
        <v>0.011073783750155552</v>
      </c>
      <c r="H31" s="24">
        <f>D31/F31-1</f>
        <v>-0.014313440077632134</v>
      </c>
      <c r="I31" s="62" t="n">
        <v>5913830</v>
      </c>
      <c r="J31" s="62" t="n">
        <v>11151200</v>
      </c>
      <c r="K31" s="63">
        <f>I31/J31</f>
        <v>0.5303312647966139</v>
      </c>
      <c r="L31" s="23" t="inlineStr">
        <is>
          <t>組別 9/17 +4.01%、廣度 1.00，名次由第 97 升至第 71</t>
        </is>
      </c>
      <c r="M31" s="23" t="inlineStr">
        <is>
          <t>同上</t>
        </is>
      </c>
    </row>
    <row r="32" ht="46" customHeight="1">
      <c r="A32" s="22" t="inlineStr">
        <is>
          <t>B 由迴避改為中性｜再生能源</t>
        </is>
      </c>
      <c r="B32" s="60" t="inlineStr">
        <is>
          <t>FSLR</t>
        </is>
      </c>
      <c r="C32" s="23" t="inlineStr">
        <is>
          <t>First Solar</t>
        </is>
      </c>
      <c r="D32" s="61" t="n">
        <v>201.2</v>
      </c>
      <c r="E32" s="61" t="n">
        <v>191.07</v>
      </c>
      <c r="F32" s="61" t="n">
        <v>207.17</v>
      </c>
      <c r="G32" s="24">
        <f>D32/E32-1</f>
        <v>0.053017218820327505</v>
      </c>
      <c r="H32" s="24">
        <f>D32/F32-1</f>
        <v>-0.02881691364579808</v>
      </c>
      <c r="I32" s="62" t="n">
        <v>2260188</v>
      </c>
      <c r="J32" s="62" t="n">
        <v>1638700</v>
      </c>
      <c r="K32" s="63">
        <f>I32/J32</f>
        <v>1.3792567278940624</v>
      </c>
      <c r="L32" s="23" t="inlineStr">
        <is>
          <t>同上</t>
        </is>
      </c>
      <c r="M32" s="23" t="inlineStr">
        <is>
          <t>同上</t>
        </is>
      </c>
    </row>
    <row r="33" ht="46" customHeight="1">
      <c r="A33" s="22" t="inlineStr">
        <is>
          <t>B 由迴避改為中性｜量子運算</t>
        </is>
      </c>
      <c r="B33" s="60" t="inlineStr">
        <is>
          <t>IONQ</t>
        </is>
      </c>
      <c r="C33" s="23" t="inlineStr">
        <is>
          <t>IonQ</t>
        </is>
      </c>
      <c r="D33" s="61" t="n">
        <v>40.365</v>
      </c>
      <c r="E33" s="61" t="n">
        <v>36.84</v>
      </c>
      <c r="F33" s="61" t="n">
        <v>36.84</v>
      </c>
      <c r="G33" s="24">
        <f>D33/E33-1</f>
        <v>0.09568403908794787</v>
      </c>
      <c r="H33" s="24">
        <f>D33/F33-1</f>
        <v>0.09568403908794787</v>
      </c>
      <c r="I33" s="62" t="n">
        <v>19994776</v>
      </c>
      <c r="J33" s="62" t="n">
        <v>15609650</v>
      </c>
      <c r="K33" s="63">
        <f>I33/J33</f>
        <v>1.28092404378061</v>
      </c>
      <c r="L33" s="23" t="inlineStr">
        <is>
          <t>9/17 +9.57%，組別為當日 111 組之冠（+7.99%、廣度 1.00），名次由第 69 升至第 15</t>
        </is>
      </c>
      <c r="M33" s="23" t="inlineStr">
        <is>
          <t>同上；純粹的息率久期交易，無基本面變化</t>
        </is>
      </c>
    </row>
    <row r="34">
      <c r="A34" s="64" t="n"/>
      <c r="B34" s="64" t="n"/>
      <c r="C34" s="65" t="inlineStr">
        <is>
          <t>組合平均</t>
        </is>
      </c>
      <c r="D34" s="64" t="n"/>
      <c r="E34" s="64" t="n"/>
      <c r="F34" s="64" t="n"/>
      <c r="G34" s="66">
        <f>AVERAGE(G9:G33)</f>
        <v>0.021485284466972912</v>
      </c>
      <c r="H34" s="66">
        <f>AVERAGE(H9:H33)</f>
        <v>-0.024876135405924066</v>
      </c>
      <c r="I34" s="64" t="n"/>
      <c r="J34" s="64" t="n"/>
      <c r="K34" s="67">
        <f>AVERAGE(K9:K33)</f>
        <v>1.0077512676870573</v>
      </c>
      <c r="L34" s="64" t="n"/>
      <c r="M34" s="64" t="n"/>
    </row>
    <row r="36" ht="30" customHeight="1">
      <c r="A36" s="9" t="inlineStr">
        <is>
          <t>A 類＝機制仍然成立，9/17 全巿反彈日依然落後，未來 3 日不新增多倉（非建議沽空）。B 類＝R1.01 列為迴避但 9/17 大幅反彈，迴避理由已被「息率暫停上升」削弱，本版改列中性：既不建議新倉，亦不再視為迴避。10 年期由 5.04% 的 19 年高位回落、8 連升中斷，是 B 類全部反彈的單一共同原因；若孳息重上 5.1%，B 類的迴避理由即時恢復。</t>
        </is>
      </c>
    </row>
  </sheetData>
  <mergeCells count="3">
    <mergeCell ref="A36:M36"/>
    <mergeCell ref="A2:M2"/>
    <mergeCell ref="A1:M1"/>
  </mergeCells>
  <hyperlinks>
    <hyperlink ref="B9" r:id="rId1"/>
    <hyperlink ref="B10" r:id="rId2"/>
    <hyperlink ref="B11" r:id="rId3"/>
    <hyperlink ref="B12" r:id="rId4"/>
    <hyperlink ref="B13" r:id="rId5"/>
    <hyperlink ref="B14" r:id="rId6"/>
    <hyperlink ref="B15" r:id="rId7"/>
    <hyperlink ref="B16" r:id="rId8"/>
    <hyperlink ref="B17" r:id="rId9"/>
    <hyperlink ref="B18" r:id="rId10"/>
    <hyperlink ref="B19" r:id="rId11"/>
    <hyperlink ref="B20" r:id="rId12"/>
    <hyperlink ref="B21" r:id="rId13"/>
    <hyperlink ref="B22" r:id="rId14"/>
    <hyperlink ref="B23" r:id="rId15"/>
    <hyperlink ref="B24" r:id="rId16"/>
    <hyperlink ref="B25" r:id="rId17"/>
    <hyperlink ref="B26" r:id="rId18"/>
    <hyperlink ref="B27" r:id="rId19"/>
    <hyperlink ref="B28" r:id="rId20"/>
    <hyperlink ref="B29" r:id="rId21"/>
    <hyperlink ref="B30" r:id="rId22"/>
    <hyperlink ref="B31" r:id="rId23"/>
    <hyperlink ref="B32" r:id="rId24"/>
    <hyperlink ref="B33" r:id="rId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2E5A88"/>
    <outlinePr summaryBelow="1" summaryRight="1"/>
    <pageSetUpPr/>
  </sheetPr>
  <dimension ref="A1:W12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8" customWidth="1" min="12" max="12"/>
    <col width="13" customWidth="1" min="13" max="13"/>
    <col width="13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30" customWidth="1" min="23" max="23"/>
  </cols>
  <sheetData>
    <row r="1" ht="22" customHeight="1">
      <c r="A1" s="1" t="inlineStr">
        <is>
          <t>111 個子板塊資金流證據（可追溯全表）</t>
        </is>
      </c>
    </row>
    <row r="2">
      <c r="A2" s="2" t="inlineStr">
        <is>
          <t>來源：SubSector 資金流向 R12 引擎（本次重跑）　·　視窗 2026-09-11 → 2026-09-17　·　按 5 日綜合分排序　·　成分股可點擊　·　※ 淨額含 9/17 未結算成交量，屬臨時值</t>
        </is>
      </c>
    </row>
    <row r="8" ht="30" customHeight="1">
      <c r="A8" s="14" t="inlineStr">
        <is>
          <t>5日
排名</t>
        </is>
      </c>
      <c r="B8" s="14" t="inlineStr">
        <is>
          <t>子板塊</t>
        </is>
      </c>
      <c r="C8" s="14" t="inlineStr">
        <is>
          <t>English</t>
        </is>
      </c>
      <c r="D8" s="14" t="inlineStr">
        <is>
          <t>大板塊</t>
        </is>
      </c>
      <c r="E8" s="14" t="inlineStr">
        <is>
          <t>5日
分數</t>
        </is>
      </c>
      <c r="F8" s="14" t="inlineStr">
        <is>
          <t>09-17
分數</t>
        </is>
      </c>
      <c r="G8" s="14" t="inlineStr">
        <is>
          <t>09-17
漲跌%</t>
        </is>
      </c>
      <c r="H8" s="14" t="inlineStr">
        <is>
          <t>5日
漲跌%</t>
        </is>
      </c>
      <c r="I8" s="14" t="inlineStr">
        <is>
          <t>09-17
廣度</t>
        </is>
      </c>
      <c r="J8" s="14" t="inlineStr">
        <is>
          <t>5日
廣度</t>
        </is>
      </c>
      <c r="K8" s="14" t="inlineStr">
        <is>
          <t>09-17
相對量</t>
        </is>
      </c>
      <c r="L8" s="14" t="inlineStr">
        <is>
          <t>斜率</t>
        </is>
      </c>
      <c r="M8" s="14" t="inlineStr">
        <is>
          <t>09-17 淨額※
(US$ 百萬)</t>
        </is>
      </c>
      <c r="N8" s="14" t="inlineStr">
        <is>
          <t>5日 淨額※
(US$ 百萬)</t>
        </is>
      </c>
      <c r="O8" s="14" t="inlineStr">
        <is>
          <t>成分股
1</t>
        </is>
      </c>
      <c r="P8" s="14" t="inlineStr">
        <is>
          <t>成分股
2</t>
        </is>
      </c>
      <c r="Q8" s="14" t="inlineStr">
        <is>
          <t>成分股
3</t>
        </is>
      </c>
      <c r="R8" s="14" t="inlineStr">
        <is>
          <t>成分股
4</t>
        </is>
      </c>
      <c r="S8" s="14" t="inlineStr">
        <is>
          <t>成分股
5</t>
        </is>
      </c>
      <c r="T8" s="14" t="inlineStr">
        <is>
          <t>成分股
6</t>
        </is>
      </c>
      <c r="U8" s="14" t="inlineStr">
        <is>
          <t>成分股
7</t>
        </is>
      </c>
      <c r="V8" s="14" t="inlineStr">
        <is>
          <t>成分股
8</t>
        </is>
      </c>
      <c r="W8" s="14" t="inlineStr">
        <is>
          <t>備註</t>
        </is>
      </c>
    </row>
    <row r="9">
      <c r="A9" s="68">
        <f>ROW()-8</f>
        <v>1.0</v>
      </c>
      <c r="B9" s="15" t="inlineStr">
        <is>
          <t>診斷與生命科學工具</t>
        </is>
      </c>
      <c r="C9" s="69" t="inlineStr">
        <is>
          <t>Diagnostics &amp; Life-Science Tools</t>
        </is>
      </c>
      <c r="D9" s="69" t="inlineStr">
        <is>
          <t>醫療保健 Health Care</t>
        </is>
      </c>
      <c r="E9" s="70" t="n">
        <v>100</v>
      </c>
      <c r="F9" s="70" t="n">
        <v>90</v>
      </c>
      <c r="G9" s="17" t="n">
        <v>0.03078718168213362</v>
      </c>
      <c r="H9" s="17" t="n">
        <v>0.1145833794201312</v>
      </c>
      <c r="I9" s="18" t="n">
        <v>1</v>
      </c>
      <c r="J9" s="18" t="n">
        <v>0.9</v>
      </c>
      <c r="K9" s="71" t="n">
        <v>1</v>
      </c>
      <c r="L9" s="72" t="n">
        <v>0.242914803908499</v>
      </c>
      <c r="M9" s="73" t="n">
        <v>1251.91878719792</v>
      </c>
      <c r="N9" s="73" t="n">
        <v>6024.393270603693</v>
      </c>
      <c r="O9" s="74" t="inlineStr">
        <is>
          <t>TMO</t>
        </is>
      </c>
      <c r="P9" s="74" t="inlineStr">
        <is>
          <t>DHR</t>
        </is>
      </c>
      <c r="Q9" s="74" t="inlineStr">
        <is>
          <t>A</t>
        </is>
      </c>
      <c r="R9" s="74" t="inlineStr">
        <is>
          <t>ILMN</t>
        </is>
      </c>
      <c r="S9" s="75" t="n"/>
      <c r="T9" s="75" t="n"/>
      <c r="U9" s="75" t="n"/>
      <c r="V9" s="75" t="n"/>
      <c r="W9" s="16" t="inlineStr">
        <is>
          <t>★ 第②組：連續兩版 5 日綜合第 1；9/16、9/17 兩種息率環境下都上升</t>
        </is>
      </c>
    </row>
    <row r="10">
      <c r="A10" s="68">
        <f>ROW()-8</f>
        <v>2.0</v>
      </c>
      <c r="B10" s="15" t="inlineStr">
        <is>
          <t>煉油與成品油</t>
        </is>
      </c>
      <c r="C10" s="69" t="inlineStr">
        <is>
          <t>Refining &amp; Marketing</t>
        </is>
      </c>
      <c r="D10" s="69" t="inlineStr">
        <is>
          <t>能源 Energy</t>
        </is>
      </c>
      <c r="E10" s="70" t="n">
        <v>99.09090909090909</v>
      </c>
      <c r="F10" s="70" t="n">
        <v>96.36363636363636</v>
      </c>
      <c r="G10" s="17" t="n">
        <v>0.02526657988744307</v>
      </c>
      <c r="H10" s="17" t="n">
        <v>0.07212068744836486</v>
      </c>
      <c r="I10" s="18" t="n">
        <v>1</v>
      </c>
      <c r="J10" s="18" t="n">
        <v>0.75</v>
      </c>
      <c r="K10" s="71" t="n">
        <v>1</v>
      </c>
      <c r="L10" s="72" t="n">
        <v>0.6226744242659735</v>
      </c>
      <c r="M10" s="73" t="n">
        <v>2197.520336978472</v>
      </c>
      <c r="N10" s="73" t="n">
        <v>3295.621943514185</v>
      </c>
      <c r="O10" s="74" t="inlineStr">
        <is>
          <t>MPC</t>
        </is>
      </c>
      <c r="P10" s="74" t="inlineStr">
        <is>
          <t>PSX</t>
        </is>
      </c>
      <c r="Q10" s="74" t="inlineStr">
        <is>
          <t>VLO</t>
        </is>
      </c>
      <c r="R10" s="74" t="inlineStr">
        <is>
          <t>DINO</t>
        </is>
      </c>
      <c r="S10" s="75" t="n"/>
      <c r="T10" s="75" t="n"/>
      <c r="U10" s="75" t="n"/>
      <c r="V10" s="75" t="n"/>
      <c r="W10" s="16" t="inlineStr">
        <is>
          <t>★ 第①組：9/17 +2.53%、廣度 1.00，名次 4→2，斜率 +0.62</t>
        </is>
      </c>
    </row>
    <row r="11">
      <c r="A11" s="76">
        <f>ROW()-8</f>
        <v>3.0</v>
      </c>
      <c r="B11" s="6" t="inlineStr">
        <is>
          <t>電子硬件與EMS/連接器</t>
        </is>
      </c>
      <c r="C11" s="9" t="inlineStr">
        <is>
          <t>Electronic Hardware, EMS &amp; Connectors</t>
        </is>
      </c>
      <c r="D11" s="9" t="inlineStr">
        <is>
          <t>資訊科技 Information Technology</t>
        </is>
      </c>
      <c r="E11" s="77" t="n">
        <v>98.18181818181819</v>
      </c>
      <c r="F11" s="77" t="n">
        <v>89.09090909090909</v>
      </c>
      <c r="G11" s="11" t="n">
        <v>0.01685348254296665</v>
      </c>
      <c r="H11" s="11" t="n">
        <v>0.02702684485210338</v>
      </c>
      <c r="I11" s="78" t="n">
        <v>0.8333333333333334</v>
      </c>
      <c r="J11" s="78" t="n">
        <v>0.7</v>
      </c>
      <c r="K11" s="79" t="n">
        <v>1</v>
      </c>
      <c r="L11" s="80" t="n">
        <v>0.04334570271855952</v>
      </c>
      <c r="M11" s="81" t="n">
        <v>10072.41729635151</v>
      </c>
      <c r="N11" s="81" t="n">
        <v>17291.81334573947</v>
      </c>
      <c r="O11" s="41" t="inlineStr">
        <is>
          <t>AAPL</t>
        </is>
      </c>
      <c r="P11" s="41" t="inlineStr">
        <is>
          <t>DELL</t>
        </is>
      </c>
      <c r="Q11" s="41" t="inlineStr">
        <is>
          <t>FLEX</t>
        </is>
      </c>
      <c r="R11" s="41" t="inlineStr">
        <is>
          <t>JBL</t>
        </is>
      </c>
      <c r="S11" s="41" t="inlineStr">
        <is>
          <t>APH</t>
        </is>
      </c>
      <c r="T11" s="41" t="inlineStr">
        <is>
          <t>TEL</t>
        </is>
      </c>
      <c r="W11" s="6" t="inlineStr"/>
    </row>
    <row r="12">
      <c r="A12" s="76">
        <f>ROW()-8</f>
        <v>4.0</v>
      </c>
      <c r="B12" s="6" t="inlineStr">
        <is>
          <t>資料/分析平台</t>
        </is>
      </c>
      <c r="C12" s="9" t="inlineStr">
        <is>
          <t>Data &amp; Analytics Platforms</t>
        </is>
      </c>
      <c r="D12" s="9" t="inlineStr">
        <is>
          <t>資訊科技 Information Technology</t>
        </is>
      </c>
      <c r="E12" s="77" t="n">
        <v>97.27272727272728</v>
      </c>
      <c r="F12" s="77" t="n">
        <v>88.18181818181819</v>
      </c>
      <c r="G12" s="11" t="n">
        <v>0.02533656395436279</v>
      </c>
      <c r="H12" s="11" t="n">
        <v>0.05178853374188308</v>
      </c>
      <c r="I12" s="78" t="n">
        <v>1</v>
      </c>
      <c r="J12" s="78" t="n">
        <v>0.75</v>
      </c>
      <c r="K12" s="79" t="n">
        <v>1</v>
      </c>
      <c r="L12" s="80" t="n">
        <v>0.2897782430135583</v>
      </c>
      <c r="M12" s="81" t="n">
        <v>2735.544346617258</v>
      </c>
      <c r="N12" s="81" t="n">
        <v>10802.7905830106</v>
      </c>
      <c r="O12" s="41" t="inlineStr">
        <is>
          <t>PLTR</t>
        </is>
      </c>
      <c r="P12" s="41" t="inlineStr">
        <is>
          <t>SNOW</t>
        </is>
      </c>
      <c r="Q12" s="41" t="inlineStr">
        <is>
          <t>MDB</t>
        </is>
      </c>
      <c r="R12" s="41" t="inlineStr">
        <is>
          <t>DDOG</t>
        </is>
      </c>
      <c r="W12" s="6" t="inlineStr"/>
    </row>
    <row r="13">
      <c r="A13" s="76">
        <f>ROW()-8</f>
        <v>5.0</v>
      </c>
      <c r="B13" s="6" t="inlineStr">
        <is>
          <t>網絡安全</t>
        </is>
      </c>
      <c r="C13" s="9" t="inlineStr">
        <is>
          <t>Cybersecurity</t>
        </is>
      </c>
      <c r="D13" s="9" t="inlineStr">
        <is>
          <t>資訊科技 Information Technology</t>
        </is>
      </c>
      <c r="E13" s="77" t="n">
        <v>96.36363636363636</v>
      </c>
      <c r="F13" s="77" t="n">
        <v>62.72727272727273</v>
      </c>
      <c r="G13" s="11" t="n">
        <v>0.01025862159746382</v>
      </c>
      <c r="H13" s="11" t="n">
        <v>0.1491831679849338</v>
      </c>
      <c r="I13" s="78" t="n">
        <v>0.6</v>
      </c>
      <c r="J13" s="78" t="n">
        <v>0.6799999999999999</v>
      </c>
      <c r="K13" s="79" t="n">
        <v>1</v>
      </c>
      <c r="L13" s="80" t="n">
        <v>0.1827527577462086</v>
      </c>
      <c r="M13" s="81" t="n">
        <v>1652.339443974305</v>
      </c>
      <c r="N13" s="81" t="n">
        <v>14932.77096604381</v>
      </c>
      <c r="O13" s="41" t="inlineStr">
        <is>
          <t>PANW</t>
        </is>
      </c>
      <c r="P13" s="41" t="inlineStr">
        <is>
          <t>CRWD</t>
        </is>
      </c>
      <c r="Q13" s="41" t="inlineStr">
        <is>
          <t>ZS</t>
        </is>
      </c>
      <c r="R13" s="41" t="inlineStr">
        <is>
          <t>FTNT</t>
        </is>
      </c>
      <c r="S13" s="41" t="inlineStr">
        <is>
          <t>S</t>
        </is>
      </c>
      <c r="W13" s="6" t="inlineStr"/>
    </row>
    <row r="14">
      <c r="A14" s="68">
        <f>ROW()-8</f>
        <v>6.0</v>
      </c>
      <c r="B14" s="15" t="inlineStr">
        <is>
          <t>鋼鐵</t>
        </is>
      </c>
      <c r="C14" s="69" t="inlineStr">
        <is>
          <t>Steel</t>
        </is>
      </c>
      <c r="D14" s="69" t="inlineStr">
        <is>
          <t>原材料 Materials</t>
        </is>
      </c>
      <c r="E14" s="70" t="n">
        <v>95.45454545454545</v>
      </c>
      <c r="F14" s="70" t="n">
        <v>82.72727272727273</v>
      </c>
      <c r="G14" s="17" t="n">
        <v>0.02811528543442571</v>
      </c>
      <c r="H14" s="17" t="n">
        <v>0.04288454720433865</v>
      </c>
      <c r="I14" s="18" t="n">
        <v>1</v>
      </c>
      <c r="J14" s="18" t="n">
        <v>0.75</v>
      </c>
      <c r="K14" s="71" t="n">
        <v>1</v>
      </c>
      <c r="L14" s="72" t="n">
        <v>0.2342115666435876</v>
      </c>
      <c r="M14" s="73" t="n">
        <v>-84.96151679042012</v>
      </c>
      <c r="N14" s="73" t="n">
        <v>11.42181160839923</v>
      </c>
      <c r="O14" s="74" t="inlineStr">
        <is>
          <t>NUE</t>
        </is>
      </c>
      <c r="P14" s="74" t="inlineStr">
        <is>
          <t>STLD</t>
        </is>
      </c>
      <c r="Q14" s="74" t="inlineStr">
        <is>
          <t>CLF</t>
        </is>
      </c>
      <c r="R14" s="74" t="inlineStr">
        <is>
          <t>RS</t>
        </is>
      </c>
      <c r="S14" s="75" t="n"/>
      <c r="T14" s="75" t="n"/>
      <c r="U14" s="75" t="n"/>
      <c r="V14" s="75" t="n"/>
      <c r="W14" s="16" t="inlineStr">
        <is>
          <t>★ 第⑤組：9/17 +2.81%、廣度 1.00，名次 11→6 —— 升勢有廣度且未伸展</t>
        </is>
      </c>
    </row>
    <row r="15">
      <c r="A15" s="76">
        <f>ROW()-8</f>
        <v>7.0</v>
      </c>
      <c r="B15" s="6" t="inlineStr">
        <is>
          <t>大型網絡平台與數位廣告</t>
        </is>
      </c>
      <c r="C15" s="9" t="inlineStr">
        <is>
          <t>Mega-cap Internet &amp; Digital Ads</t>
        </is>
      </c>
      <c r="D15" s="9" t="inlineStr">
        <is>
          <t>通訊服務 Communication Services</t>
        </is>
      </c>
      <c r="E15" s="77" t="n">
        <v>94.54545454545455</v>
      </c>
      <c r="F15" s="77" t="n">
        <v>85.45454545454545</v>
      </c>
      <c r="G15" s="11" t="n">
        <v>0.01354985967071509</v>
      </c>
      <c r="H15" s="11" t="n">
        <v>0.05201385555254245</v>
      </c>
      <c r="I15" s="78" t="n">
        <v>1</v>
      </c>
      <c r="J15" s="78" t="n">
        <v>0.8</v>
      </c>
      <c r="K15" s="79" t="n">
        <v>1</v>
      </c>
      <c r="L15" s="80" t="n">
        <v>0.01974445475165196</v>
      </c>
      <c r="M15" s="81" t="n">
        <v>10561.00191338069</v>
      </c>
      <c r="N15" s="81" t="n">
        <v>10553.28279099922</v>
      </c>
      <c r="O15" s="41" t="inlineStr">
        <is>
          <t>GOOGL</t>
        </is>
      </c>
      <c r="P15" s="41" t="inlineStr">
        <is>
          <t>META</t>
        </is>
      </c>
      <c r="W15" s="6" t="inlineStr"/>
    </row>
    <row r="16">
      <c r="A16" s="68">
        <f>ROW()-8</f>
        <v>8.0</v>
      </c>
      <c r="B16" s="15" t="inlineStr">
        <is>
          <t>太空與衛星</t>
        </is>
      </c>
      <c r="C16" s="69" t="inlineStr">
        <is>
          <t>Space &amp; Satellites</t>
        </is>
      </c>
      <c r="D16" s="69" t="inlineStr">
        <is>
          <t>工業 Industrials</t>
        </is>
      </c>
      <c r="E16" s="70" t="n">
        <v>93.63636363636364</v>
      </c>
      <c r="F16" s="70" t="n">
        <v>98.18181818181819</v>
      </c>
      <c r="G16" s="17" t="n">
        <v>0.06356748339923927</v>
      </c>
      <c r="H16" s="17" t="n">
        <v>0.04616456800843149</v>
      </c>
      <c r="I16" s="18" t="n">
        <v>1</v>
      </c>
      <c r="J16" s="18" t="n">
        <v>0.6</v>
      </c>
      <c r="K16" s="71" t="n">
        <v>1</v>
      </c>
      <c r="L16" s="72" t="n">
        <v>0.6227448319150233</v>
      </c>
      <c r="M16" s="73" t="n">
        <v>1016.475939955455</v>
      </c>
      <c r="N16" s="73" t="n">
        <v>1073.368543407981</v>
      </c>
      <c r="O16" s="74" t="inlineStr">
        <is>
          <t>RKLB</t>
        </is>
      </c>
      <c r="P16" s="74" t="inlineStr">
        <is>
          <t>ASTS</t>
        </is>
      </c>
      <c r="Q16" s="74" t="inlineStr">
        <is>
          <t>LUNR</t>
        </is>
      </c>
      <c r="R16" s="74" t="inlineStr">
        <is>
          <t>PL</t>
        </is>
      </c>
      <c r="S16" s="74" t="inlineStr">
        <is>
          <t>RDW</t>
        </is>
      </c>
      <c r="T16" s="75" t="n"/>
      <c r="U16" s="75" t="n"/>
      <c r="V16" s="75" t="n"/>
      <c r="W16" s="16" t="inlineStr">
        <is>
          <t>★ 第④組：9/17 +6.36%、廣度 1.00，名次 40→8，斜率 +0.62</t>
        </is>
      </c>
    </row>
    <row r="17">
      <c r="A17" s="68">
        <f>ROW()-8</f>
        <v>9.0</v>
      </c>
      <c r="B17" s="15" t="inlineStr">
        <is>
          <t>晶圓代工/IDM</t>
        </is>
      </c>
      <c r="C17" s="69" t="inlineStr">
        <is>
          <t>Foundry &amp; IDM</t>
        </is>
      </c>
      <c r="D17" s="69" t="inlineStr">
        <is>
          <t>資訊科技 Information Technology</t>
        </is>
      </c>
      <c r="E17" s="70" t="n">
        <v>92.72727272727272</v>
      </c>
      <c r="F17" s="70" t="n">
        <v>97.27272727272728</v>
      </c>
      <c r="G17" s="17" t="n">
        <v>0.06428036668293857</v>
      </c>
      <c r="H17" s="17" t="n">
        <v>0.04755004575893396</v>
      </c>
      <c r="I17" s="18" t="n">
        <v>1</v>
      </c>
      <c r="J17" s="18" t="n">
        <v>0.65</v>
      </c>
      <c r="K17" s="71" t="n">
        <v>1</v>
      </c>
      <c r="L17" s="72" t="n">
        <v>0.4372762765729746</v>
      </c>
      <c r="M17" s="73" t="n">
        <v>5141.155820557373</v>
      </c>
      <c r="N17" s="73" t="n">
        <v>-6139.42982178774</v>
      </c>
      <c r="O17" s="74" t="inlineStr">
        <is>
          <t>TSM</t>
        </is>
      </c>
      <c r="P17" s="74" t="inlineStr">
        <is>
          <t>INTC</t>
        </is>
      </c>
      <c r="Q17" s="74" t="inlineStr">
        <is>
          <t>GFS</t>
        </is>
      </c>
      <c r="R17" s="74" t="inlineStr">
        <is>
          <t>UMC</t>
        </is>
      </c>
      <c r="S17" s="75" t="n"/>
      <c r="T17" s="75" t="n"/>
      <c r="U17" s="75" t="n"/>
      <c r="V17" s="75" t="n"/>
      <c r="W17" s="16" t="inlineStr">
        <is>
          <t>★ 第③組：9/17 +6.43%、廣度 1.00，名次 38→9</t>
        </is>
      </c>
    </row>
    <row r="18">
      <c r="A18" s="76">
        <f>ROW()-8</f>
        <v>10.0</v>
      </c>
      <c r="B18" s="6" t="inlineStr">
        <is>
          <t>AI資料中心建設</t>
        </is>
      </c>
      <c r="C18" s="9" t="inlineStr">
        <is>
          <t>AI Data Center Buildout</t>
        </is>
      </c>
      <c r="D18" s="9" t="inlineStr">
        <is>
          <t>資訊科技 Information Technology</t>
        </is>
      </c>
      <c r="E18" s="77" t="n">
        <v>91.81818181818183</v>
      </c>
      <c r="F18" s="77" t="n">
        <v>70</v>
      </c>
      <c r="G18" s="11" t="n">
        <v>0.02897688873194717</v>
      </c>
      <c r="H18" s="11" t="n">
        <v>0.0343695878895911</v>
      </c>
      <c r="I18" s="78" t="n">
        <v>1</v>
      </c>
      <c r="J18" s="78" t="n">
        <v>0.68</v>
      </c>
      <c r="K18" s="79" t="n">
        <v>1</v>
      </c>
      <c r="L18" s="80" t="n">
        <v>0.003004188437911459</v>
      </c>
      <c r="M18" s="81" t="n">
        <v>-1049.807972977269</v>
      </c>
      <c r="N18" s="81" t="n">
        <v>-171.6255834044113</v>
      </c>
      <c r="O18" s="41" t="inlineStr">
        <is>
          <t>VRT</t>
        </is>
      </c>
      <c r="P18" s="41" t="inlineStr">
        <is>
          <t>SMCI</t>
        </is>
      </c>
      <c r="Q18" s="41" t="inlineStr">
        <is>
          <t>ANET</t>
        </is>
      </c>
      <c r="R18" s="41" t="inlineStr">
        <is>
          <t>MOD</t>
        </is>
      </c>
      <c r="S18" s="41" t="inlineStr">
        <is>
          <t>CIEN</t>
        </is>
      </c>
      <c r="W18" s="6" t="inlineStr"/>
    </row>
    <row r="19">
      <c r="A19" s="76">
        <f>ROW()-8</f>
        <v>11.0</v>
      </c>
      <c r="B19" s="6" t="inlineStr">
        <is>
          <t>工業與物流REIT</t>
        </is>
      </c>
      <c r="C19" s="9" t="inlineStr">
        <is>
          <t>Industrial &amp; Logistics REITs</t>
        </is>
      </c>
      <c r="D19" s="9" t="inlineStr">
        <is>
          <t>房地產 Real Estate</t>
        </is>
      </c>
      <c r="E19" s="77" t="n">
        <v>90.90909090909091</v>
      </c>
      <c r="F19" s="77" t="n">
        <v>87.27272727272727</v>
      </c>
      <c r="G19" s="11" t="n">
        <v>0.01416492241982098</v>
      </c>
      <c r="H19" s="11" t="n">
        <v>0.01848944280336773</v>
      </c>
      <c r="I19" s="78" t="n">
        <v>1</v>
      </c>
      <c r="J19" s="78" t="n">
        <v>0.8</v>
      </c>
      <c r="K19" s="79" t="n">
        <v>1</v>
      </c>
      <c r="L19" s="80" t="n">
        <v>0.09799818880622713</v>
      </c>
      <c r="M19" s="81" t="n">
        <v>341.7128460197728</v>
      </c>
      <c r="N19" s="81" t="n">
        <v>1077.119558222924</v>
      </c>
      <c r="O19" s="41" t="inlineStr">
        <is>
          <t>PLD</t>
        </is>
      </c>
      <c r="P19" s="41" t="inlineStr">
        <is>
          <t>EGP</t>
        </is>
      </c>
      <c r="Q19" s="41" t="inlineStr">
        <is>
          <t>FR</t>
        </is>
      </c>
      <c r="R19" s="41" t="inlineStr">
        <is>
          <t>STAG</t>
        </is>
      </c>
      <c r="W19" s="6" t="inlineStr"/>
    </row>
    <row r="20">
      <c r="A20" s="76">
        <f>ROW()-8</f>
        <v>12.0</v>
      </c>
      <c r="B20" s="6" t="inlineStr">
        <is>
          <t>資料中心REIT</t>
        </is>
      </c>
      <c r="C20" s="9" t="inlineStr">
        <is>
          <t>Data Center REITs</t>
        </is>
      </c>
      <c r="D20" s="9" t="inlineStr">
        <is>
          <t>房地產 Real Estate</t>
        </is>
      </c>
      <c r="E20" s="77" t="n">
        <v>90</v>
      </c>
      <c r="F20" s="77" t="n">
        <v>77.27272727272727</v>
      </c>
      <c r="G20" s="11" t="n">
        <v>0.01406714506402684</v>
      </c>
      <c r="H20" s="11" t="n">
        <v>-0.00148480130572326</v>
      </c>
      <c r="I20" s="78" t="n">
        <v>1</v>
      </c>
      <c r="J20" s="78" t="n">
        <v>0.8</v>
      </c>
      <c r="K20" s="79" t="n">
        <v>1</v>
      </c>
      <c r="L20" s="80" t="n">
        <v>0.2273628652801632</v>
      </c>
      <c r="M20" s="81" t="n">
        <v>32.01589511086103</v>
      </c>
      <c r="N20" s="81" t="n">
        <v>5.621184004411906</v>
      </c>
      <c r="O20" s="41" t="inlineStr">
        <is>
          <t>EQIX</t>
        </is>
      </c>
      <c r="P20" s="41" t="inlineStr">
        <is>
          <t>DLR</t>
        </is>
      </c>
      <c r="W20" s="6" t="inlineStr"/>
    </row>
    <row r="21">
      <c r="A21" s="76">
        <f>ROW()-8</f>
        <v>13.0</v>
      </c>
      <c r="B21" s="6" t="inlineStr">
        <is>
          <t>國防科技與無人機</t>
        </is>
      </c>
      <c r="C21" s="9" t="inlineStr">
        <is>
          <t>Defense Tech &amp; Drones</t>
        </is>
      </c>
      <c r="D21" s="9" t="inlineStr">
        <is>
          <t>工業 Industrials</t>
        </is>
      </c>
      <c r="E21" s="77" t="n">
        <v>89.09090909090909</v>
      </c>
      <c r="F21" s="77" t="n">
        <v>67.27272727272727</v>
      </c>
      <c r="G21" s="11" t="n">
        <v>0.01811191675448809</v>
      </c>
      <c r="H21" s="11" t="n">
        <v>0.003928555373037934</v>
      </c>
      <c r="I21" s="78" t="n">
        <v>0.5</v>
      </c>
      <c r="J21" s="78" t="n">
        <v>0.55</v>
      </c>
      <c r="K21" s="79" t="n">
        <v>1</v>
      </c>
      <c r="L21" s="80" t="n">
        <v>0.1148743228941303</v>
      </c>
      <c r="M21" s="81" t="n">
        <v>-293.6624656104026</v>
      </c>
      <c r="N21" s="81" t="n">
        <v>1078.383731465904</v>
      </c>
      <c r="O21" s="41" t="inlineStr">
        <is>
          <t>AVAV</t>
        </is>
      </c>
      <c r="P21" s="41" t="inlineStr">
        <is>
          <t>KTOS</t>
        </is>
      </c>
      <c r="Q21" s="41" t="inlineStr">
        <is>
          <t>RCAT</t>
        </is>
      </c>
      <c r="R21" s="41" t="inlineStr">
        <is>
          <t>ONDS</t>
        </is>
      </c>
      <c r="W21" s="6" t="inlineStr"/>
    </row>
    <row r="22">
      <c r="A22" s="76">
        <f>ROW()-8</f>
        <v>14.0</v>
      </c>
      <c r="B22" s="5" t="inlineStr">
        <is>
          <t>AI加速晶片/GPU</t>
        </is>
      </c>
      <c r="C22" s="9" t="inlineStr">
        <is>
          <t>AI Accelerators &amp; GPU</t>
        </is>
      </c>
      <c r="D22" s="9" t="inlineStr">
        <is>
          <t>資訊科技 Information Technology</t>
        </is>
      </c>
      <c r="E22" s="77" t="n">
        <v>88.18181818181819</v>
      </c>
      <c r="F22" s="77" t="n">
        <v>91.81818181818183</v>
      </c>
      <c r="G22" s="11" t="n">
        <v>0.03988453770132033</v>
      </c>
      <c r="H22" s="11" t="n">
        <v>0.02690179186859809</v>
      </c>
      <c r="I22" s="78" t="n">
        <v>1</v>
      </c>
      <c r="J22" s="78" t="n">
        <v>0.65</v>
      </c>
      <c r="K22" s="79" t="n">
        <v>1</v>
      </c>
      <c r="L22" s="80" t="n">
        <v>0.4935192921254671</v>
      </c>
      <c r="M22" s="81" t="n">
        <v>10818.38632622343</v>
      </c>
      <c r="N22" s="81" t="n">
        <v>-35950.22692305307</v>
      </c>
      <c r="O22" s="41" t="inlineStr">
        <is>
          <t>NVDA</t>
        </is>
      </c>
      <c r="P22" s="41" t="inlineStr">
        <is>
          <t>AMD</t>
        </is>
      </c>
      <c r="Q22" s="41" t="inlineStr">
        <is>
          <t>AVGO</t>
        </is>
      </c>
      <c r="R22" s="41" t="inlineStr">
        <is>
          <t>MRVL</t>
        </is>
      </c>
      <c r="W22" s="6" t="inlineStr">
        <is>
          <t>○ 9/17 +3.99%、廣度 1.00，名次 57→14</t>
        </is>
      </c>
    </row>
    <row r="23">
      <c r="A23" s="76">
        <f>ROW()-8</f>
        <v>15.0</v>
      </c>
      <c r="B23" s="5" t="inlineStr">
        <is>
          <t>量子運算</t>
        </is>
      </c>
      <c r="C23" s="9" t="inlineStr">
        <is>
          <t>Quantum Computing</t>
        </is>
      </c>
      <c r="D23" s="9" t="inlineStr">
        <is>
          <t>資訊科技 Information Technology</t>
        </is>
      </c>
      <c r="E23" s="77" t="n">
        <v>87.27272727272727</v>
      </c>
      <c r="F23" s="77" t="n">
        <v>100</v>
      </c>
      <c r="G23" s="11" t="n">
        <v>0.07993312771763289</v>
      </c>
      <c r="H23" s="11" t="n">
        <v>0.07324790215526034</v>
      </c>
      <c r="I23" s="78" t="n">
        <v>1</v>
      </c>
      <c r="J23" s="78" t="n">
        <v>0.55</v>
      </c>
      <c r="K23" s="79" t="n">
        <v>1</v>
      </c>
      <c r="L23" s="80" t="n">
        <v>0.3826321325714218</v>
      </c>
      <c r="M23" s="81" t="n">
        <v>840.8270753728436</v>
      </c>
      <c r="N23" s="81" t="n">
        <v>565.7897019552548</v>
      </c>
      <c r="O23" s="41" t="inlineStr">
        <is>
          <t>IONQ</t>
        </is>
      </c>
      <c r="P23" s="41" t="inlineStr">
        <is>
          <t>RGTI</t>
        </is>
      </c>
      <c r="Q23" s="41" t="inlineStr">
        <is>
          <t>QBTS</t>
        </is>
      </c>
      <c r="R23" s="41" t="inlineStr">
        <is>
          <t>QUBT</t>
        </is>
      </c>
      <c r="W23" s="6" t="inlineStr">
        <is>
          <t>△ B 類改中性：9/17 +7.99%，當日 111 組之冠，名次 69→15</t>
        </is>
      </c>
    </row>
    <row r="24">
      <c r="A24" s="82">
        <f>ROW()-8</f>
        <v>16.0</v>
      </c>
      <c r="B24" s="29" t="inlineStr">
        <is>
          <t>產險與再保</t>
        </is>
      </c>
      <c r="C24" s="83" t="inlineStr">
        <is>
          <t>P&amp;C Insurance &amp; Reinsurance</t>
        </is>
      </c>
      <c r="D24" s="83" t="inlineStr">
        <is>
          <t>金融 Financials</t>
        </is>
      </c>
      <c r="E24" s="84" t="n">
        <v>86.36363636363636</v>
      </c>
      <c r="F24" s="84" t="n">
        <v>41.81818181818181</v>
      </c>
      <c r="G24" s="31" t="n">
        <v>-0.0009702644069072619</v>
      </c>
      <c r="H24" s="31" t="n">
        <v>0.01245645755689928</v>
      </c>
      <c r="I24" s="32" t="n">
        <v>0</v>
      </c>
      <c r="J24" s="32" t="n">
        <v>0.64</v>
      </c>
      <c r="K24" s="85" t="n">
        <v>1</v>
      </c>
      <c r="L24" s="86" t="n">
        <v>-0.2024518951530051</v>
      </c>
      <c r="M24" s="87" t="n">
        <v>561.7559216312129</v>
      </c>
      <c r="N24" s="87" t="n">
        <v>2313.378372676411</v>
      </c>
      <c r="O24" s="88" t="inlineStr">
        <is>
          <t>CB</t>
        </is>
      </c>
      <c r="P24" s="88" t="inlineStr">
        <is>
          <t>TRV</t>
        </is>
      </c>
      <c r="Q24" s="88" t="inlineStr">
        <is>
          <t>PGR</t>
        </is>
      </c>
      <c r="R24" s="88" t="inlineStr">
        <is>
          <t>AIG</t>
        </is>
      </c>
      <c r="S24" s="88" t="inlineStr">
        <is>
          <t>RNR</t>
        </is>
      </c>
      <c r="T24" s="89" t="n"/>
      <c r="U24" s="89" t="n"/>
      <c r="V24" s="89" t="n"/>
      <c r="W24" s="90" t="inlineStr">
        <is>
          <t>⚠ 第⑦組（已降級）：9/17 −0.10%、廣度 0.00，名次 6→16</t>
        </is>
      </c>
    </row>
    <row r="25">
      <c r="A25" s="76">
        <f>ROW()-8</f>
        <v>17.0</v>
      </c>
      <c r="B25" s="5" t="inlineStr">
        <is>
          <t>住宅建築商</t>
        </is>
      </c>
      <c r="C25" s="9" t="inlineStr">
        <is>
          <t>Homebuilders</t>
        </is>
      </c>
      <c r="D25" s="9" t="inlineStr">
        <is>
          <t>非必需消費 Consumer Discretionary</t>
        </is>
      </c>
      <c r="E25" s="77" t="n">
        <v>85.45454545454545</v>
      </c>
      <c r="F25" s="77" t="n">
        <v>71.81818181818181</v>
      </c>
      <c r="G25" s="11" t="n">
        <v>0.01291432417886487</v>
      </c>
      <c r="H25" s="11" t="n">
        <v>0.02420397685971154</v>
      </c>
      <c r="I25" s="78" t="n">
        <v>1</v>
      </c>
      <c r="J25" s="78" t="n">
        <v>0.76</v>
      </c>
      <c r="K25" s="79" t="n">
        <v>1</v>
      </c>
      <c r="L25" s="80" t="n">
        <v>-0.3514672431164289</v>
      </c>
      <c r="M25" s="81" t="n">
        <v>12.23129505896321</v>
      </c>
      <c r="N25" s="81" t="n">
        <v>475.9760913973683</v>
      </c>
      <c r="O25" s="41" t="inlineStr">
        <is>
          <t>DHI</t>
        </is>
      </c>
      <c r="P25" s="41" t="inlineStr">
        <is>
          <t>LEN</t>
        </is>
      </c>
      <c r="Q25" s="41" t="inlineStr">
        <is>
          <t>PHM</t>
        </is>
      </c>
      <c r="R25" s="41" t="inlineStr">
        <is>
          <t>NVR</t>
        </is>
      </c>
      <c r="S25" s="41" t="inlineStr">
        <is>
          <t>TOL</t>
        </is>
      </c>
      <c r="W25" s="6" t="inlineStr">
        <is>
          <t>△ B 類改中性：9/17 +1.29%、廣度 1.00，名次 44→17</t>
        </is>
      </c>
    </row>
    <row r="26">
      <c r="A26" s="76">
        <f>ROW()-8</f>
        <v>18.0</v>
      </c>
      <c r="B26" s="6" t="inlineStr">
        <is>
          <t>大型藥廠</t>
        </is>
      </c>
      <c r="C26" s="9" t="inlineStr">
        <is>
          <t>Large-cap Pharma</t>
        </is>
      </c>
      <c r="D26" s="9" t="inlineStr">
        <is>
          <t>醫療保健 Health Care</t>
        </is>
      </c>
      <c r="E26" s="77" t="n">
        <v>84.54545454545455</v>
      </c>
      <c r="F26" s="77" t="n">
        <v>72.72727272727273</v>
      </c>
      <c r="G26" s="11" t="n">
        <v>0.006551142158755204</v>
      </c>
      <c r="H26" s="11" t="n">
        <v>0.01296335958912653</v>
      </c>
      <c r="I26" s="78" t="n">
        <v>0.8333333333333334</v>
      </c>
      <c r="J26" s="78" t="n">
        <v>0.7666666666666667</v>
      </c>
      <c r="K26" s="79" t="n">
        <v>1</v>
      </c>
      <c r="L26" s="80" t="n">
        <v>0.3141001189429704</v>
      </c>
      <c r="M26" s="81" t="n">
        <v>2892.302732095909</v>
      </c>
      <c r="N26" s="81" t="n">
        <v>-2753.736191491367</v>
      </c>
      <c r="O26" s="41" t="inlineStr">
        <is>
          <t>LLY</t>
        </is>
      </c>
      <c r="P26" s="41" t="inlineStr">
        <is>
          <t>JNJ</t>
        </is>
      </c>
      <c r="Q26" s="41" t="inlineStr">
        <is>
          <t>PFE</t>
        </is>
      </c>
      <c r="R26" s="41" t="inlineStr">
        <is>
          <t>MRK</t>
        </is>
      </c>
      <c r="S26" s="41" t="inlineStr">
        <is>
          <t>ABBV</t>
        </is>
      </c>
      <c r="T26" s="41" t="inlineStr">
        <is>
          <t>BMY</t>
        </is>
      </c>
      <c r="W26" s="6" t="inlineStr"/>
    </row>
    <row r="27">
      <c r="A27" s="76">
        <f>ROW()-8</f>
        <v>19.0</v>
      </c>
      <c r="B27" s="6" t="inlineStr">
        <is>
          <t>大型生物科技</t>
        </is>
      </c>
      <c r="C27" s="9" t="inlineStr">
        <is>
          <t>Large-cap Biotech</t>
        </is>
      </c>
      <c r="D27" s="9" t="inlineStr">
        <is>
          <t>醫療保健 Health Care</t>
        </is>
      </c>
      <c r="E27" s="77" t="n">
        <v>83.63636363636363</v>
      </c>
      <c r="F27" s="77" t="n">
        <v>81.81818181818183</v>
      </c>
      <c r="G27" s="11" t="n">
        <v>0.01388560979930449</v>
      </c>
      <c r="H27" s="11" t="n">
        <v>0.009913097905988488</v>
      </c>
      <c r="I27" s="78" t="n">
        <v>1</v>
      </c>
      <c r="J27" s="78" t="n">
        <v>0.72</v>
      </c>
      <c r="K27" s="79" t="n">
        <v>1</v>
      </c>
      <c r="L27" s="80" t="n">
        <v>0.4409558900355712</v>
      </c>
      <c r="M27" s="81" t="n">
        <v>1609.912212018811</v>
      </c>
      <c r="N27" s="81" t="n">
        <v>-105.7044972686513</v>
      </c>
      <c r="O27" s="41" t="inlineStr">
        <is>
          <t>AMGN</t>
        </is>
      </c>
      <c r="P27" s="41" t="inlineStr">
        <is>
          <t>GILD</t>
        </is>
      </c>
      <c r="Q27" s="41" t="inlineStr">
        <is>
          <t>REGN</t>
        </is>
      </c>
      <c r="R27" s="41" t="inlineStr">
        <is>
          <t>VRTX</t>
        </is>
      </c>
      <c r="S27" s="41" t="inlineStr">
        <is>
          <t>BIIB</t>
        </is>
      </c>
      <c r="W27" s="6" t="inlineStr"/>
    </row>
    <row r="28">
      <c r="A28" s="82">
        <f>ROW()-8</f>
        <v>20.0</v>
      </c>
      <c r="B28" s="29" t="inlineStr">
        <is>
          <t>醫院與醫療服務</t>
        </is>
      </c>
      <c r="C28" s="83" t="inlineStr">
        <is>
          <t>Hospitals &amp; Providers</t>
        </is>
      </c>
      <c r="D28" s="83" t="inlineStr">
        <is>
          <t>醫療保健 Health Care</t>
        </is>
      </c>
      <c r="E28" s="84" t="n">
        <v>82.72727272727273</v>
      </c>
      <c r="F28" s="84" t="n">
        <v>13.63636363636363</v>
      </c>
      <c r="G28" s="31" t="n">
        <v>-0.006299070314567168</v>
      </c>
      <c r="H28" s="31" t="n">
        <v>0.01991570468885207</v>
      </c>
      <c r="I28" s="32" t="n">
        <v>0</v>
      </c>
      <c r="J28" s="32" t="n">
        <v>0.6</v>
      </c>
      <c r="K28" s="85" t="n">
        <v>1</v>
      </c>
      <c r="L28" s="86" t="n">
        <v>-0.0745086545641449</v>
      </c>
      <c r="M28" s="87" t="n">
        <v>-299.2882915823903</v>
      </c>
      <c r="N28" s="87" t="n">
        <v>715.6423829689791</v>
      </c>
      <c r="O28" s="88" t="inlineStr">
        <is>
          <t>HCA</t>
        </is>
      </c>
      <c r="P28" s="88" t="inlineStr">
        <is>
          <t>THC</t>
        </is>
      </c>
      <c r="Q28" s="88" t="inlineStr">
        <is>
          <t>UHS</t>
        </is>
      </c>
      <c r="R28" s="88" t="inlineStr">
        <is>
          <t>EHC</t>
        </is>
      </c>
      <c r="S28" s="89" t="n"/>
      <c r="T28" s="89" t="n"/>
      <c r="U28" s="89" t="n"/>
      <c r="V28" s="89" t="n"/>
      <c r="W28" s="90" t="inlineStr">
        <is>
          <t>⚠ 第⑦組（已降級）：R1.01 列為高信心，9/17 −0.63%、廣度 0.00，名次 3→20</t>
        </is>
      </c>
    </row>
    <row r="29">
      <c r="A29" s="68">
        <f>ROW()-8</f>
        <v>21.0</v>
      </c>
      <c r="B29" s="15" t="inlineStr">
        <is>
          <t>電氣設備與電網</t>
        </is>
      </c>
      <c r="C29" s="69" t="inlineStr">
        <is>
          <t>Electrical Equipment &amp; Grid</t>
        </is>
      </c>
      <c r="D29" s="69" t="inlineStr">
        <is>
          <t>工業 Industrials</t>
        </is>
      </c>
      <c r="E29" s="70" t="n">
        <v>81.81818181818183</v>
      </c>
      <c r="F29" s="70" t="n">
        <v>34.54545454545455</v>
      </c>
      <c r="G29" s="17" t="n">
        <v>0.009042011090423107</v>
      </c>
      <c r="H29" s="17" t="n">
        <v>-0.005052956460829261</v>
      </c>
      <c r="I29" s="18" t="n">
        <v>0.6</v>
      </c>
      <c r="J29" s="18" t="n">
        <v>0.5600000000000001</v>
      </c>
      <c r="K29" s="71" t="n">
        <v>1.041409380158898</v>
      </c>
      <c r="L29" s="72" t="n">
        <v>-0.1342484793056576</v>
      </c>
      <c r="M29" s="73" t="n">
        <v>-2740.73159499188</v>
      </c>
      <c r="N29" s="73" t="n">
        <v>-2274.239377444889</v>
      </c>
      <c r="O29" s="74" t="inlineStr">
        <is>
          <t>ETN</t>
        </is>
      </c>
      <c r="P29" s="74" t="inlineStr">
        <is>
          <t>EMR</t>
        </is>
      </c>
      <c r="Q29" s="74" t="inlineStr">
        <is>
          <t>PWR</t>
        </is>
      </c>
      <c r="R29" s="74" t="inlineStr">
        <is>
          <t>HUBB</t>
        </is>
      </c>
      <c r="S29" s="74" t="inlineStr">
        <is>
          <t>GEV</t>
        </is>
      </c>
      <c r="T29" s="75" t="n"/>
      <c r="U29" s="75" t="n"/>
      <c r="V29" s="75" t="n"/>
      <c r="W29" s="16" t="inlineStr">
        <is>
          <t>★ 第⑥組（已降級）：9/17 只 +0.90%、廣度 0.60，名次 14→21，斜率轉負</t>
        </is>
      </c>
    </row>
    <row r="30">
      <c r="A30" s="76">
        <f>ROW()-8</f>
        <v>22.0</v>
      </c>
      <c r="B30" s="5" t="inlineStr">
        <is>
          <t>光通訊/CPO</t>
        </is>
      </c>
      <c r="C30" s="9" t="inlineStr">
        <is>
          <t>Optical Networking &amp; CPO</t>
        </is>
      </c>
      <c r="D30" s="9" t="inlineStr">
        <is>
          <t>資訊科技 Information Technology</t>
        </is>
      </c>
      <c r="E30" s="77" t="n">
        <v>80.90909090909091</v>
      </c>
      <c r="F30" s="77" t="n">
        <v>37.27272727272727</v>
      </c>
      <c r="G30" s="11" t="n">
        <v>0.01261840378612735</v>
      </c>
      <c r="H30" s="11" t="n">
        <v>-0.009131290667063863</v>
      </c>
      <c r="I30" s="78" t="n">
        <v>0.8</v>
      </c>
      <c r="J30" s="78" t="n">
        <v>0.68</v>
      </c>
      <c r="K30" s="79" t="n">
        <v>1</v>
      </c>
      <c r="L30" s="80" t="n">
        <v>0.2963787587689243</v>
      </c>
      <c r="M30" s="81" t="n">
        <v>-3286.080386718533</v>
      </c>
      <c r="N30" s="81" t="n">
        <v>-10592.50753570924</v>
      </c>
      <c r="O30" s="41" t="inlineStr">
        <is>
          <t>COHR</t>
        </is>
      </c>
      <c r="P30" s="41" t="inlineStr">
        <is>
          <t>LITE</t>
        </is>
      </c>
      <c r="Q30" s="41" t="inlineStr">
        <is>
          <t>AAOI</t>
        </is>
      </c>
      <c r="R30" s="41" t="inlineStr">
        <is>
          <t>CRDO</t>
        </is>
      </c>
      <c r="S30" s="41" t="inlineStr">
        <is>
          <t>POET</t>
        </is>
      </c>
      <c r="W30" s="6" t="inlineStr">
        <is>
          <t>○ 9/17 +1.26%，名次 34→22</t>
        </is>
      </c>
    </row>
    <row r="31">
      <c r="A31" s="68">
        <f>ROW()-8</f>
        <v>23.0</v>
      </c>
      <c r="B31" s="15" t="inlineStr">
        <is>
          <t>EDA與半導體IP</t>
        </is>
      </c>
      <c r="C31" s="69" t="inlineStr">
        <is>
          <t>EDA &amp; Semiconductor IP</t>
        </is>
      </c>
      <c r="D31" s="69" t="inlineStr">
        <is>
          <t>資訊科技 Information Technology</t>
        </is>
      </c>
      <c r="E31" s="70" t="n">
        <v>80</v>
      </c>
      <c r="F31" s="70" t="n">
        <v>74.54545454545455</v>
      </c>
      <c r="G31" s="17" t="n">
        <v>0.03200271794765467</v>
      </c>
      <c r="H31" s="17" t="n">
        <v>-0.003357767798877087</v>
      </c>
      <c r="I31" s="18" t="n">
        <v>1</v>
      </c>
      <c r="J31" s="18" t="n">
        <v>0.6</v>
      </c>
      <c r="K31" s="71" t="n">
        <v>1</v>
      </c>
      <c r="L31" s="72" t="n">
        <v>0.2785185021758563</v>
      </c>
      <c r="M31" s="73" t="n">
        <v>251.1909879505455</v>
      </c>
      <c r="N31" s="73" t="n">
        <v>-2638.668961998529</v>
      </c>
      <c r="O31" s="74" t="inlineStr">
        <is>
          <t>SNPS</t>
        </is>
      </c>
      <c r="P31" s="74" t="inlineStr">
        <is>
          <t>CDNS</t>
        </is>
      </c>
      <c r="Q31" s="74" t="inlineStr">
        <is>
          <t>ARM</t>
        </is>
      </c>
      <c r="R31" s="75" t="n"/>
      <c r="S31" s="75" t="n"/>
      <c r="T31" s="75" t="n"/>
      <c r="U31" s="75" t="n"/>
      <c r="V31" s="75" t="n"/>
      <c r="W31" s="16" t="inlineStr">
        <is>
          <t>★ 第③組：9/17 +3.20%、廣度 1.00，名次 37→23</t>
        </is>
      </c>
    </row>
    <row r="32">
      <c r="A32" s="76">
        <f>ROW()-8</f>
        <v>24.0</v>
      </c>
      <c r="B32" s="6" t="inlineStr">
        <is>
          <t>工業自動化與機器人</t>
        </is>
      </c>
      <c r="C32" s="9" t="inlineStr">
        <is>
          <t>Industrial Automation &amp; Robotics</t>
        </is>
      </c>
      <c r="D32" s="9" t="inlineStr">
        <is>
          <t>工業 Industrials</t>
        </is>
      </c>
      <c r="E32" s="77" t="n">
        <v>79.09090909090909</v>
      </c>
      <c r="F32" s="77" t="n">
        <v>48.18181818181818</v>
      </c>
      <c r="G32" s="11" t="n">
        <v>0.01660216148576013</v>
      </c>
      <c r="H32" s="11" t="n">
        <v>0.006990763712890091</v>
      </c>
      <c r="I32" s="78" t="n">
        <v>0.75</v>
      </c>
      <c r="J32" s="78" t="n">
        <v>0.75</v>
      </c>
      <c r="K32" s="79" t="n">
        <v>1</v>
      </c>
      <c r="L32" s="80" t="n">
        <v>-0.01941559335973567</v>
      </c>
      <c r="M32" s="81" t="n">
        <v>-603.1054965290278</v>
      </c>
      <c r="N32" s="81" t="n">
        <v>-2386.735244325596</v>
      </c>
      <c r="O32" s="41" t="inlineStr">
        <is>
          <t>ROK</t>
        </is>
      </c>
      <c r="P32" s="41" t="inlineStr">
        <is>
          <t>SYM</t>
        </is>
      </c>
      <c r="Q32" s="41" t="inlineStr">
        <is>
          <t>NDSN</t>
        </is>
      </c>
      <c r="R32" s="41" t="inlineStr">
        <is>
          <t>TER</t>
        </is>
      </c>
      <c r="W32" s="6" t="inlineStr"/>
    </row>
    <row r="33">
      <c r="A33" s="76">
        <f>ROW()-8</f>
        <v>25.0</v>
      </c>
      <c r="B33" s="6" t="inlineStr">
        <is>
          <t>銅與基本金屬</t>
        </is>
      </c>
      <c r="C33" s="9" t="inlineStr">
        <is>
          <t>Copper &amp; Base Metals</t>
        </is>
      </c>
      <c r="D33" s="9" t="inlineStr">
        <is>
          <t>原材料 Materials</t>
        </is>
      </c>
      <c r="E33" s="77" t="n">
        <v>78.18181818181819</v>
      </c>
      <c r="F33" s="77" t="n">
        <v>83.63636363636363</v>
      </c>
      <c r="G33" s="11" t="n">
        <v>0.02924950175771929</v>
      </c>
      <c r="H33" s="11" t="n">
        <v>-0.003296749378639996</v>
      </c>
      <c r="I33" s="78" t="n">
        <v>1</v>
      </c>
      <c r="J33" s="78" t="n">
        <v>0.5</v>
      </c>
      <c r="K33" s="79" t="n">
        <v>1</v>
      </c>
      <c r="L33" s="80" t="n">
        <v>0.4367994013398747</v>
      </c>
      <c r="M33" s="81" t="n">
        <v>-246.0451900875486</v>
      </c>
      <c r="N33" s="81" t="n">
        <v>61.49398453299257</v>
      </c>
      <c r="O33" s="41" t="inlineStr">
        <is>
          <t>FCX</t>
        </is>
      </c>
      <c r="P33" s="41" t="inlineStr">
        <is>
          <t>SCCO</t>
        </is>
      </c>
      <c r="Q33" s="41" t="inlineStr">
        <is>
          <t>TECK</t>
        </is>
      </c>
      <c r="R33" s="41" t="inlineStr">
        <is>
          <t>HBM</t>
        </is>
      </c>
      <c r="W33" s="6" t="inlineStr"/>
    </row>
    <row r="34">
      <c r="A34" s="76">
        <f>ROW()-8</f>
        <v>26.0</v>
      </c>
      <c r="B34" s="6" t="inlineStr">
        <is>
          <t>家庭與個人護理</t>
        </is>
      </c>
      <c r="C34" s="9" t="inlineStr">
        <is>
          <t>Household &amp; Personal Care</t>
        </is>
      </c>
      <c r="D34" s="9" t="inlineStr">
        <is>
          <t>必需消費 Consumer Staples</t>
        </is>
      </c>
      <c r="E34" s="77" t="n">
        <v>77.27272727272727</v>
      </c>
      <c r="F34" s="77" t="n">
        <v>44.54545454545455</v>
      </c>
      <c r="G34" s="11" t="n">
        <v>-0.002185393426073779</v>
      </c>
      <c r="H34" s="11" t="n">
        <v>0.002223629348275136</v>
      </c>
      <c r="I34" s="78" t="n">
        <v>0.4</v>
      </c>
      <c r="J34" s="78" t="n">
        <v>0.6</v>
      </c>
      <c r="K34" s="79" t="n">
        <v>1</v>
      </c>
      <c r="L34" s="80" t="n">
        <v>-0.01690443162383342</v>
      </c>
      <c r="M34" s="81" t="n">
        <v>698.4658584572728</v>
      </c>
      <c r="N34" s="81" t="n">
        <v>624.5292122846716</v>
      </c>
      <c r="O34" s="41" t="inlineStr">
        <is>
          <t>PG</t>
        </is>
      </c>
      <c r="P34" s="41" t="inlineStr">
        <is>
          <t>CL</t>
        </is>
      </c>
      <c r="Q34" s="41" t="inlineStr">
        <is>
          <t>KMB</t>
        </is>
      </c>
      <c r="R34" s="41" t="inlineStr">
        <is>
          <t>CHD</t>
        </is>
      </c>
      <c r="S34" s="41" t="inlineStr">
        <is>
          <t>EL</t>
        </is>
      </c>
      <c r="W34" s="6" t="inlineStr"/>
    </row>
    <row r="35">
      <c r="A35" s="76">
        <f>ROW()-8</f>
        <v>27.0</v>
      </c>
      <c r="B35" s="6" t="inlineStr">
        <is>
          <t>醫療器械</t>
        </is>
      </c>
      <c r="C35" s="9" t="inlineStr">
        <is>
          <t>Medical Devices</t>
        </is>
      </c>
      <c r="D35" s="9" t="inlineStr">
        <is>
          <t>醫療保健 Health Care</t>
        </is>
      </c>
      <c r="E35" s="77" t="n">
        <v>76.36363636363637</v>
      </c>
      <c r="F35" s="77" t="n">
        <v>28.18181818181818</v>
      </c>
      <c r="G35" s="11" t="n">
        <v>-0.003872536525224834</v>
      </c>
      <c r="H35" s="11" t="n">
        <v>0.02295939460599783</v>
      </c>
      <c r="I35" s="78" t="n">
        <v>0.2</v>
      </c>
      <c r="J35" s="78" t="n">
        <v>0.6</v>
      </c>
      <c r="K35" s="79" t="n">
        <v>0.9999999999999999</v>
      </c>
      <c r="L35" s="80" t="n">
        <v>-0.2015985751373159</v>
      </c>
      <c r="M35" s="81" t="n">
        <v>519.5691091345966</v>
      </c>
      <c r="N35" s="81" t="n">
        <v>-209.6940005343029</v>
      </c>
      <c r="O35" s="41" t="inlineStr">
        <is>
          <t>ABT</t>
        </is>
      </c>
      <c r="P35" s="41" t="inlineStr">
        <is>
          <t>MDT</t>
        </is>
      </c>
      <c r="Q35" s="41" t="inlineStr">
        <is>
          <t>SYK</t>
        </is>
      </c>
      <c r="R35" s="41" t="inlineStr">
        <is>
          <t>BSX</t>
        </is>
      </c>
      <c r="S35" s="41" t="inlineStr">
        <is>
          <t>ISRG</t>
        </is>
      </c>
      <c r="W35" s="6" t="inlineStr"/>
    </row>
    <row r="36">
      <c r="A36" s="76">
        <f>ROW()-8</f>
        <v>28.0</v>
      </c>
      <c r="B36" s="6" t="inlineStr">
        <is>
          <t>黃金與貴金屬礦</t>
        </is>
      </c>
      <c r="C36" s="9" t="inlineStr">
        <is>
          <t>Gold &amp; Precious Metals Miners</t>
        </is>
      </c>
      <c r="D36" s="9" t="inlineStr">
        <is>
          <t>原材料 Materials</t>
        </is>
      </c>
      <c r="E36" s="77" t="n">
        <v>75.45454545454545</v>
      </c>
      <c r="F36" s="77" t="n">
        <v>84.54545454545455</v>
      </c>
      <c r="G36" s="11" t="n">
        <v>0.02115367156833348</v>
      </c>
      <c r="H36" s="11" t="n">
        <v>-0.001223941957824048</v>
      </c>
      <c r="I36" s="78" t="n">
        <v>0.8333333333333334</v>
      </c>
      <c r="J36" s="78" t="n">
        <v>0.5333333333333333</v>
      </c>
      <c r="K36" s="79" t="n">
        <v>1</v>
      </c>
      <c r="L36" s="80" t="n">
        <v>0.2408641534941936</v>
      </c>
      <c r="M36" s="81" t="n">
        <v>-230.266660328715</v>
      </c>
      <c r="N36" s="81" t="n">
        <v>367.9238344361999</v>
      </c>
      <c r="O36" s="41" t="inlineStr">
        <is>
          <t>NEM</t>
        </is>
      </c>
      <c r="P36" s="41" t="inlineStr">
        <is>
          <t>GOLD</t>
        </is>
      </c>
      <c r="Q36" s="41" t="inlineStr">
        <is>
          <t>AEM</t>
        </is>
      </c>
      <c r="R36" s="41" t="inlineStr">
        <is>
          <t>AU</t>
        </is>
      </c>
      <c r="S36" s="41" t="inlineStr">
        <is>
          <t>KGC</t>
        </is>
      </c>
      <c r="T36" s="41" t="inlineStr">
        <is>
          <t>RGLD</t>
        </is>
      </c>
      <c r="W36" s="6" t="inlineStr"/>
    </row>
    <row r="37">
      <c r="A37" s="76">
        <f>ROW()-8</f>
        <v>29.0</v>
      </c>
      <c r="B37" s="6" t="inlineStr">
        <is>
          <t>辦公樓REIT</t>
        </is>
      </c>
      <c r="C37" s="9" t="inlineStr">
        <is>
          <t>Office REITs</t>
        </is>
      </c>
      <c r="D37" s="9" t="inlineStr">
        <is>
          <t>房地產 Real Estate</t>
        </is>
      </c>
      <c r="E37" s="77" t="n">
        <v>74.54545454545455</v>
      </c>
      <c r="F37" s="77" t="n">
        <v>36.36363636363637</v>
      </c>
      <c r="G37" s="11" t="n">
        <v>0.003234782743845865</v>
      </c>
      <c r="H37" s="11" t="n">
        <v>0.01057048857462117</v>
      </c>
      <c r="I37" s="78" t="n">
        <v>0.5</v>
      </c>
      <c r="J37" s="78" t="n">
        <v>0.6</v>
      </c>
      <c r="K37" s="79" t="n">
        <v>0.9999999999999999</v>
      </c>
      <c r="L37" s="80" t="n">
        <v>-0.1742111121172842</v>
      </c>
      <c r="M37" s="81" t="n">
        <v>-40.94091043490521</v>
      </c>
      <c r="N37" s="81" t="n">
        <v>-61.82206001425465</v>
      </c>
      <c r="O37" s="41" t="inlineStr">
        <is>
          <t>BXP</t>
        </is>
      </c>
      <c r="P37" s="41" t="inlineStr">
        <is>
          <t>VNO</t>
        </is>
      </c>
      <c r="Q37" s="41" t="inlineStr">
        <is>
          <t>SLG</t>
        </is>
      </c>
      <c r="R37" s="41" t="inlineStr">
        <is>
          <t>HIW</t>
        </is>
      </c>
      <c r="W37" s="6" t="inlineStr"/>
    </row>
    <row r="38">
      <c r="A38" s="76">
        <f>ROW()-8</f>
        <v>30.0</v>
      </c>
      <c r="B38" s="6" t="inlineStr">
        <is>
          <t>腫瘤與細胞治療</t>
        </is>
      </c>
      <c r="C38" s="9" t="inlineStr">
        <is>
          <t>Oncology &amp; Cell Therapy</t>
        </is>
      </c>
      <c r="D38" s="9" t="inlineStr">
        <is>
          <t>醫療保健 Health Care</t>
        </is>
      </c>
      <c r="E38" s="77" t="n">
        <v>73.63636363636363</v>
      </c>
      <c r="F38" s="77" t="n">
        <v>54.54545454545454</v>
      </c>
      <c r="G38" s="11" t="n">
        <v>0.01681572642532904</v>
      </c>
      <c r="H38" s="11" t="n">
        <v>0.01066196062819458</v>
      </c>
      <c r="I38" s="78" t="n">
        <v>0.875</v>
      </c>
      <c r="J38" s="78" t="n">
        <v>0.55</v>
      </c>
      <c r="K38" s="79" t="n">
        <v>1</v>
      </c>
      <c r="L38" s="80" t="n">
        <v>-0.06398148043816999</v>
      </c>
      <c r="M38" s="81" t="n">
        <v>-238.3280294103897</v>
      </c>
      <c r="N38" s="81" t="n">
        <v>-12.70220421271631</v>
      </c>
      <c r="O38" s="41" t="inlineStr">
        <is>
          <t>LEGN</t>
        </is>
      </c>
      <c r="P38" s="41" t="inlineStr">
        <is>
          <t>IOVA</t>
        </is>
      </c>
      <c r="Q38" s="41" t="inlineStr">
        <is>
          <t>ALLO</t>
        </is>
      </c>
      <c r="R38" s="41" t="inlineStr">
        <is>
          <t>ARVN</t>
        </is>
      </c>
      <c r="S38" s="41" t="inlineStr">
        <is>
          <t>RVMD</t>
        </is>
      </c>
      <c r="T38" s="41" t="inlineStr">
        <is>
          <t>NKTX</t>
        </is>
      </c>
      <c r="U38" s="41" t="inlineStr">
        <is>
          <t>FATE</t>
        </is>
      </c>
      <c r="V38" s="41" t="inlineStr">
        <is>
          <t>CRVS</t>
        </is>
      </c>
      <c r="W38" s="6" t="inlineStr"/>
    </row>
    <row r="39">
      <c r="A39" s="76">
        <f>ROW()-8</f>
        <v>31.0</v>
      </c>
      <c r="B39" s="6" t="inlineStr">
        <is>
          <t>雲端基建/IaaS/Neocloud</t>
        </is>
      </c>
      <c r="C39" s="9" t="inlineStr">
        <is>
          <t>Cloud Infrastructure &amp; Neoclouds</t>
        </is>
      </c>
      <c r="D39" s="9" t="inlineStr">
        <is>
          <t>資訊科技 Information Technology</t>
        </is>
      </c>
      <c r="E39" s="77" t="n">
        <v>72.72727272727273</v>
      </c>
      <c r="F39" s="77" t="n">
        <v>79.09090909090909</v>
      </c>
      <c r="G39" s="11" t="n">
        <v>0.009933566900388113</v>
      </c>
      <c r="H39" s="11" t="n">
        <v>-0.01898910934987852</v>
      </c>
      <c r="I39" s="78" t="n">
        <v>0.8</v>
      </c>
      <c r="J39" s="78" t="n">
        <v>0.44</v>
      </c>
      <c r="K39" s="79" t="n">
        <v>1</v>
      </c>
      <c r="L39" s="80" t="n">
        <v>-0.005987403838528316</v>
      </c>
      <c r="M39" s="81" t="n">
        <v>4079.046708454457</v>
      </c>
      <c r="N39" s="81" t="n">
        <v>-7209.167907862721</v>
      </c>
      <c r="O39" s="41" t="inlineStr">
        <is>
          <t>MSFT</t>
        </is>
      </c>
      <c r="P39" s="41" t="inlineStr">
        <is>
          <t>AMZN</t>
        </is>
      </c>
      <c r="Q39" s="41" t="inlineStr">
        <is>
          <t>GOOGL</t>
        </is>
      </c>
      <c r="R39" s="41" t="inlineStr">
        <is>
          <t>NBIS</t>
        </is>
      </c>
      <c r="S39" s="41" t="inlineStr">
        <is>
          <t>CRWV</t>
        </is>
      </c>
      <c r="W39" s="6" t="inlineStr"/>
    </row>
    <row r="40">
      <c r="A40" s="76">
        <f>ROW()-8</f>
        <v>32.0</v>
      </c>
      <c r="B40" s="6" t="inlineStr">
        <is>
          <t>基因治療與基因編輯</t>
        </is>
      </c>
      <c r="C40" s="9" t="inlineStr">
        <is>
          <t>Gene Editing &amp; Gene Therapy</t>
        </is>
      </c>
      <c r="D40" s="9" t="inlineStr">
        <is>
          <t>醫療保健 Health Care</t>
        </is>
      </c>
      <c r="E40" s="77" t="n">
        <v>71.81818181818181</v>
      </c>
      <c r="F40" s="77" t="n">
        <v>92.72727272727272</v>
      </c>
      <c r="G40" s="11" t="n">
        <v>0.07808307549131281</v>
      </c>
      <c r="H40" s="11" t="n">
        <v>0.04561083273877764</v>
      </c>
      <c r="I40" s="78" t="n">
        <v>1</v>
      </c>
      <c r="J40" s="78" t="n">
        <v>0.6</v>
      </c>
      <c r="K40" s="79" t="n">
        <v>1</v>
      </c>
      <c r="L40" s="80" t="n">
        <v>0.6430922125612668</v>
      </c>
      <c r="M40" s="81" t="n">
        <v>6.904617128264824</v>
      </c>
      <c r="N40" s="81" t="n">
        <v>-264.9191387887087</v>
      </c>
      <c r="O40" s="41" t="inlineStr">
        <is>
          <t>CRSP</t>
        </is>
      </c>
      <c r="P40" s="41" t="inlineStr">
        <is>
          <t>NTLA</t>
        </is>
      </c>
      <c r="Q40" s="41" t="inlineStr">
        <is>
          <t>BEAM</t>
        </is>
      </c>
      <c r="W40" s="6" t="inlineStr"/>
    </row>
    <row r="41">
      <c r="A41" s="76">
        <f>ROW()-8</f>
        <v>33.0</v>
      </c>
      <c r="B41" s="6" t="inlineStr">
        <is>
          <t>航空公司</t>
        </is>
      </c>
      <c r="C41" s="9" t="inlineStr">
        <is>
          <t>Airlines</t>
        </is>
      </c>
      <c r="D41" s="9" t="inlineStr">
        <is>
          <t>工業 Industrials</t>
        </is>
      </c>
      <c r="E41" s="77" t="n">
        <v>70.90909090909091</v>
      </c>
      <c r="F41" s="77" t="n">
        <v>69.09090909090909</v>
      </c>
      <c r="G41" s="11" t="n">
        <v>0.0202855523707573</v>
      </c>
      <c r="H41" s="11" t="n">
        <v>0.01872303917456031</v>
      </c>
      <c r="I41" s="78" t="n">
        <v>1</v>
      </c>
      <c r="J41" s="78" t="n">
        <v>0.6</v>
      </c>
      <c r="K41" s="79" t="n">
        <v>1</v>
      </c>
      <c r="L41" s="80" t="n">
        <v>-0.1639126055382643</v>
      </c>
      <c r="M41" s="81" t="n">
        <v>-818.7510023058043</v>
      </c>
      <c r="N41" s="81" t="n">
        <v>-1799.414763504789</v>
      </c>
      <c r="O41" s="41" t="inlineStr">
        <is>
          <t>DAL</t>
        </is>
      </c>
      <c r="P41" s="41" t="inlineStr">
        <is>
          <t>UAL</t>
        </is>
      </c>
      <c r="Q41" s="41" t="inlineStr">
        <is>
          <t>AAL</t>
        </is>
      </c>
      <c r="R41" s="41" t="inlineStr">
        <is>
          <t>LUV</t>
        </is>
      </c>
      <c r="W41" s="6" t="inlineStr"/>
    </row>
    <row r="42">
      <c r="A42" s="76">
        <f>ROW()-8</f>
        <v>34.0</v>
      </c>
      <c r="B42" s="6" t="inlineStr">
        <is>
          <t>壽險與年金</t>
        </is>
      </c>
      <c r="C42" s="9" t="inlineStr">
        <is>
          <t>Life Insurance &amp; Annuities</t>
        </is>
      </c>
      <c r="D42" s="9" t="inlineStr">
        <is>
          <t>金融 Financials</t>
        </is>
      </c>
      <c r="E42" s="77" t="n">
        <v>70</v>
      </c>
      <c r="F42" s="77" t="n">
        <v>33.63636363636363</v>
      </c>
      <c r="G42" s="11" t="n">
        <v>0.001244553714716967</v>
      </c>
      <c r="H42" s="11" t="n">
        <v>0.003498696296807768</v>
      </c>
      <c r="I42" s="78" t="n">
        <v>0.4</v>
      </c>
      <c r="J42" s="78" t="n">
        <v>0.64</v>
      </c>
      <c r="K42" s="79" t="n">
        <v>0.9999999999999999</v>
      </c>
      <c r="L42" s="80" t="n">
        <v>-0.2624365385637439</v>
      </c>
      <c r="M42" s="81" t="n">
        <v>-233.3009472527973</v>
      </c>
      <c r="N42" s="81" t="n">
        <v>701.790647257832</v>
      </c>
      <c r="O42" s="41" t="inlineStr">
        <is>
          <t>MET</t>
        </is>
      </c>
      <c r="P42" s="41" t="inlineStr">
        <is>
          <t>PRU</t>
        </is>
      </c>
      <c r="Q42" s="41" t="inlineStr">
        <is>
          <t>AFL</t>
        </is>
      </c>
      <c r="R42" s="41" t="inlineStr">
        <is>
          <t>LNC</t>
        </is>
      </c>
      <c r="S42" s="41" t="inlineStr">
        <is>
          <t>EQH</t>
        </is>
      </c>
      <c r="W42" s="6" t="inlineStr"/>
    </row>
    <row r="43">
      <c r="A43" s="76">
        <f>ROW()-8</f>
        <v>35.0</v>
      </c>
      <c r="B43" s="6" t="inlineStr">
        <is>
          <t>電商平台</t>
        </is>
      </c>
      <c r="C43" s="9" t="inlineStr">
        <is>
          <t>E-commerce Platforms</t>
        </is>
      </c>
      <c r="D43" s="9" t="inlineStr">
        <is>
          <t>非必需消費 Consumer Discretionary</t>
        </is>
      </c>
      <c r="E43" s="77" t="n">
        <v>69.09090909090909</v>
      </c>
      <c r="F43" s="77" t="n">
        <v>55.45454545454545</v>
      </c>
      <c r="G43" s="11" t="n">
        <v>0.007763632112727836</v>
      </c>
      <c r="H43" s="11" t="n">
        <v>0.02683066100396747</v>
      </c>
      <c r="I43" s="78" t="n">
        <v>0.4</v>
      </c>
      <c r="J43" s="78" t="n">
        <v>0.52</v>
      </c>
      <c r="K43" s="79" t="n">
        <v>1</v>
      </c>
      <c r="L43" s="80" t="n">
        <v>-0.1741432105233988</v>
      </c>
      <c r="M43" s="81" t="n">
        <v>768.4751186215191</v>
      </c>
      <c r="N43" s="81" t="n">
        <v>-3144.928224157108</v>
      </c>
      <c r="O43" s="41" t="inlineStr">
        <is>
          <t>AMZN</t>
        </is>
      </c>
      <c r="P43" s="41" t="inlineStr">
        <is>
          <t>SHOP</t>
        </is>
      </c>
      <c r="Q43" s="41" t="inlineStr">
        <is>
          <t>EBAY</t>
        </is>
      </c>
      <c r="R43" s="41" t="inlineStr">
        <is>
          <t>CHWY</t>
        </is>
      </c>
      <c r="S43" s="41" t="inlineStr">
        <is>
          <t>W</t>
        </is>
      </c>
      <c r="W43" s="6" t="inlineStr"/>
    </row>
    <row r="44">
      <c r="A44" s="76">
        <f>ROW()-8</f>
        <v>36.0</v>
      </c>
      <c r="B44" s="6" t="inlineStr">
        <is>
          <t>人力與商業服務</t>
        </is>
      </c>
      <c r="C44" s="9" t="inlineStr">
        <is>
          <t>Staffing &amp; Business Services</t>
        </is>
      </c>
      <c r="D44" s="9" t="inlineStr">
        <is>
          <t>工業 Industrials</t>
        </is>
      </c>
      <c r="E44" s="77" t="n">
        <v>68.18181818181817</v>
      </c>
      <c r="F44" s="77" t="n">
        <v>35.45454545454545</v>
      </c>
      <c r="G44" s="11" t="n">
        <v>-0.002526098352774131</v>
      </c>
      <c r="H44" s="11" t="n">
        <v>0.007104081177482957</v>
      </c>
      <c r="I44" s="78" t="n">
        <v>0.2</v>
      </c>
      <c r="J44" s="78" t="n">
        <v>0.48</v>
      </c>
      <c r="K44" s="79" t="n">
        <v>1</v>
      </c>
      <c r="L44" s="80" t="n">
        <v>-0.3269205166496157</v>
      </c>
      <c r="M44" s="81" t="n">
        <v>466.1960598859785</v>
      </c>
      <c r="N44" s="81" t="n">
        <v>909.386513648284</v>
      </c>
      <c r="O44" s="41" t="inlineStr">
        <is>
          <t>ADP</t>
        </is>
      </c>
      <c r="P44" s="41" t="inlineStr">
        <is>
          <t>PAYX</t>
        </is>
      </c>
      <c r="Q44" s="41" t="inlineStr">
        <is>
          <t>MAN</t>
        </is>
      </c>
      <c r="R44" s="41" t="inlineStr">
        <is>
          <t>RHI</t>
        </is>
      </c>
      <c r="S44" s="41" t="inlineStr">
        <is>
          <t>CTAS</t>
        </is>
      </c>
      <c r="W44" s="6" t="inlineStr"/>
    </row>
    <row r="45">
      <c r="A45" s="76">
        <f>ROW()-8</f>
        <v>37.0</v>
      </c>
      <c r="B45" s="6" t="inlineStr">
        <is>
          <t>基礎化工與化肥</t>
        </is>
      </c>
      <c r="C45" s="9" t="inlineStr">
        <is>
          <t>Commodity Chemicals &amp; Fertilizers</t>
        </is>
      </c>
      <c r="D45" s="9" t="inlineStr">
        <is>
          <t>原材料 Materials</t>
        </is>
      </c>
      <c r="E45" s="77" t="n">
        <v>67.27272727272727</v>
      </c>
      <c r="F45" s="77" t="n">
        <v>56.36363636363636</v>
      </c>
      <c r="G45" s="11" t="n">
        <v>0.004889624206300481</v>
      </c>
      <c r="H45" s="11" t="n">
        <v>-0.002405074830600373</v>
      </c>
      <c r="I45" s="78" t="n">
        <v>0.6</v>
      </c>
      <c r="J45" s="78" t="n">
        <v>0.36</v>
      </c>
      <c r="K45" s="79" t="n">
        <v>1</v>
      </c>
      <c r="L45" s="80" t="n">
        <v>0.4487852248270786</v>
      </c>
      <c r="M45" s="81" t="n">
        <v>278.0843545581826</v>
      </c>
      <c r="N45" s="81" t="n">
        <v>-27.39979916863573</v>
      </c>
      <c r="O45" s="41" t="inlineStr">
        <is>
          <t>DOW</t>
        </is>
      </c>
      <c r="P45" s="41" t="inlineStr">
        <is>
          <t>LYB</t>
        </is>
      </c>
      <c r="Q45" s="41" t="inlineStr">
        <is>
          <t>CF</t>
        </is>
      </c>
      <c r="R45" s="41" t="inlineStr">
        <is>
          <t>MOS</t>
        </is>
      </c>
      <c r="S45" s="41" t="inlineStr">
        <is>
          <t>NTR</t>
        </is>
      </c>
      <c r="W45" s="6" t="inlineStr"/>
    </row>
    <row r="46">
      <c r="A46" s="76">
        <f>ROW()-8</f>
        <v>38.0</v>
      </c>
      <c r="B46" s="6" t="inlineStr">
        <is>
          <t>機械與重工</t>
        </is>
      </c>
      <c r="C46" s="9" t="inlineStr">
        <is>
          <t>Machinery &amp; Heavy Equipment</t>
        </is>
      </c>
      <c r="D46" s="9" t="inlineStr">
        <is>
          <t>工業 Industrials</t>
        </is>
      </c>
      <c r="E46" s="77" t="n">
        <v>66.36363636363637</v>
      </c>
      <c r="F46" s="77" t="n">
        <v>52.72727272727272</v>
      </c>
      <c r="G46" s="11" t="n">
        <v>0.004925191573908361</v>
      </c>
      <c r="H46" s="11" t="n">
        <v>-0.01295490178387149</v>
      </c>
      <c r="I46" s="78" t="n">
        <v>0.4</v>
      </c>
      <c r="J46" s="78" t="n">
        <v>0.52</v>
      </c>
      <c r="K46" s="79" t="n">
        <v>1</v>
      </c>
      <c r="L46" s="80" t="n">
        <v>0.09829050802102972</v>
      </c>
      <c r="M46" s="81" t="n">
        <v>-1525.674450766515</v>
      </c>
      <c r="N46" s="81" t="n">
        <v>-2923.501957834085</v>
      </c>
      <c r="O46" s="41" t="inlineStr">
        <is>
          <t>CAT</t>
        </is>
      </c>
      <c r="P46" s="41" t="inlineStr">
        <is>
          <t>DE</t>
        </is>
      </c>
      <c r="Q46" s="41" t="inlineStr">
        <is>
          <t>CMI</t>
        </is>
      </c>
      <c r="R46" s="41" t="inlineStr">
        <is>
          <t>PCAR</t>
        </is>
      </c>
      <c r="S46" s="41" t="inlineStr">
        <is>
          <t>HON</t>
        </is>
      </c>
      <c r="W46" s="6" t="inlineStr"/>
    </row>
    <row r="47">
      <c r="A47" s="76">
        <f>ROW()-8</f>
        <v>39.0</v>
      </c>
      <c r="B47" s="6" t="inlineStr">
        <is>
          <t>水務公用</t>
        </is>
      </c>
      <c r="C47" s="9" t="inlineStr">
        <is>
          <t>Water Utilities</t>
        </is>
      </c>
      <c r="D47" s="9" t="inlineStr">
        <is>
          <t>公用事業 Utilities</t>
        </is>
      </c>
      <c r="E47" s="77" t="n">
        <v>65.45454545454545</v>
      </c>
      <c r="F47" s="77" t="n">
        <v>59.09090909090909</v>
      </c>
      <c r="G47" s="11" t="n">
        <v>-0.0002850667133710072</v>
      </c>
      <c r="H47" s="11" t="n">
        <v>-0.008943076601652611</v>
      </c>
      <c r="I47" s="78" t="n">
        <v>0.4</v>
      </c>
      <c r="J47" s="78" t="n">
        <v>0.5600000000000001</v>
      </c>
      <c r="K47" s="79" t="n">
        <v>1</v>
      </c>
      <c r="L47" s="80" t="n">
        <v>0.365719259679135</v>
      </c>
      <c r="M47" s="81" t="n">
        <v>268.1339491445847</v>
      </c>
      <c r="N47" s="81" t="n">
        <v>-87.36270193993259</v>
      </c>
      <c r="O47" s="41" t="inlineStr">
        <is>
          <t>AWK</t>
        </is>
      </c>
      <c r="P47" s="41" t="inlineStr">
        <is>
          <t>WTRG</t>
        </is>
      </c>
      <c r="Q47" s="41" t="inlineStr">
        <is>
          <t>CWT</t>
        </is>
      </c>
      <c r="R47" s="41" t="inlineStr">
        <is>
          <t>AWR</t>
        </is>
      </c>
      <c r="S47" s="41" t="inlineStr">
        <is>
          <t>HTO</t>
        </is>
      </c>
      <c r="W47" s="6" t="inlineStr"/>
    </row>
    <row r="48">
      <c r="A48" s="76">
        <f>ROW()-8</f>
        <v>40.0</v>
      </c>
      <c r="B48" s="6" t="inlineStr">
        <is>
          <t>通訊塔REIT</t>
        </is>
      </c>
      <c r="C48" s="9" t="inlineStr">
        <is>
          <t>Tower REITs</t>
        </is>
      </c>
      <c r="D48" s="9" t="inlineStr">
        <is>
          <t>房地產 Real Estate</t>
        </is>
      </c>
      <c r="E48" s="77" t="n">
        <v>64.54545454545455</v>
      </c>
      <c r="F48" s="77" t="n">
        <v>40</v>
      </c>
      <c r="G48" s="11" t="n">
        <v>0.002974474088727234</v>
      </c>
      <c r="H48" s="11" t="n">
        <v>0.004026267096254532</v>
      </c>
      <c r="I48" s="78" t="n">
        <v>0.6666666666666666</v>
      </c>
      <c r="J48" s="78" t="n">
        <v>0.5333333333333333</v>
      </c>
      <c r="K48" s="79" t="n">
        <v>1</v>
      </c>
      <c r="L48" s="80" t="n">
        <v>-0.3968948150789808</v>
      </c>
      <c r="M48" s="81" t="n">
        <v>-97.48025238101357</v>
      </c>
      <c r="N48" s="81" t="n">
        <v>28.96413488085097</v>
      </c>
      <c r="O48" s="41" t="inlineStr">
        <is>
          <t>AMT</t>
        </is>
      </c>
      <c r="P48" s="41" t="inlineStr">
        <is>
          <t>CCI</t>
        </is>
      </c>
      <c r="Q48" s="41" t="inlineStr">
        <is>
          <t>SBAC</t>
        </is>
      </c>
      <c r="W48" s="6" t="inlineStr"/>
    </row>
    <row r="49">
      <c r="A49" s="76">
        <f>ROW()-8</f>
        <v>41.0</v>
      </c>
      <c r="B49" s="6" t="inlineStr">
        <is>
          <t>服裝與奢侈品</t>
        </is>
      </c>
      <c r="C49" s="9" t="inlineStr">
        <is>
          <t>Apparel &amp; Luxury Goods</t>
        </is>
      </c>
      <c r="D49" s="9" t="inlineStr">
        <is>
          <t>非必需消費 Consumer Discretionary</t>
        </is>
      </c>
      <c r="E49" s="77" t="n">
        <v>63.63636363636363</v>
      </c>
      <c r="F49" s="77" t="n">
        <v>80.90909090909091</v>
      </c>
      <c r="G49" s="11" t="n">
        <v>0.01427362078040346</v>
      </c>
      <c r="H49" s="11" t="n">
        <v>0.006226396270603729</v>
      </c>
      <c r="I49" s="78" t="n">
        <v>0.8</v>
      </c>
      <c r="J49" s="78" t="n">
        <v>0.64</v>
      </c>
      <c r="K49" s="79" t="n">
        <v>1</v>
      </c>
      <c r="L49" s="80" t="n">
        <v>-0.05469756239334831</v>
      </c>
      <c r="M49" s="81" t="n">
        <v>742.683762954069</v>
      </c>
      <c r="N49" s="81" t="n">
        <v>-2005.168928865965</v>
      </c>
      <c r="O49" s="41" t="inlineStr">
        <is>
          <t>NKE</t>
        </is>
      </c>
      <c r="P49" s="41" t="inlineStr">
        <is>
          <t>LULU</t>
        </is>
      </c>
      <c r="Q49" s="41" t="inlineStr">
        <is>
          <t>RL</t>
        </is>
      </c>
      <c r="R49" s="41" t="inlineStr">
        <is>
          <t>DECK</t>
        </is>
      </c>
      <c r="S49" s="41" t="inlineStr">
        <is>
          <t>ONON</t>
        </is>
      </c>
      <c r="W49" s="6" t="inlineStr"/>
    </row>
    <row r="50">
      <c r="A50" s="76">
        <f>ROW()-8</f>
        <v>42.0</v>
      </c>
      <c r="B50" s="5" t="inlineStr">
        <is>
          <t>記憶體/HBM</t>
        </is>
      </c>
      <c r="C50" s="9" t="inlineStr">
        <is>
          <t>Memory &amp; HBM</t>
        </is>
      </c>
      <c r="D50" s="9" t="inlineStr">
        <is>
          <t>資訊科技 Information Technology</t>
        </is>
      </c>
      <c r="E50" s="77" t="n">
        <v>62.72727272727273</v>
      </c>
      <c r="F50" s="77" t="n">
        <v>93.63636363636364</v>
      </c>
      <c r="G50" s="11" t="n">
        <v>0.03808174884683307</v>
      </c>
      <c r="H50" s="11" t="n">
        <v>-0.05033643230704654</v>
      </c>
      <c r="I50" s="78" t="n">
        <v>1</v>
      </c>
      <c r="J50" s="78" t="n">
        <v>0.4</v>
      </c>
      <c r="K50" s="79" t="n">
        <v>1</v>
      </c>
      <c r="L50" s="80" t="n">
        <v>0.7532379336971736</v>
      </c>
      <c r="M50" s="81" t="n">
        <v>17629.40887945325</v>
      </c>
      <c r="N50" s="81" t="n">
        <v>-15406.26501659209</v>
      </c>
      <c r="O50" s="41" t="inlineStr">
        <is>
          <t>MU</t>
        </is>
      </c>
      <c r="P50" s="41" t="inlineStr">
        <is>
          <t>WDC</t>
        </is>
      </c>
      <c r="Q50" s="41" t="inlineStr">
        <is>
          <t>SNDK</t>
        </is>
      </c>
      <c r="R50" s="41" t="inlineStr">
        <is>
          <t>STX</t>
        </is>
      </c>
      <c r="W50" s="6" t="inlineStr">
        <is>
          <t>○ 9/17 +3.81%，名次 99→42，斜率 +0.75</t>
        </is>
      </c>
    </row>
    <row r="51">
      <c r="A51" s="76">
        <f>ROW()-8</f>
        <v>43.0</v>
      </c>
      <c r="B51" s="6" t="inlineStr">
        <is>
          <t>IT服務與系統整合</t>
        </is>
      </c>
      <c r="C51" s="9" t="inlineStr">
        <is>
          <t>IT Services &amp; Consulting</t>
        </is>
      </c>
      <c r="D51" s="9" t="inlineStr">
        <is>
          <t>資訊科技 Information Technology</t>
        </is>
      </c>
      <c r="E51" s="77" t="n">
        <v>61.81818181818181</v>
      </c>
      <c r="F51" s="77" t="n">
        <v>31.81818181818182</v>
      </c>
      <c r="G51" s="11" t="n">
        <v>0.0009649860126174526</v>
      </c>
      <c r="H51" s="11" t="n">
        <v>0.03703350191535915</v>
      </c>
      <c r="I51" s="78" t="n">
        <v>0.2</v>
      </c>
      <c r="J51" s="78" t="n">
        <v>0.52</v>
      </c>
      <c r="K51" s="79" t="n">
        <v>1</v>
      </c>
      <c r="L51" s="80" t="n">
        <v>-0.7775663418625318</v>
      </c>
      <c r="M51" s="81" t="n">
        <v>-926.709079329587</v>
      </c>
      <c r="N51" s="81" t="n">
        <v>1016.758456038645</v>
      </c>
      <c r="O51" s="41" t="inlineStr">
        <is>
          <t>ACN</t>
        </is>
      </c>
      <c r="P51" s="41" t="inlineStr">
        <is>
          <t>IBM</t>
        </is>
      </c>
      <c r="Q51" s="41" t="inlineStr">
        <is>
          <t>INFY</t>
        </is>
      </c>
      <c r="R51" s="41" t="inlineStr">
        <is>
          <t>CTSH</t>
        </is>
      </c>
      <c r="S51" s="41" t="inlineStr">
        <is>
          <t>EPAM</t>
        </is>
      </c>
      <c r="W51" s="6" t="inlineStr"/>
    </row>
    <row r="52">
      <c r="A52" s="76">
        <f>ROW()-8</f>
        <v>44.0</v>
      </c>
      <c r="B52" s="5" t="inlineStr">
        <is>
          <t>頁岩E&amp;P勘探生產</t>
        </is>
      </c>
      <c r="C52" s="9" t="inlineStr">
        <is>
          <t>Shale E&amp;P</t>
        </is>
      </c>
      <c r="D52" s="9" t="inlineStr">
        <is>
          <t>能源 Energy</t>
        </is>
      </c>
      <c r="E52" s="77" t="n">
        <v>60.90909090909091</v>
      </c>
      <c r="F52" s="77" t="n">
        <v>68.18181818181817</v>
      </c>
      <c r="G52" s="11" t="n">
        <v>0.004825595209955136</v>
      </c>
      <c r="H52" s="11" t="n">
        <v>-0.02809765740066539</v>
      </c>
      <c r="I52" s="78" t="n">
        <v>0.6</v>
      </c>
      <c r="J52" s="78" t="n">
        <v>0.48</v>
      </c>
      <c r="K52" s="79" t="n">
        <v>1</v>
      </c>
      <c r="L52" s="80" t="n">
        <v>-0.1623842340087565</v>
      </c>
      <c r="M52" s="81" t="n">
        <v>1940.529841248362</v>
      </c>
      <c r="N52" s="81" t="n">
        <v>967.7146481312001</v>
      </c>
      <c r="O52" s="41" t="inlineStr">
        <is>
          <t>COP</t>
        </is>
      </c>
      <c r="P52" s="41" t="inlineStr">
        <is>
          <t>EOG</t>
        </is>
      </c>
      <c r="Q52" s="41" t="inlineStr">
        <is>
          <t>FANG</t>
        </is>
      </c>
      <c r="R52" s="41" t="inlineStr">
        <is>
          <t>DVN</t>
        </is>
      </c>
      <c r="S52" s="41" t="inlineStr">
        <is>
          <t>OXY</t>
        </is>
      </c>
      <c r="W52" s="6" t="inlineStr">
        <is>
          <t>○ 9/17 +0.48%，名次 45→44；油價回落後已無 R11 時的擠擁多倉</t>
        </is>
      </c>
    </row>
    <row r="53">
      <c r="A53" s="91">
        <f>ROW()-8</f>
        <v>45.0</v>
      </c>
      <c r="B53" s="22" t="inlineStr">
        <is>
          <t>綜合油氣巨頭</t>
        </is>
      </c>
      <c r="C53" s="92" t="inlineStr">
        <is>
          <t>Integrated Oil &amp; Gas</t>
        </is>
      </c>
      <c r="D53" s="92" t="inlineStr">
        <is>
          <t>能源 Energy</t>
        </is>
      </c>
      <c r="E53" s="93" t="n">
        <v>60</v>
      </c>
      <c r="F53" s="93" t="n">
        <v>57.27272727272727</v>
      </c>
      <c r="G53" s="24" t="n">
        <v>-7.733214381705489e-05</v>
      </c>
      <c r="H53" s="24" t="n">
        <v>-0.008719900498343702</v>
      </c>
      <c r="I53" s="25" t="n">
        <v>0</v>
      </c>
      <c r="J53" s="25" t="n">
        <v>0.3</v>
      </c>
      <c r="K53" s="94" t="n">
        <v>1</v>
      </c>
      <c r="L53" s="95" t="n">
        <v>-0.0820212730902639</v>
      </c>
      <c r="M53" s="96" t="n">
        <v>3346.477254478899</v>
      </c>
      <c r="N53" s="96" t="n">
        <v>2682.914397312762</v>
      </c>
      <c r="O53" s="60" t="inlineStr">
        <is>
          <t>XOM</t>
        </is>
      </c>
      <c r="P53" s="60" t="inlineStr">
        <is>
          <t>CVX</t>
        </is>
      </c>
      <c r="Q53" s="97" t="n"/>
      <c r="R53" s="97" t="n"/>
      <c r="S53" s="97" t="n"/>
      <c r="T53" s="97" t="n"/>
      <c r="U53" s="97" t="n"/>
      <c r="V53" s="97" t="n"/>
      <c r="W53" s="23" t="inlineStr">
        <is>
          <t>✕ A 類迴避：9/17 −0.01%，反彈日零反應</t>
        </is>
      </c>
    </row>
    <row r="54">
      <c r="A54" s="76">
        <f>ROW()-8</f>
        <v>46.0</v>
      </c>
      <c r="B54" s="6" t="inlineStr">
        <is>
          <t>食品加工</t>
        </is>
      </c>
      <c r="C54" s="9" t="inlineStr">
        <is>
          <t>Packaged Food</t>
        </is>
      </c>
      <c r="D54" s="9" t="inlineStr">
        <is>
          <t>必需消費 Consumer Staples</t>
        </is>
      </c>
      <c r="E54" s="77" t="n">
        <v>59.09090909090909</v>
      </c>
      <c r="F54" s="77" t="n">
        <v>14.54545454545454</v>
      </c>
      <c r="G54" s="11" t="n">
        <v>-0.004201664749482859</v>
      </c>
      <c r="H54" s="11" t="n">
        <v>0.008220458366619665</v>
      </c>
      <c r="I54" s="78" t="n">
        <v>0</v>
      </c>
      <c r="J54" s="78" t="n">
        <v>0.55</v>
      </c>
      <c r="K54" s="79" t="n">
        <v>1</v>
      </c>
      <c r="L54" s="80" t="n">
        <v>-0.07924096093501687</v>
      </c>
      <c r="M54" s="81" t="n">
        <v>-613.1527723380337</v>
      </c>
      <c r="N54" s="81" t="n">
        <v>-294.5612322581335</v>
      </c>
      <c r="O54" s="41" t="inlineStr">
        <is>
          <t>GIS</t>
        </is>
      </c>
      <c r="P54" s="41" t="inlineStr">
        <is>
          <t>KHC</t>
        </is>
      </c>
      <c r="Q54" s="41" t="inlineStr">
        <is>
          <t>HSY</t>
        </is>
      </c>
      <c r="R54" s="41" t="inlineStr">
        <is>
          <t>CAG</t>
        </is>
      </c>
      <c r="W54" s="6" t="inlineStr"/>
    </row>
    <row r="55">
      <c r="A55" s="76">
        <f>ROW()-8</f>
        <v>47.0</v>
      </c>
      <c r="B55" s="6" t="inlineStr">
        <is>
          <t>類比/功率半導體</t>
        </is>
      </c>
      <c r="C55" s="9" t="inlineStr">
        <is>
          <t>Analog &amp; Power Semiconductors</t>
        </is>
      </c>
      <c r="D55" s="9" t="inlineStr">
        <is>
          <t>資訊科技 Information Technology</t>
        </is>
      </c>
      <c r="E55" s="77" t="n">
        <v>58.18181818181818</v>
      </c>
      <c r="F55" s="77" t="n">
        <v>49.09090909090909</v>
      </c>
      <c r="G55" s="11" t="n">
        <v>0.0157919943500493</v>
      </c>
      <c r="H55" s="11" t="n">
        <v>-0.004329827949537512</v>
      </c>
      <c r="I55" s="78" t="n">
        <v>0.6</v>
      </c>
      <c r="J55" s="78" t="n">
        <v>0.6</v>
      </c>
      <c r="K55" s="79" t="n">
        <v>1</v>
      </c>
      <c r="L55" s="80" t="n">
        <v>-0.356698382970624</v>
      </c>
      <c r="M55" s="81" t="n">
        <v>-997.8873466072407</v>
      </c>
      <c r="N55" s="81" t="n">
        <v>-4731.814208004936</v>
      </c>
      <c r="O55" s="41" t="inlineStr">
        <is>
          <t>TXN</t>
        </is>
      </c>
      <c r="P55" s="41" t="inlineStr">
        <is>
          <t>ADI</t>
        </is>
      </c>
      <c r="Q55" s="41" t="inlineStr">
        <is>
          <t>ON</t>
        </is>
      </c>
      <c r="R55" s="41" t="inlineStr">
        <is>
          <t>MPWR</t>
        </is>
      </c>
      <c r="S55" s="41" t="inlineStr">
        <is>
          <t>NXPI</t>
        </is>
      </c>
      <c r="W55" s="6" t="inlineStr"/>
    </row>
    <row r="56">
      <c r="A56" s="76">
        <f>ROW()-8</f>
        <v>48.0</v>
      </c>
      <c r="B56" s="6" t="inlineStr">
        <is>
          <t>大賣場與超巿</t>
        </is>
      </c>
      <c r="C56" s="9" t="inlineStr">
        <is>
          <t>Hypermarkets &amp; Grocery</t>
        </is>
      </c>
      <c r="D56" s="9" t="inlineStr">
        <is>
          <t>必需消費 Consumer Staples</t>
        </is>
      </c>
      <c r="E56" s="77" t="n">
        <v>57.27272727272727</v>
      </c>
      <c r="F56" s="77" t="n">
        <v>27.27272727272727</v>
      </c>
      <c r="G56" s="11" t="n">
        <v>-0.001877675794067857</v>
      </c>
      <c r="H56" s="11" t="n">
        <v>0.03611157801027631</v>
      </c>
      <c r="I56" s="78" t="n">
        <v>0.2</v>
      </c>
      <c r="J56" s="78" t="n">
        <v>0.52</v>
      </c>
      <c r="K56" s="79" t="n">
        <v>1</v>
      </c>
      <c r="L56" s="80" t="n">
        <v>-0.5014861112709841</v>
      </c>
      <c r="M56" s="81" t="n">
        <v>139.1411707982247</v>
      </c>
      <c r="N56" s="81" t="n">
        <v>-1368.625674586225</v>
      </c>
      <c r="O56" s="41" t="inlineStr">
        <is>
          <t>WMT</t>
        </is>
      </c>
      <c r="P56" s="41" t="inlineStr">
        <is>
          <t>COST</t>
        </is>
      </c>
      <c r="Q56" s="41" t="inlineStr">
        <is>
          <t>KR</t>
        </is>
      </c>
      <c r="R56" s="41" t="inlineStr">
        <is>
          <t>BJ</t>
        </is>
      </c>
      <c r="S56" s="41" t="inlineStr">
        <is>
          <t>ACI</t>
        </is>
      </c>
      <c r="W56" s="6" t="inlineStr"/>
    </row>
    <row r="57">
      <c r="A57" s="76">
        <f>ROW()-8</f>
        <v>49.0</v>
      </c>
      <c r="B57" s="6" t="inlineStr">
        <is>
          <t>特殊型REIT（自存倉/賭場/廣告牌）</t>
        </is>
      </c>
      <c r="C57" s="9" t="inlineStr">
        <is>
          <t>Specialty REITs</t>
        </is>
      </c>
      <c r="D57" s="9" t="inlineStr">
        <is>
          <t>房地產 Real Estate</t>
        </is>
      </c>
      <c r="E57" s="77" t="n">
        <v>56.36363636363636</v>
      </c>
      <c r="F57" s="77" t="n">
        <v>47.27272727272727</v>
      </c>
      <c r="G57" s="11" t="n">
        <v>0.002255526350787363</v>
      </c>
      <c r="H57" s="11" t="n">
        <v>-0.002560697048920368</v>
      </c>
      <c r="I57" s="78" t="n">
        <v>0.4</v>
      </c>
      <c r="J57" s="78" t="n">
        <v>0.44</v>
      </c>
      <c r="K57" s="79" t="n">
        <v>1</v>
      </c>
      <c r="L57" s="80" t="n">
        <v>-0.1387721045174503</v>
      </c>
      <c r="M57" s="81" t="n">
        <v>39.24824026478378</v>
      </c>
      <c r="N57" s="81" t="n">
        <v>-636.55354682733</v>
      </c>
      <c r="O57" s="41" t="inlineStr">
        <is>
          <t>PSA</t>
        </is>
      </c>
      <c r="P57" s="41" t="inlineStr">
        <is>
          <t>EXR</t>
        </is>
      </c>
      <c r="Q57" s="41" t="inlineStr">
        <is>
          <t>VICI</t>
        </is>
      </c>
      <c r="R57" s="41" t="inlineStr">
        <is>
          <t>GLPI</t>
        </is>
      </c>
      <c r="S57" s="41" t="inlineStr">
        <is>
          <t>LAMR</t>
        </is>
      </c>
      <c r="W57" s="6" t="inlineStr"/>
    </row>
    <row r="58">
      <c r="A58" s="76">
        <f>ROW()-8</f>
        <v>50.0</v>
      </c>
      <c r="B58" s="6" t="inlineStr">
        <is>
          <t>企業軟體/SaaS</t>
        </is>
      </c>
      <c r="C58" s="9" t="inlineStr">
        <is>
          <t>Enterprise Software &amp; SaaS</t>
        </is>
      </c>
      <c r="D58" s="9" t="inlineStr">
        <is>
          <t>資訊科技 Information Technology</t>
        </is>
      </c>
      <c r="E58" s="77" t="n">
        <v>55.45454545454545</v>
      </c>
      <c r="F58" s="77" t="n">
        <v>25.45454545454545</v>
      </c>
      <c r="G58" s="11" t="n">
        <v>0.008332657697499246</v>
      </c>
      <c r="H58" s="11" t="n">
        <v>0.04409403233674714</v>
      </c>
      <c r="I58" s="78" t="n">
        <v>0.6</v>
      </c>
      <c r="J58" s="78" t="n">
        <v>0.52</v>
      </c>
      <c r="K58" s="79" t="n">
        <v>1</v>
      </c>
      <c r="L58" s="80" t="n">
        <v>-0.5826754707756118</v>
      </c>
      <c r="M58" s="81" t="n">
        <v>704.5001549687668</v>
      </c>
      <c r="N58" s="81" t="n">
        <v>3028.001826344623</v>
      </c>
      <c r="O58" s="41" t="inlineStr">
        <is>
          <t>CRM</t>
        </is>
      </c>
      <c r="P58" s="41" t="inlineStr">
        <is>
          <t>NOW</t>
        </is>
      </c>
      <c r="Q58" s="41" t="inlineStr">
        <is>
          <t>WDAY</t>
        </is>
      </c>
      <c r="R58" s="41" t="inlineStr">
        <is>
          <t>ADBE</t>
        </is>
      </c>
      <c r="S58" s="41" t="inlineStr">
        <is>
          <t>TEAM</t>
        </is>
      </c>
      <c r="W58" s="6" t="inlineStr"/>
    </row>
    <row r="59">
      <c r="A59" s="76">
        <f>ROW()-8</f>
        <v>51.0</v>
      </c>
      <c r="B59" s="5" t="inlineStr">
        <is>
          <t>數位資產金融與礦業轉HPC</t>
        </is>
      </c>
      <c r="C59" s="9" t="inlineStr">
        <is>
          <t>Digital Assets, Crypto Financials &amp; BTC Miners→HPC</t>
        </is>
      </c>
      <c r="D59" s="9" t="inlineStr">
        <is>
          <t>金融 Financials</t>
        </is>
      </c>
      <c r="E59" s="77" t="n">
        <v>54.54545454545454</v>
      </c>
      <c r="F59" s="77" t="n">
        <v>95.45454545454545</v>
      </c>
      <c r="G59" s="11" t="n">
        <v>0.0530337610082291</v>
      </c>
      <c r="H59" s="11" t="n">
        <v>-0.0007092077526160701</v>
      </c>
      <c r="I59" s="78" t="n">
        <v>1</v>
      </c>
      <c r="J59" s="78" t="n">
        <v>0.4666666666666667</v>
      </c>
      <c r="K59" s="79" t="n">
        <v>1</v>
      </c>
      <c r="L59" s="80" t="n">
        <v>0.1535807248963067</v>
      </c>
      <c r="M59" s="81" t="n">
        <v>3247.551924090963</v>
      </c>
      <c r="N59" s="81" t="n">
        <v>-2179.504376664795</v>
      </c>
      <c r="O59" s="41" t="inlineStr">
        <is>
          <t>COIN</t>
        </is>
      </c>
      <c r="P59" s="41" t="inlineStr">
        <is>
          <t>HOOD</t>
        </is>
      </c>
      <c r="Q59" s="41" t="inlineStr">
        <is>
          <t>CRCL</t>
        </is>
      </c>
      <c r="R59" s="41" t="inlineStr">
        <is>
          <t>MARA</t>
        </is>
      </c>
      <c r="S59" s="41" t="inlineStr">
        <is>
          <t>RIOT</t>
        </is>
      </c>
      <c r="T59" s="41" t="inlineStr">
        <is>
          <t>IREN</t>
        </is>
      </c>
      <c r="W59" s="6" t="inlineStr">
        <is>
          <t>△ B 類改中性：9/17 +5.30%、廣度 1.00，名次 104→51</t>
        </is>
      </c>
    </row>
    <row r="60">
      <c r="A60" s="76">
        <f>ROW()-8</f>
        <v>52.0</v>
      </c>
      <c r="B60" s="6" t="inlineStr">
        <is>
          <t>中游與管道</t>
        </is>
      </c>
      <c r="C60" s="9" t="inlineStr">
        <is>
          <t>Midstream &amp; Pipelines</t>
        </is>
      </c>
      <c r="D60" s="9" t="inlineStr">
        <is>
          <t>能源 Energy</t>
        </is>
      </c>
      <c r="E60" s="77" t="n">
        <v>53.63636363636364</v>
      </c>
      <c r="F60" s="77" t="n">
        <v>73.63636363636363</v>
      </c>
      <c r="G60" s="11" t="n">
        <v>0.008852831347239177</v>
      </c>
      <c r="H60" s="11" t="n">
        <v>-0.01632458044910923</v>
      </c>
      <c r="I60" s="78" t="n">
        <v>0.8</v>
      </c>
      <c r="J60" s="78" t="n">
        <v>0.44</v>
      </c>
      <c r="K60" s="79" t="n">
        <v>1</v>
      </c>
      <c r="L60" s="80" t="n">
        <v>0.2483250563636869</v>
      </c>
      <c r="M60" s="81" t="n">
        <v>489.6256951646269</v>
      </c>
      <c r="N60" s="81" t="n">
        <v>-1274.529682850612</v>
      </c>
      <c r="O60" s="41" t="inlineStr">
        <is>
          <t>KMI</t>
        </is>
      </c>
      <c r="P60" s="41" t="inlineStr">
        <is>
          <t>WMB</t>
        </is>
      </c>
      <c r="Q60" s="41" t="inlineStr">
        <is>
          <t>ET</t>
        </is>
      </c>
      <c r="R60" s="41" t="inlineStr">
        <is>
          <t>EPD</t>
        </is>
      </c>
      <c r="S60" s="41" t="inlineStr">
        <is>
          <t>OKE</t>
        </is>
      </c>
      <c r="W60" s="6" t="inlineStr"/>
    </row>
    <row r="61">
      <c r="A61" s="76">
        <f>ROW()-8</f>
        <v>53.0</v>
      </c>
      <c r="B61" s="6" t="inlineStr">
        <is>
          <t>酒精飲品</t>
        </is>
      </c>
      <c r="C61" s="9" t="inlineStr">
        <is>
          <t>Alcoholic Beverages</t>
        </is>
      </c>
      <c r="D61" s="9" t="inlineStr">
        <is>
          <t>必需消費 Consumer Staples</t>
        </is>
      </c>
      <c r="E61" s="77" t="n">
        <v>52.72727272727272</v>
      </c>
      <c r="F61" s="77" t="n">
        <v>32.72727272727273</v>
      </c>
      <c r="G61" s="11" t="n">
        <v>0.005644451772277848</v>
      </c>
      <c r="H61" s="11" t="n">
        <v>0.002256776583382747</v>
      </c>
      <c r="I61" s="78" t="n">
        <v>0.25</v>
      </c>
      <c r="J61" s="78" t="n">
        <v>0.55</v>
      </c>
      <c r="K61" s="79" t="n">
        <v>1</v>
      </c>
      <c r="L61" s="80" t="n">
        <v>-0.02837553756670104</v>
      </c>
      <c r="M61" s="81" t="n">
        <v>-104.5087349893766</v>
      </c>
      <c r="N61" s="81" t="n">
        <v>-505.8420910987297</v>
      </c>
      <c r="O61" s="41" t="inlineStr">
        <is>
          <t>STZ</t>
        </is>
      </c>
      <c r="P61" s="41" t="inlineStr">
        <is>
          <t>BF.B</t>
        </is>
      </c>
      <c r="Q61" s="41" t="inlineStr">
        <is>
          <t>TAP</t>
        </is>
      </c>
      <c r="R61" s="41" t="inlineStr">
        <is>
          <t>DEO</t>
        </is>
      </c>
      <c r="W61" s="6" t="inlineStr"/>
    </row>
    <row r="62">
      <c r="A62" s="76">
        <f>ROW()-8</f>
        <v>54.0</v>
      </c>
      <c r="B62" s="5" t="inlineStr">
        <is>
          <t>小型模組化核能SMR</t>
        </is>
      </c>
      <c r="C62" s="9" t="inlineStr">
        <is>
          <t>Small Modular Reactors</t>
        </is>
      </c>
      <c r="D62" s="9" t="inlineStr">
        <is>
          <t>公用事業 Utilities</t>
        </is>
      </c>
      <c r="E62" s="77" t="n">
        <v>51.81818181818182</v>
      </c>
      <c r="F62" s="77" t="n">
        <v>99.09090909090909</v>
      </c>
      <c r="G62" s="11" t="n">
        <v>0.08012660738688482</v>
      </c>
      <c r="H62" s="11" t="n">
        <v>-0.05889103015756425</v>
      </c>
      <c r="I62" s="78" t="n">
        <v>1</v>
      </c>
      <c r="J62" s="78" t="n">
        <v>0.3</v>
      </c>
      <c r="K62" s="79" t="n">
        <v>1</v>
      </c>
      <c r="L62" s="80" t="n">
        <v>0.9931868604469012</v>
      </c>
      <c r="M62" s="81" t="n">
        <v>314.5361619251011</v>
      </c>
      <c r="N62" s="81" t="n">
        <v>-1185.975217345912</v>
      </c>
      <c r="O62" s="41" t="inlineStr">
        <is>
          <t>OKLO</t>
        </is>
      </c>
      <c r="P62" s="41" t="inlineStr">
        <is>
          <t>SMR</t>
        </is>
      </c>
      <c r="Q62" s="41" t="inlineStr">
        <is>
          <t>NNE</t>
        </is>
      </c>
      <c r="R62" s="41" t="inlineStr">
        <is>
          <t>ASPI</t>
        </is>
      </c>
      <c r="W62" s="6" t="inlineStr">
        <is>
          <t>△ B 類改中性：9/17 +8.01%、廣度 1.00，名次 108→54，斜率 +0.99（全表最高）</t>
        </is>
      </c>
    </row>
    <row r="63">
      <c r="A63" s="76">
        <f>ROW()-8</f>
        <v>55.0</v>
      </c>
      <c r="B63" s="6" t="inlineStr">
        <is>
          <t>數位醫療與遠距醫療</t>
        </is>
      </c>
      <c r="C63" s="9" t="inlineStr">
        <is>
          <t>Digital Health &amp; Telehealth</t>
        </is>
      </c>
      <c r="D63" s="9" t="inlineStr">
        <is>
          <t>醫療保健 Health Care</t>
        </is>
      </c>
      <c r="E63" s="77" t="n">
        <v>50.90909090909091</v>
      </c>
      <c r="F63" s="77" t="n">
        <v>19.09090909090909</v>
      </c>
      <c r="G63" s="11" t="n">
        <v>-0.003480770019300167</v>
      </c>
      <c r="H63" s="11" t="n">
        <v>0.02618323975179782</v>
      </c>
      <c r="I63" s="78" t="n">
        <v>0.25</v>
      </c>
      <c r="J63" s="78" t="n">
        <v>0.6</v>
      </c>
      <c r="K63" s="79" t="n">
        <v>1</v>
      </c>
      <c r="L63" s="80" t="n">
        <v>-0.3251283275296368</v>
      </c>
      <c r="M63" s="81" t="n">
        <v>-285.6082424396778</v>
      </c>
      <c r="N63" s="81" t="n">
        <v>-397.1338322547231</v>
      </c>
      <c r="O63" s="41" t="inlineStr">
        <is>
          <t>HIMS</t>
        </is>
      </c>
      <c r="P63" s="41" t="inlineStr">
        <is>
          <t>TDOC</t>
        </is>
      </c>
      <c r="Q63" s="41" t="inlineStr">
        <is>
          <t>DOCS</t>
        </is>
      </c>
      <c r="R63" s="41" t="inlineStr">
        <is>
          <t>OSCR</t>
        </is>
      </c>
      <c r="W63" s="6" t="inlineStr"/>
    </row>
    <row r="64">
      <c r="A64" s="76">
        <f>ROW()-8</f>
        <v>56.0</v>
      </c>
      <c r="B64" s="6" t="inlineStr">
        <is>
          <t>受監管電力公用</t>
        </is>
      </c>
      <c r="C64" s="9" t="inlineStr">
        <is>
          <t>Regulated Electric Utilities</t>
        </is>
      </c>
      <c r="D64" s="9" t="inlineStr">
        <is>
          <t>公用事業 Utilities</t>
        </is>
      </c>
      <c r="E64" s="77" t="n">
        <v>50</v>
      </c>
      <c r="F64" s="77" t="n">
        <v>80</v>
      </c>
      <c r="G64" s="11" t="n">
        <v>0.008937720061319565</v>
      </c>
      <c r="H64" s="11" t="n">
        <v>-0.01380485018933431</v>
      </c>
      <c r="I64" s="78" t="n">
        <v>1</v>
      </c>
      <c r="J64" s="78" t="n">
        <v>0.4</v>
      </c>
      <c r="K64" s="79" t="n">
        <v>1</v>
      </c>
      <c r="L64" s="80" t="n">
        <v>0.5274908981630083</v>
      </c>
      <c r="M64" s="81" t="n">
        <v>1562.963005764649</v>
      </c>
      <c r="N64" s="81" t="n">
        <v>-3614.617160034925</v>
      </c>
      <c r="O64" s="41" t="inlineStr">
        <is>
          <t>DUK</t>
        </is>
      </c>
      <c r="P64" s="41" t="inlineStr">
        <is>
          <t>SO</t>
        </is>
      </c>
      <c r="Q64" s="41" t="inlineStr">
        <is>
          <t>AEP</t>
        </is>
      </c>
      <c r="R64" s="41" t="inlineStr">
        <is>
          <t>D</t>
        </is>
      </c>
      <c r="S64" s="41" t="inlineStr">
        <is>
          <t>XEL</t>
        </is>
      </c>
      <c r="W64" s="6" t="inlineStr"/>
    </row>
    <row r="65">
      <c r="A65" s="76">
        <f>ROW()-8</f>
        <v>57.0</v>
      </c>
      <c r="B65" s="6" t="inlineStr">
        <is>
          <t>非酒精飲品</t>
        </is>
      </c>
      <c r="C65" s="9" t="inlineStr">
        <is>
          <t>Beverages (Non-Alcoholic)</t>
        </is>
      </c>
      <c r="D65" s="9" t="inlineStr">
        <is>
          <t>必需消費 Consumer Staples</t>
        </is>
      </c>
      <c r="E65" s="77" t="n">
        <v>49.09090909090909</v>
      </c>
      <c r="F65" s="77" t="n">
        <v>29.09090909090909</v>
      </c>
      <c r="G65" s="11" t="n">
        <v>-0.002486391268994215</v>
      </c>
      <c r="H65" s="11" t="n">
        <v>0.01533116139597257</v>
      </c>
      <c r="I65" s="78" t="n">
        <v>0.2</v>
      </c>
      <c r="J65" s="78" t="n">
        <v>0.6</v>
      </c>
      <c r="K65" s="79" t="n">
        <v>1</v>
      </c>
      <c r="L65" s="80" t="n">
        <v>-0.08213957812930427</v>
      </c>
      <c r="M65" s="81" t="n">
        <v>-192.797560024109</v>
      </c>
      <c r="N65" s="81" t="n">
        <v>-3091.373171416433</v>
      </c>
      <c r="O65" s="41" t="inlineStr">
        <is>
          <t>KO</t>
        </is>
      </c>
      <c r="P65" s="41" t="inlineStr">
        <is>
          <t>PEP</t>
        </is>
      </c>
      <c r="Q65" s="41" t="inlineStr">
        <is>
          <t>MNST</t>
        </is>
      </c>
      <c r="R65" s="41" t="inlineStr">
        <is>
          <t>CELH</t>
        </is>
      </c>
      <c r="S65" s="41" t="inlineStr">
        <is>
          <t>KDP</t>
        </is>
      </c>
      <c r="W65" s="6" t="inlineStr"/>
    </row>
    <row r="66">
      <c r="A66" s="76">
        <f>ROW()-8</f>
        <v>58.0</v>
      </c>
      <c r="B66" s="6" t="inlineStr">
        <is>
          <t>支付與收單</t>
        </is>
      </c>
      <c r="C66" s="9" t="inlineStr">
        <is>
          <t>Payments &amp; Merchant Acquiring</t>
        </is>
      </c>
      <c r="D66" s="9" t="inlineStr">
        <is>
          <t>金融 Financials</t>
        </is>
      </c>
      <c r="E66" s="77" t="n">
        <v>48.18181818181818</v>
      </c>
      <c r="F66" s="77" t="n">
        <v>20</v>
      </c>
      <c r="G66" s="11" t="n">
        <v>-0.006044073640900894</v>
      </c>
      <c r="H66" s="11" t="n">
        <v>-0.01448437219121523</v>
      </c>
      <c r="I66" s="78" t="n">
        <v>0.2</v>
      </c>
      <c r="J66" s="78" t="n">
        <v>0.52</v>
      </c>
      <c r="K66" s="79" t="n">
        <v>1</v>
      </c>
      <c r="L66" s="80" t="n">
        <v>-0.3872089528517598</v>
      </c>
      <c r="M66" s="81" t="n">
        <v>-1942.057704346133</v>
      </c>
      <c r="N66" s="81" t="n">
        <v>-279.7053112027688</v>
      </c>
      <c r="O66" s="41" t="inlineStr">
        <is>
          <t>V</t>
        </is>
      </c>
      <c r="P66" s="41" t="inlineStr">
        <is>
          <t>MA</t>
        </is>
      </c>
      <c r="Q66" s="41" t="inlineStr">
        <is>
          <t>PYPL</t>
        </is>
      </c>
      <c r="R66" s="41" t="inlineStr">
        <is>
          <t>GPN</t>
        </is>
      </c>
      <c r="S66" s="41" t="inlineStr">
        <is>
          <t>TOST</t>
        </is>
      </c>
      <c r="W66" s="6" t="inlineStr"/>
    </row>
    <row r="67">
      <c r="A67" s="76">
        <f>ROW()-8</f>
        <v>59.0</v>
      </c>
      <c r="B67" s="6" t="inlineStr">
        <is>
          <t>白銀礦</t>
        </is>
      </c>
      <c r="C67" s="9" t="inlineStr">
        <is>
          <t>Silver Miners</t>
        </is>
      </c>
      <c r="D67" s="9" t="inlineStr">
        <is>
          <t>原材料 Materials</t>
        </is>
      </c>
      <c r="E67" s="77" t="n">
        <v>47.27272727272727</v>
      </c>
      <c r="F67" s="77" t="n">
        <v>94.54545454545455</v>
      </c>
      <c r="G67" s="11" t="n">
        <v>0.05334523612159703</v>
      </c>
      <c r="H67" s="11" t="n">
        <v>-0.03075533822941467</v>
      </c>
      <c r="I67" s="78" t="n">
        <v>1</v>
      </c>
      <c r="J67" s="78" t="n">
        <v>0.35</v>
      </c>
      <c r="K67" s="79" t="n">
        <v>1</v>
      </c>
      <c r="L67" s="80" t="n">
        <v>0.4887443877069089</v>
      </c>
      <c r="M67" s="81" t="n">
        <v>471.8981313801567</v>
      </c>
      <c r="N67" s="81" t="n">
        <v>-645.6100949129999</v>
      </c>
      <c r="O67" s="41" t="inlineStr">
        <is>
          <t>PAAS</t>
        </is>
      </c>
      <c r="P67" s="41" t="inlineStr">
        <is>
          <t>HL</t>
        </is>
      </c>
      <c r="Q67" s="41" t="inlineStr">
        <is>
          <t>AG</t>
        </is>
      </c>
      <c r="R67" s="41" t="inlineStr">
        <is>
          <t>CDE</t>
        </is>
      </c>
      <c r="W67" s="6" t="inlineStr"/>
    </row>
    <row r="68">
      <c r="A68" s="76">
        <f>ROW()-8</f>
        <v>60.0</v>
      </c>
      <c r="B68" s="6" t="inlineStr">
        <is>
          <t>包裝與建材</t>
        </is>
      </c>
      <c r="C68" s="9" t="inlineStr">
        <is>
          <t>Packaging &amp; Construction Materials</t>
        </is>
      </c>
      <c r="D68" s="9" t="inlineStr">
        <is>
          <t>原材料 Materials</t>
        </is>
      </c>
      <c r="E68" s="77" t="n">
        <v>46.36363636363636</v>
      </c>
      <c r="F68" s="77" t="n">
        <v>45.45454545454545</v>
      </c>
      <c r="G68" s="11" t="n">
        <v>0.01155054781626394</v>
      </c>
      <c r="H68" s="11" t="n">
        <v>-0.0001479914178372788</v>
      </c>
      <c r="I68" s="78" t="n">
        <v>0.4</v>
      </c>
      <c r="J68" s="78" t="n">
        <v>0.44</v>
      </c>
      <c r="K68" s="79" t="n">
        <v>1</v>
      </c>
      <c r="L68" s="80" t="n">
        <v>-0.1495232561873285</v>
      </c>
      <c r="M68" s="81" t="n">
        <v>-118.7657463152562</v>
      </c>
      <c r="N68" s="81" t="n">
        <v>-995.9038316820287</v>
      </c>
      <c r="O68" s="41" t="inlineStr">
        <is>
          <t>VMC</t>
        </is>
      </c>
      <c r="P68" s="41" t="inlineStr">
        <is>
          <t>MLM</t>
        </is>
      </c>
      <c r="Q68" s="41" t="inlineStr">
        <is>
          <t>CRH</t>
        </is>
      </c>
      <c r="R68" s="41" t="inlineStr">
        <is>
          <t>IP</t>
        </is>
      </c>
      <c r="S68" s="41" t="inlineStr">
        <is>
          <t>PKG</t>
        </is>
      </c>
      <c r="W68" s="6" t="inlineStr"/>
    </row>
    <row r="69">
      <c r="A69" s="76">
        <f>ROW()-8</f>
        <v>61.0</v>
      </c>
      <c r="B69" s="6" t="inlineStr">
        <is>
          <t>特種化工</t>
        </is>
      </c>
      <c r="C69" s="9" t="inlineStr">
        <is>
          <t>Specialty Chemicals</t>
        </is>
      </c>
      <c r="D69" s="9" t="inlineStr">
        <is>
          <t>原材料 Materials</t>
        </is>
      </c>
      <c r="E69" s="77" t="n">
        <v>45.45454545454545</v>
      </c>
      <c r="F69" s="77" t="n">
        <v>22.72727272727273</v>
      </c>
      <c r="G69" s="11" t="n">
        <v>0.005994558314528398</v>
      </c>
      <c r="H69" s="11" t="n">
        <v>-0.01420635520058733</v>
      </c>
      <c r="I69" s="78" t="n">
        <v>0.2</v>
      </c>
      <c r="J69" s="78" t="n">
        <v>0.44</v>
      </c>
      <c r="K69" s="79" t="n">
        <v>1</v>
      </c>
      <c r="L69" s="80" t="n">
        <v>-0.2756005137632294</v>
      </c>
      <c r="M69" s="81" t="n">
        <v>-977.3447632770557</v>
      </c>
      <c r="N69" s="81" t="n">
        <v>-589.6600423920391</v>
      </c>
      <c r="O69" s="41" t="inlineStr">
        <is>
          <t>LIN</t>
        </is>
      </c>
      <c r="P69" s="41" t="inlineStr">
        <is>
          <t>APD</t>
        </is>
      </c>
      <c r="Q69" s="41" t="inlineStr">
        <is>
          <t>SHW</t>
        </is>
      </c>
      <c r="R69" s="41" t="inlineStr">
        <is>
          <t>ECL</t>
        </is>
      </c>
      <c r="S69" s="41" t="inlineStr">
        <is>
          <t>ALB</t>
        </is>
      </c>
      <c r="W69" s="6" t="inlineStr"/>
    </row>
    <row r="70">
      <c r="A70" s="76">
        <f>ROW()-8</f>
        <v>62.0</v>
      </c>
      <c r="B70" s="6" t="inlineStr">
        <is>
          <t>專門零售</t>
        </is>
      </c>
      <c r="C70" s="9" t="inlineStr">
        <is>
          <t>Specialty Retail</t>
        </is>
      </c>
      <c r="D70" s="9" t="inlineStr">
        <is>
          <t>非必需消費 Consumer Discretionary</t>
        </is>
      </c>
      <c r="E70" s="77" t="n">
        <v>44.54545454545455</v>
      </c>
      <c r="F70" s="77" t="n">
        <v>60</v>
      </c>
      <c r="G70" s="11" t="n">
        <v>0.01490262214694149</v>
      </c>
      <c r="H70" s="11" t="n">
        <v>0.01376499730713565</v>
      </c>
      <c r="I70" s="78" t="n">
        <v>0.6</v>
      </c>
      <c r="J70" s="78" t="n">
        <v>0.44</v>
      </c>
      <c r="K70" s="79" t="n">
        <v>1</v>
      </c>
      <c r="L70" s="80" t="n">
        <v>-0.05373942284007376</v>
      </c>
      <c r="M70" s="81" t="n">
        <v>-519.318259674915</v>
      </c>
      <c r="N70" s="81" t="n">
        <v>-6326.842730578113</v>
      </c>
      <c r="O70" s="41" t="inlineStr">
        <is>
          <t>HD</t>
        </is>
      </c>
      <c r="P70" s="41" t="inlineStr">
        <is>
          <t>LOW</t>
        </is>
      </c>
      <c r="Q70" s="41" t="inlineStr">
        <is>
          <t>TJX</t>
        </is>
      </c>
      <c r="R70" s="41" t="inlineStr">
        <is>
          <t>ROST</t>
        </is>
      </c>
      <c r="S70" s="41" t="inlineStr">
        <is>
          <t>BBY</t>
        </is>
      </c>
      <c r="W70" s="6" t="inlineStr"/>
    </row>
    <row r="71">
      <c r="A71" s="76">
        <f>ROW()-8</f>
        <v>63.0</v>
      </c>
      <c r="B71" s="6" t="inlineStr">
        <is>
          <t>煙草與尼古丁</t>
        </is>
      </c>
      <c r="C71" s="9" t="inlineStr">
        <is>
          <t>Tobacco &amp; Nicotine</t>
        </is>
      </c>
      <c r="D71" s="9" t="inlineStr">
        <is>
          <t>必需消費 Consumer Staples</t>
        </is>
      </c>
      <c r="E71" s="77" t="n">
        <v>43.63636363636363</v>
      </c>
      <c r="F71" s="77" t="n">
        <v>16.36363636363636</v>
      </c>
      <c r="G71" s="11" t="n">
        <v>-0.01107623417674031</v>
      </c>
      <c r="H71" s="11" t="n">
        <v>-0.00987788459737704</v>
      </c>
      <c r="I71" s="78" t="n">
        <v>0</v>
      </c>
      <c r="J71" s="78" t="n">
        <v>0.4666666666666667</v>
      </c>
      <c r="K71" s="79" t="n">
        <v>1</v>
      </c>
      <c r="L71" s="80" t="n">
        <v>-0.1854784282053299</v>
      </c>
      <c r="M71" s="81" t="n">
        <v>120.2424825779319</v>
      </c>
      <c r="N71" s="81" t="n">
        <v>-234.3237033669648</v>
      </c>
      <c r="O71" s="41" t="inlineStr">
        <is>
          <t>PM</t>
        </is>
      </c>
      <c r="P71" s="41" t="inlineStr">
        <is>
          <t>MO</t>
        </is>
      </c>
      <c r="Q71" s="41" t="inlineStr">
        <is>
          <t>TPB</t>
        </is>
      </c>
      <c r="W71" s="6" t="inlineStr"/>
    </row>
    <row r="72">
      <c r="A72" s="76">
        <f>ROW()-8</f>
        <v>64.0</v>
      </c>
      <c r="B72" s="6" t="inlineStr">
        <is>
          <t>半導體設備</t>
        </is>
      </c>
      <c r="C72" s="9" t="inlineStr">
        <is>
          <t>Semiconductor Equipment</t>
        </is>
      </c>
      <c r="D72" s="9" t="inlineStr">
        <is>
          <t>資訊科技 Information Technology</t>
        </is>
      </c>
      <c r="E72" s="77" t="n">
        <v>42.72727272727273</v>
      </c>
      <c r="F72" s="77" t="n">
        <v>51.81818181818182</v>
      </c>
      <c r="G72" s="11" t="n">
        <v>0.01330635107945892</v>
      </c>
      <c r="H72" s="11" t="n">
        <v>-0.06052138280510322</v>
      </c>
      <c r="I72" s="78" t="n">
        <v>0.8</v>
      </c>
      <c r="J72" s="78" t="n">
        <v>0.5600000000000001</v>
      </c>
      <c r="K72" s="79" t="n">
        <v>1</v>
      </c>
      <c r="L72" s="80" t="n">
        <v>0.1900564862245656</v>
      </c>
      <c r="M72" s="81" t="n">
        <v>-3716.70187454841</v>
      </c>
      <c r="N72" s="81" t="n">
        <v>-20944.32391025616</v>
      </c>
      <c r="O72" s="41" t="inlineStr">
        <is>
          <t>AMAT</t>
        </is>
      </c>
      <c r="P72" s="41" t="inlineStr">
        <is>
          <t>LRCX</t>
        </is>
      </c>
      <c r="Q72" s="41" t="inlineStr">
        <is>
          <t>KLAC</t>
        </is>
      </c>
      <c r="R72" s="41" t="inlineStr">
        <is>
          <t>ASML</t>
        </is>
      </c>
      <c r="S72" s="41" t="inlineStr">
        <is>
          <t>TER</t>
        </is>
      </c>
      <c r="W72" s="6" t="inlineStr"/>
    </row>
    <row r="73">
      <c r="A73" s="76">
        <f>ROW()-8</f>
        <v>65.0</v>
      </c>
      <c r="B73" s="6" t="inlineStr">
        <is>
          <t>GLP-1減重與代謝</t>
        </is>
      </c>
      <c r="C73" s="9" t="inlineStr">
        <is>
          <t>GLP-1 &amp; Metabolic</t>
        </is>
      </c>
      <c r="D73" s="9" t="inlineStr">
        <is>
          <t>醫療保健 Health Care</t>
        </is>
      </c>
      <c r="E73" s="77" t="n">
        <v>41.81818181818181</v>
      </c>
      <c r="F73" s="77" t="n">
        <v>78.18181818181819</v>
      </c>
      <c r="G73" s="11" t="n">
        <v>0.01117162085695672</v>
      </c>
      <c r="H73" s="11" t="n">
        <v>-0.02345596331971567</v>
      </c>
      <c r="I73" s="78" t="n">
        <v>0.5</v>
      </c>
      <c r="J73" s="78" t="n">
        <v>0.4</v>
      </c>
      <c r="K73" s="79" t="n">
        <v>1</v>
      </c>
      <c r="L73" s="80" t="n">
        <v>0.3564040741529257</v>
      </c>
      <c r="M73" s="81" t="n">
        <v>1157.654531824177</v>
      </c>
      <c r="N73" s="81" t="n">
        <v>-4077.420634412382</v>
      </c>
      <c r="O73" s="41" t="inlineStr">
        <is>
          <t>LLY</t>
        </is>
      </c>
      <c r="P73" s="41" t="inlineStr">
        <is>
          <t>NVO</t>
        </is>
      </c>
      <c r="Q73" s="41" t="inlineStr">
        <is>
          <t>VKTX</t>
        </is>
      </c>
      <c r="R73" s="41" t="inlineStr">
        <is>
          <t>ALT</t>
        </is>
      </c>
      <c r="W73" s="6" t="inlineStr"/>
    </row>
    <row r="74">
      <c r="A74" s="76">
        <f>ROW()-8</f>
        <v>66.0</v>
      </c>
      <c r="B74" s="6" t="inlineStr">
        <is>
          <t>鋁業</t>
        </is>
      </c>
      <c r="C74" s="9" t="inlineStr">
        <is>
          <t>Aluminum</t>
        </is>
      </c>
      <c r="D74" s="9" t="inlineStr">
        <is>
          <t>原材料 Materials</t>
        </is>
      </c>
      <c r="E74" s="77" t="n">
        <v>40.90909090909091</v>
      </c>
      <c r="F74" s="77" t="n">
        <v>75.45454545454545</v>
      </c>
      <c r="G74" s="11" t="n">
        <v>0.0191116223738006</v>
      </c>
      <c r="H74" s="11" t="n">
        <v>-0.04323939825412093</v>
      </c>
      <c r="I74" s="78" t="n">
        <v>1</v>
      </c>
      <c r="J74" s="78" t="n">
        <v>0.4</v>
      </c>
      <c r="K74" s="79" t="n">
        <v>1</v>
      </c>
      <c r="L74" s="80" t="n">
        <v>0.4951860313101674</v>
      </c>
      <c r="M74" s="81" t="n">
        <v>-123.8699351779603</v>
      </c>
      <c r="N74" s="81" t="n">
        <v>-505.1936435018052</v>
      </c>
      <c r="O74" s="41" t="inlineStr">
        <is>
          <t>AA</t>
        </is>
      </c>
      <c r="P74" s="41" t="inlineStr">
        <is>
          <t>CENX</t>
        </is>
      </c>
      <c r="Q74" s="41" t="inlineStr">
        <is>
          <t>KALU</t>
        </is>
      </c>
      <c r="W74" s="6" t="inlineStr"/>
    </row>
    <row r="75">
      <c r="A75" s="76">
        <f>ROW()-8</f>
        <v>67.0</v>
      </c>
      <c r="B75" s="6" t="inlineStr">
        <is>
          <t>工程建設/EPC</t>
        </is>
      </c>
      <c r="C75" s="9" t="inlineStr">
        <is>
          <t>Engineering &amp; Construction</t>
        </is>
      </c>
      <c r="D75" s="9" t="inlineStr">
        <is>
          <t>工業 Industrials</t>
        </is>
      </c>
      <c r="E75" s="77" t="n">
        <v>40</v>
      </c>
      <c r="F75" s="77" t="n">
        <v>12.72727272727273</v>
      </c>
      <c r="G75" s="11" t="n">
        <v>-0.007693619672835587</v>
      </c>
      <c r="H75" s="11" t="n">
        <v>-0.003459822744454888</v>
      </c>
      <c r="I75" s="78" t="n">
        <v>0.5</v>
      </c>
      <c r="J75" s="78" t="n">
        <v>0.6</v>
      </c>
      <c r="K75" s="79" t="n">
        <v>1</v>
      </c>
      <c r="L75" s="80" t="n">
        <v>-0.4151511142236218</v>
      </c>
      <c r="M75" s="81" t="n">
        <v>-477.7233898881987</v>
      </c>
      <c r="N75" s="81" t="n">
        <v>-659.1708402708778</v>
      </c>
      <c r="O75" s="41" t="inlineStr">
        <is>
          <t>J</t>
        </is>
      </c>
      <c r="P75" s="41" t="inlineStr">
        <is>
          <t>ACM</t>
        </is>
      </c>
      <c r="Q75" s="41" t="inlineStr">
        <is>
          <t>FLR</t>
        </is>
      </c>
      <c r="R75" s="41" t="inlineStr">
        <is>
          <t>MTZ</t>
        </is>
      </c>
      <c r="S75" s="41" t="inlineStr">
        <is>
          <t>PRIM</t>
        </is>
      </c>
      <c r="T75" s="41" t="inlineStr">
        <is>
          <t>EME</t>
        </is>
      </c>
      <c r="W75" s="6" t="inlineStr"/>
    </row>
    <row r="76">
      <c r="A76" s="76">
        <f>ROW()-8</f>
        <v>68.0</v>
      </c>
      <c r="B76" s="6" t="inlineStr">
        <is>
          <t>傳媒與娛樂內容</t>
        </is>
      </c>
      <c r="C76" s="9" t="inlineStr">
        <is>
          <t>Media &amp; Entertainment Content</t>
        </is>
      </c>
      <c r="D76" s="9" t="inlineStr">
        <is>
          <t>通訊服務 Communication Services</t>
        </is>
      </c>
      <c r="E76" s="77" t="n">
        <v>39.09090909090909</v>
      </c>
      <c r="F76" s="77" t="n">
        <v>6.363636363636363</v>
      </c>
      <c r="G76" s="11" t="n">
        <v>-0.01292026099160429</v>
      </c>
      <c r="H76" s="11" t="n">
        <v>-0.007923509625707981</v>
      </c>
      <c r="I76" s="78" t="n">
        <v>0</v>
      </c>
      <c r="J76" s="78" t="n">
        <v>0.4</v>
      </c>
      <c r="K76" s="79" t="n">
        <v>1</v>
      </c>
      <c r="L76" s="80" t="n">
        <v>-0.19218954485973</v>
      </c>
      <c r="M76" s="81" t="n">
        <v>-392.0291777799193</v>
      </c>
      <c r="N76" s="81" t="n">
        <v>-587.0119102187733</v>
      </c>
      <c r="O76" s="41" t="inlineStr">
        <is>
          <t>LYV</t>
        </is>
      </c>
      <c r="P76" s="41" t="inlineStr">
        <is>
          <t>FWONK</t>
        </is>
      </c>
      <c r="Q76" s="41" t="inlineStr">
        <is>
          <t>NWSA</t>
        </is>
      </c>
      <c r="R76" s="41" t="inlineStr">
        <is>
          <t>PARA</t>
        </is>
      </c>
      <c r="W76" s="6" t="inlineStr"/>
    </row>
    <row r="77">
      <c r="A77" s="76">
        <f>ROW()-8</f>
        <v>69.0</v>
      </c>
      <c r="B77" s="6" t="inlineStr">
        <is>
          <t>IPP與電力交易商</t>
        </is>
      </c>
      <c r="C77" s="9" t="inlineStr">
        <is>
          <t>IPPs &amp; Power Traders</t>
        </is>
      </c>
      <c r="D77" s="9" t="inlineStr">
        <is>
          <t>公用事業 Utilities</t>
        </is>
      </c>
      <c r="E77" s="77" t="n">
        <v>38.18181818181819</v>
      </c>
      <c r="F77" s="77" t="n">
        <v>58.18181818181818</v>
      </c>
      <c r="G77" s="11" t="n">
        <v>0.01091066874297911</v>
      </c>
      <c r="H77" s="11" t="n">
        <v>-0.05298404398877454</v>
      </c>
      <c r="I77" s="78" t="n">
        <v>0.75</v>
      </c>
      <c r="J77" s="78" t="n">
        <v>0.45</v>
      </c>
      <c r="K77" s="79" t="n">
        <v>1</v>
      </c>
      <c r="L77" s="80" t="n">
        <v>0.3122775603006412</v>
      </c>
      <c r="M77" s="81" t="n">
        <v>-692.2055944822852</v>
      </c>
      <c r="N77" s="81" t="n">
        <v>-4421.28386109811</v>
      </c>
      <c r="O77" s="41" t="inlineStr">
        <is>
          <t>CEG</t>
        </is>
      </c>
      <c r="P77" s="41" t="inlineStr">
        <is>
          <t>VST</t>
        </is>
      </c>
      <c r="Q77" s="41" t="inlineStr">
        <is>
          <t>NRG</t>
        </is>
      </c>
      <c r="R77" s="41" t="inlineStr">
        <is>
          <t>TLN</t>
        </is>
      </c>
      <c r="W77" s="6" t="inlineStr"/>
    </row>
    <row r="78">
      <c r="A78" s="76">
        <f>ROW()-8</f>
        <v>70.0</v>
      </c>
      <c r="B78" s="6" t="inlineStr">
        <is>
          <t>農產品與農業投入</t>
        </is>
      </c>
      <c r="C78" s="9" t="inlineStr">
        <is>
          <t>Agricultural Products &amp; Inputs</t>
        </is>
      </c>
      <c r="D78" s="9" t="inlineStr">
        <is>
          <t>必需消費 Consumer Staples</t>
        </is>
      </c>
      <c r="E78" s="77" t="n">
        <v>37.27272727272727</v>
      </c>
      <c r="F78" s="77" t="n">
        <v>76.36363636363637</v>
      </c>
      <c r="G78" s="11" t="n">
        <v>0.01351818081671112</v>
      </c>
      <c r="H78" s="11" t="n">
        <v>-0.01804784239364021</v>
      </c>
      <c r="I78" s="78" t="n">
        <v>1</v>
      </c>
      <c r="J78" s="78" t="n">
        <v>0.44</v>
      </c>
      <c r="K78" s="79" t="n">
        <v>1</v>
      </c>
      <c r="L78" s="80" t="n">
        <v>0.1633852943286441</v>
      </c>
      <c r="M78" s="81" t="n">
        <v>233.7892530025258</v>
      </c>
      <c r="N78" s="81" t="n">
        <v>-1438.077778974814</v>
      </c>
      <c r="O78" s="41" t="inlineStr">
        <is>
          <t>ADM</t>
        </is>
      </c>
      <c r="P78" s="41" t="inlineStr">
        <is>
          <t>BG</t>
        </is>
      </c>
      <c r="Q78" s="41" t="inlineStr">
        <is>
          <t>TSN</t>
        </is>
      </c>
      <c r="R78" s="41" t="inlineStr">
        <is>
          <t>INGR</t>
        </is>
      </c>
      <c r="S78" s="41" t="inlineStr">
        <is>
          <t>CTVA</t>
        </is>
      </c>
      <c r="W78" s="6" t="inlineStr"/>
    </row>
    <row r="79">
      <c r="A79" s="76">
        <f>ROW()-8</f>
        <v>71.0</v>
      </c>
      <c r="B79" s="5" t="inlineStr">
        <is>
          <t>再生能源與太陽能</t>
        </is>
      </c>
      <c r="C79" s="9" t="inlineStr">
        <is>
          <t>Renewables &amp; Solar</t>
        </is>
      </c>
      <c r="D79" s="9" t="inlineStr">
        <is>
          <t>公用事業 Utilities</t>
        </is>
      </c>
      <c r="E79" s="77" t="n">
        <v>36.36363636363637</v>
      </c>
      <c r="F79" s="77" t="n">
        <v>90.90909090909091</v>
      </c>
      <c r="G79" s="11" t="n">
        <v>0.04006540518797967</v>
      </c>
      <c r="H79" s="11" t="n">
        <v>-0.005598582708674416</v>
      </c>
      <c r="I79" s="78" t="n">
        <v>1</v>
      </c>
      <c r="J79" s="78" t="n">
        <v>0.4</v>
      </c>
      <c r="K79" s="79" t="n">
        <v>1</v>
      </c>
      <c r="L79" s="80" t="n">
        <v>0.2793915649454401</v>
      </c>
      <c r="M79" s="81" t="n">
        <v>964.7087476903632</v>
      </c>
      <c r="N79" s="81" t="n">
        <v>-3031.586123939628</v>
      </c>
      <c r="O79" s="41" t="inlineStr">
        <is>
          <t>NEE</t>
        </is>
      </c>
      <c r="P79" s="41" t="inlineStr">
        <is>
          <t>FSLR</t>
        </is>
      </c>
      <c r="Q79" s="41" t="inlineStr">
        <is>
          <t>ENPH</t>
        </is>
      </c>
      <c r="R79" s="41" t="inlineStr">
        <is>
          <t>RUN</t>
        </is>
      </c>
      <c r="S79" s="41" t="inlineStr">
        <is>
          <t>NXT</t>
        </is>
      </c>
      <c r="W79" s="6" t="inlineStr">
        <is>
          <t>△ B 類改中性：9/17 +4.01%、廣度 1.00，名次 97→71</t>
        </is>
      </c>
    </row>
    <row r="80">
      <c r="A80" s="76">
        <f>ROW()-8</f>
        <v>72.0</v>
      </c>
      <c r="B80" s="6" t="inlineStr">
        <is>
          <t>航太與國防</t>
        </is>
      </c>
      <c r="C80" s="9" t="inlineStr">
        <is>
          <t>Aerospace &amp; Defense</t>
        </is>
      </c>
      <c r="D80" s="9" t="inlineStr">
        <is>
          <t>工業 Industrials</t>
        </is>
      </c>
      <c r="E80" s="77" t="n">
        <v>35.45454545454545</v>
      </c>
      <c r="F80" s="77" t="n">
        <v>10</v>
      </c>
      <c r="G80" s="11" t="n">
        <v>-0.0109239754796539</v>
      </c>
      <c r="H80" s="11" t="n">
        <v>-0.003881770293895914</v>
      </c>
      <c r="I80" s="78" t="n">
        <v>0</v>
      </c>
      <c r="J80" s="78" t="n">
        <v>0.5666666666666667</v>
      </c>
      <c r="K80" s="79" t="n">
        <v>1</v>
      </c>
      <c r="L80" s="80" t="n">
        <v>-0.279059425480685</v>
      </c>
      <c r="M80" s="81" t="n">
        <v>-1112.22789461483</v>
      </c>
      <c r="N80" s="81" t="n">
        <v>-1196.682735144591</v>
      </c>
      <c r="O80" s="41" t="inlineStr">
        <is>
          <t>LMT</t>
        </is>
      </c>
      <c r="P80" s="41" t="inlineStr">
        <is>
          <t>RTX</t>
        </is>
      </c>
      <c r="Q80" s="41" t="inlineStr">
        <is>
          <t>NOC</t>
        </is>
      </c>
      <c r="R80" s="41" t="inlineStr">
        <is>
          <t>GD</t>
        </is>
      </c>
      <c r="S80" s="41" t="inlineStr">
        <is>
          <t>LHX</t>
        </is>
      </c>
      <c r="T80" s="41" t="inlineStr">
        <is>
          <t>BA</t>
        </is>
      </c>
      <c r="W80" s="6" t="inlineStr"/>
    </row>
    <row r="81">
      <c r="A81" s="76">
        <f>ROW()-8</f>
        <v>73.0</v>
      </c>
      <c r="B81" s="6" t="inlineStr">
        <is>
          <t>鐵路運輸</t>
        </is>
      </c>
      <c r="C81" s="9" t="inlineStr">
        <is>
          <t>Railroads</t>
        </is>
      </c>
      <c r="D81" s="9" t="inlineStr">
        <is>
          <t>工業 Industrials</t>
        </is>
      </c>
      <c r="E81" s="77" t="n">
        <v>34.54545454545455</v>
      </c>
      <c r="F81" s="77" t="n">
        <v>53.63636363636364</v>
      </c>
      <c r="G81" s="11" t="n">
        <v>0.003961349860199248</v>
      </c>
      <c r="H81" s="11" t="n">
        <v>-0.01602205623365671</v>
      </c>
      <c r="I81" s="78" t="n">
        <v>0.6666666666666666</v>
      </c>
      <c r="J81" s="78" t="n">
        <v>0.4</v>
      </c>
      <c r="K81" s="79" t="n">
        <v>1</v>
      </c>
      <c r="L81" s="80" t="n">
        <v>0.1216621741959655</v>
      </c>
      <c r="M81" s="81" t="n">
        <v>331.8023881289946</v>
      </c>
      <c r="N81" s="81" t="n">
        <v>-1241.662646062124</v>
      </c>
      <c r="O81" s="41" t="inlineStr">
        <is>
          <t>UNP</t>
        </is>
      </c>
      <c r="P81" s="41" t="inlineStr">
        <is>
          <t>CSX</t>
        </is>
      </c>
      <c r="Q81" s="41" t="inlineStr">
        <is>
          <t>NSC</t>
        </is>
      </c>
      <c r="W81" s="6" t="inlineStr"/>
    </row>
    <row r="82">
      <c r="A82" s="76">
        <f>ROW()-8</f>
        <v>74.0</v>
      </c>
      <c r="B82" s="6" t="inlineStr">
        <is>
          <t>教育與消費服務</t>
        </is>
      </c>
      <c r="C82" s="9" t="inlineStr">
        <is>
          <t>Education &amp; Consumer Services</t>
        </is>
      </c>
      <c r="D82" s="9" t="inlineStr">
        <is>
          <t>非必需消費 Consumer Discretionary</t>
        </is>
      </c>
      <c r="E82" s="77" t="n">
        <v>33.63636363636363</v>
      </c>
      <c r="F82" s="77" t="n">
        <v>5.454545454545454</v>
      </c>
      <c r="G82" s="11" t="n">
        <v>-0.01321061429205402</v>
      </c>
      <c r="H82" s="11" t="n">
        <v>-0.003567498391468749</v>
      </c>
      <c r="I82" s="78" t="n">
        <v>0</v>
      </c>
      <c r="J82" s="78" t="n">
        <v>0.5333333333333333</v>
      </c>
      <c r="K82" s="79" t="n">
        <v>1</v>
      </c>
      <c r="L82" s="80" t="n">
        <v>-0.6296271732715818</v>
      </c>
      <c r="M82" s="81" t="n">
        <v>-100.2856212634045</v>
      </c>
      <c r="N82" s="81" t="n">
        <v>-101.9445872002605</v>
      </c>
      <c r="O82" s="41" t="inlineStr">
        <is>
          <t>LRN</t>
        </is>
      </c>
      <c r="P82" s="41" t="inlineStr">
        <is>
          <t>HRB</t>
        </is>
      </c>
      <c r="Q82" s="41" t="inlineStr">
        <is>
          <t>SCI</t>
        </is>
      </c>
      <c r="W82" s="6" t="inlineStr"/>
    </row>
    <row r="83">
      <c r="A83" s="76">
        <f>ROW()-8</f>
        <v>75.0</v>
      </c>
      <c r="B83" s="6" t="inlineStr">
        <is>
          <t>樓宇產品與HVAC</t>
        </is>
      </c>
      <c r="C83" s="9" t="inlineStr">
        <is>
          <t>Building Products &amp; HVAC</t>
        </is>
      </c>
      <c r="D83" s="9" t="inlineStr">
        <is>
          <t>工業 Industrials</t>
        </is>
      </c>
      <c r="E83" s="77" t="n">
        <v>32.72727272727273</v>
      </c>
      <c r="F83" s="77" t="n">
        <v>30</v>
      </c>
      <c r="G83" s="11" t="n">
        <v>0.003289487150102821</v>
      </c>
      <c r="H83" s="11" t="n">
        <v>-0.02489582620828401</v>
      </c>
      <c r="I83" s="78" t="n">
        <v>0.6</v>
      </c>
      <c r="J83" s="78" t="n">
        <v>0.48</v>
      </c>
      <c r="K83" s="79" t="n">
        <v>1</v>
      </c>
      <c r="L83" s="80" t="n">
        <v>-0.1003496558217335</v>
      </c>
      <c r="M83" s="81" t="n">
        <v>-695.4518529273658</v>
      </c>
      <c r="N83" s="81" t="n">
        <v>-1596.412726224757</v>
      </c>
      <c r="O83" s="41" t="inlineStr">
        <is>
          <t>CARR</t>
        </is>
      </c>
      <c r="P83" s="41" t="inlineStr">
        <is>
          <t>TT</t>
        </is>
      </c>
      <c r="Q83" s="41" t="inlineStr">
        <is>
          <t>JCI</t>
        </is>
      </c>
      <c r="R83" s="41" t="inlineStr">
        <is>
          <t>LII</t>
        </is>
      </c>
      <c r="S83" s="41" t="inlineStr">
        <is>
          <t>AAON</t>
        </is>
      </c>
      <c r="W83" s="6" t="inlineStr"/>
    </row>
    <row r="84">
      <c r="A84" s="76">
        <f>ROW()-8</f>
        <v>76.0</v>
      </c>
      <c r="B84" s="6" t="inlineStr">
        <is>
          <t>社交與線上社群</t>
        </is>
      </c>
      <c r="C84" s="9" t="inlineStr">
        <is>
          <t>Social &amp; Community Platforms</t>
        </is>
      </c>
      <c r="D84" s="9" t="inlineStr">
        <is>
          <t>通訊服務 Communication Services</t>
        </is>
      </c>
      <c r="E84" s="77" t="n">
        <v>31.81818181818182</v>
      </c>
      <c r="F84" s="77" t="n">
        <v>8.181818181818182</v>
      </c>
      <c r="G84" s="11" t="n">
        <v>-0.01441542277872132</v>
      </c>
      <c r="H84" s="11" t="n">
        <v>0.007015866175980268</v>
      </c>
      <c r="I84" s="78" t="n">
        <v>0.25</v>
      </c>
      <c r="J84" s="78" t="n">
        <v>0.55</v>
      </c>
      <c r="K84" s="79" t="n">
        <v>1</v>
      </c>
      <c r="L84" s="80" t="n">
        <v>-0.7440357221336242</v>
      </c>
      <c r="M84" s="81" t="n">
        <v>-225.7016806133003</v>
      </c>
      <c r="N84" s="81" t="n">
        <v>-595.6785304291421</v>
      </c>
      <c r="O84" s="41" t="inlineStr">
        <is>
          <t>PINS</t>
        </is>
      </c>
      <c r="P84" s="41" t="inlineStr">
        <is>
          <t>SNAP</t>
        </is>
      </c>
      <c r="Q84" s="41" t="inlineStr">
        <is>
          <t>RDDT</t>
        </is>
      </c>
      <c r="R84" s="41" t="inlineStr">
        <is>
          <t>MTCH</t>
        </is>
      </c>
      <c r="W84" s="6" t="inlineStr"/>
    </row>
    <row r="85">
      <c r="A85" s="76">
        <f>ROW()-8</f>
        <v>77.0</v>
      </c>
      <c r="B85" s="6" t="inlineStr">
        <is>
          <t>資產管理</t>
        </is>
      </c>
      <c r="C85" s="9" t="inlineStr">
        <is>
          <t>Asset Management</t>
        </is>
      </c>
      <c r="D85" s="9" t="inlineStr">
        <is>
          <t>金融 Financials</t>
        </is>
      </c>
      <c r="E85" s="77" t="n">
        <v>30.90909090909091</v>
      </c>
      <c r="F85" s="77" t="n">
        <v>65.45454545454545</v>
      </c>
      <c r="G85" s="11" t="n">
        <v>0.01456903498721046</v>
      </c>
      <c r="H85" s="11" t="n">
        <v>-0.01901871095844032</v>
      </c>
      <c r="I85" s="78" t="n">
        <v>1</v>
      </c>
      <c r="J85" s="78" t="n">
        <v>0.4</v>
      </c>
      <c r="K85" s="79" t="n">
        <v>1</v>
      </c>
      <c r="L85" s="80" t="n">
        <v>0.138211836103702</v>
      </c>
      <c r="M85" s="81" t="n">
        <v>-108.2488321556119</v>
      </c>
      <c r="N85" s="81" t="n">
        <v>-794.687778258507</v>
      </c>
      <c r="O85" s="41" t="inlineStr">
        <is>
          <t>BLK</t>
        </is>
      </c>
      <c r="P85" s="41" t="inlineStr">
        <is>
          <t>TROW</t>
        </is>
      </c>
      <c r="Q85" s="41" t="inlineStr">
        <is>
          <t>BEN</t>
        </is>
      </c>
      <c r="R85" s="41" t="inlineStr">
        <is>
          <t>AMG</t>
        </is>
      </c>
      <c r="W85" s="6" t="inlineStr"/>
    </row>
    <row r="86">
      <c r="A86" s="76">
        <f>ROW()-8</f>
        <v>78.0</v>
      </c>
      <c r="B86" s="6" t="inlineStr">
        <is>
          <t>電動車與新能源車</t>
        </is>
      </c>
      <c r="C86" s="9" t="inlineStr">
        <is>
          <t>EV &amp; New Energy Vehicles</t>
        </is>
      </c>
      <c r="D86" s="9" t="inlineStr">
        <is>
          <t>非必需消費 Consumer Discretionary</t>
        </is>
      </c>
      <c r="E86" s="77" t="n">
        <v>30</v>
      </c>
      <c r="F86" s="77" t="n">
        <v>61.81818181818181</v>
      </c>
      <c r="G86" s="11" t="n">
        <v>0.03030120186737502</v>
      </c>
      <c r="H86" s="11" t="n">
        <v>-0.003943743298730262</v>
      </c>
      <c r="I86" s="78" t="n">
        <v>1</v>
      </c>
      <c r="J86" s="78" t="n">
        <v>0.4666666666666667</v>
      </c>
      <c r="K86" s="79" t="n">
        <v>1</v>
      </c>
      <c r="L86" s="80" t="n">
        <v>0.2253144108356121</v>
      </c>
      <c r="M86" s="81" t="n">
        <v>-6077.322703256394</v>
      </c>
      <c r="N86" s="81" t="n">
        <v>-21654.35416598641</v>
      </c>
      <c r="O86" s="41" t="inlineStr">
        <is>
          <t>TSLA</t>
        </is>
      </c>
      <c r="P86" s="41" t="inlineStr">
        <is>
          <t>RIVN</t>
        </is>
      </c>
      <c r="Q86" s="41" t="inlineStr">
        <is>
          <t>LCID</t>
        </is>
      </c>
      <c r="W86" s="6" t="inlineStr"/>
    </row>
    <row r="87">
      <c r="A87" s="76">
        <f>ROW()-8</f>
        <v>79.0</v>
      </c>
      <c r="B87" s="6" t="inlineStr">
        <is>
          <t>海上鑽井與設備</t>
        </is>
      </c>
      <c r="C87" s="9" t="inlineStr">
        <is>
          <t>Offshore Drilling &amp; Equipment</t>
        </is>
      </c>
      <c r="D87" s="9" t="inlineStr">
        <is>
          <t>能源 Energy</t>
        </is>
      </c>
      <c r="E87" s="77" t="n">
        <v>29.09090909090909</v>
      </c>
      <c r="F87" s="77" t="n">
        <v>64.54545454545455</v>
      </c>
      <c r="G87" s="11" t="n">
        <v>0.007871838631047595</v>
      </c>
      <c r="H87" s="11" t="n">
        <v>-0.02935574088630322</v>
      </c>
      <c r="I87" s="78" t="n">
        <v>0.5</v>
      </c>
      <c r="J87" s="78" t="n">
        <v>0.35</v>
      </c>
      <c r="K87" s="79" t="n">
        <v>1</v>
      </c>
      <c r="L87" s="80" t="n">
        <v>0.3359737009533914</v>
      </c>
      <c r="M87" s="81" t="n">
        <v>46.43750889444399</v>
      </c>
      <c r="N87" s="81" t="n">
        <v>-106.1287676410982</v>
      </c>
      <c r="O87" s="41" t="inlineStr">
        <is>
          <t>RIG</t>
        </is>
      </c>
      <c r="P87" s="41" t="inlineStr">
        <is>
          <t>VAL</t>
        </is>
      </c>
      <c r="Q87" s="41" t="inlineStr">
        <is>
          <t>NE</t>
        </is>
      </c>
      <c r="R87" s="41" t="inlineStr">
        <is>
          <t>TDW</t>
        </is>
      </c>
      <c r="W87" s="6" t="inlineStr"/>
    </row>
    <row r="88">
      <c r="A88" s="76">
        <f>ROW()-8</f>
        <v>80.0</v>
      </c>
      <c r="B88" s="6" t="inlineStr">
        <is>
          <t>燃氣公用</t>
        </is>
      </c>
      <c r="C88" s="9" t="inlineStr">
        <is>
          <t>Gas Utilities</t>
        </is>
      </c>
      <c r="D88" s="9" t="inlineStr">
        <is>
          <t>公用事業 Utilities</t>
        </is>
      </c>
      <c r="E88" s="77" t="n">
        <v>28.18181818181818</v>
      </c>
      <c r="F88" s="77" t="n">
        <v>40.90909090909091</v>
      </c>
      <c r="G88" s="11" t="n">
        <v>0.002533337830018384</v>
      </c>
      <c r="H88" s="11" t="n">
        <v>-0.01044203931576526</v>
      </c>
      <c r="I88" s="78" t="n">
        <v>0.5</v>
      </c>
      <c r="J88" s="78" t="n">
        <v>0.45</v>
      </c>
      <c r="K88" s="79" t="n">
        <v>1</v>
      </c>
      <c r="L88" s="80" t="n">
        <v>0.2653087080506099</v>
      </c>
      <c r="M88" s="81" t="n">
        <v>-12.74430607461216</v>
      </c>
      <c r="N88" s="81" t="n">
        <v>-987.8780570548693</v>
      </c>
      <c r="O88" s="41" t="inlineStr">
        <is>
          <t>ATO</t>
        </is>
      </c>
      <c r="P88" s="41" t="inlineStr">
        <is>
          <t>NI</t>
        </is>
      </c>
      <c r="Q88" s="41" t="inlineStr">
        <is>
          <t>SR</t>
        </is>
      </c>
      <c r="R88" s="41" t="inlineStr">
        <is>
          <t>NJR</t>
        </is>
      </c>
      <c r="W88" s="6" t="inlineStr"/>
    </row>
    <row r="89">
      <c r="A89" s="76">
        <f>ROW()-8</f>
        <v>81.0</v>
      </c>
      <c r="B89" s="6" t="inlineStr">
        <is>
          <t>醫療與長者住宅REIT</t>
        </is>
      </c>
      <c r="C89" s="9" t="inlineStr">
        <is>
          <t>Health Care REITs</t>
        </is>
      </c>
      <c r="D89" s="9" t="inlineStr">
        <is>
          <t>房地產 Real Estate</t>
        </is>
      </c>
      <c r="E89" s="77" t="n">
        <v>27.27272727272727</v>
      </c>
      <c r="F89" s="77" t="n">
        <v>15.45454545454545</v>
      </c>
      <c r="G89" s="11" t="n">
        <v>0.00042517100427375</v>
      </c>
      <c r="H89" s="11" t="n">
        <v>-0.007483649565024675</v>
      </c>
      <c r="I89" s="78" t="n">
        <v>0.5</v>
      </c>
      <c r="J89" s="78" t="n">
        <v>0.55</v>
      </c>
      <c r="K89" s="79" t="n">
        <v>1</v>
      </c>
      <c r="L89" s="80" t="n">
        <v>0.1152817644184548</v>
      </c>
      <c r="M89" s="81" t="n">
        <v>-605.2214612383234</v>
      </c>
      <c r="N89" s="81" t="n">
        <v>-1713.721685960077</v>
      </c>
      <c r="O89" s="41" t="inlineStr">
        <is>
          <t>WELL</t>
        </is>
      </c>
      <c r="P89" s="41" t="inlineStr">
        <is>
          <t>VTR</t>
        </is>
      </c>
      <c r="Q89" s="41" t="inlineStr">
        <is>
          <t>OHI</t>
        </is>
      </c>
      <c r="R89" s="41" t="inlineStr">
        <is>
          <t>DOC</t>
        </is>
      </c>
      <c r="W89" s="6" t="inlineStr"/>
    </row>
    <row r="90">
      <c r="A90" s="76">
        <f>ROW()-8</f>
        <v>82.0</v>
      </c>
      <c r="B90" s="6" t="inlineStr">
        <is>
          <t>大型全能銀行</t>
        </is>
      </c>
      <c r="C90" s="9" t="inlineStr">
        <is>
          <t>Money-Center Banks</t>
        </is>
      </c>
      <c r="D90" s="9" t="inlineStr">
        <is>
          <t>金融 Financials</t>
        </is>
      </c>
      <c r="E90" s="77" t="n">
        <v>26.36363636363636</v>
      </c>
      <c r="F90" s="77" t="n">
        <v>43.63636363636363</v>
      </c>
      <c r="G90" s="11" t="n">
        <v>0.0005371048433032155</v>
      </c>
      <c r="H90" s="11" t="n">
        <v>-0.03823328057789599</v>
      </c>
      <c r="I90" s="78" t="n">
        <v>0.25</v>
      </c>
      <c r="J90" s="78" t="n">
        <v>0.35</v>
      </c>
      <c r="K90" s="79" t="n">
        <v>1</v>
      </c>
      <c r="L90" s="80" t="n">
        <v>0.03197323031621201</v>
      </c>
      <c r="M90" s="81" t="n">
        <v>707.1314067541634</v>
      </c>
      <c r="N90" s="81" t="n">
        <v>-4143.987287420655</v>
      </c>
      <c r="O90" s="41" t="inlineStr">
        <is>
          <t>JPM</t>
        </is>
      </c>
      <c r="P90" s="41" t="inlineStr">
        <is>
          <t>BAC</t>
        </is>
      </c>
      <c r="Q90" s="41" t="inlineStr">
        <is>
          <t>C</t>
        </is>
      </c>
      <c r="R90" s="41" t="inlineStr">
        <is>
          <t>WFC</t>
        </is>
      </c>
      <c r="W90" s="6" t="inlineStr"/>
    </row>
    <row r="91">
      <c r="A91" s="76">
        <f>ROW()-8</f>
        <v>83.0</v>
      </c>
      <c r="B91" s="6" t="inlineStr">
        <is>
          <t>互動遊戲</t>
        </is>
      </c>
      <c r="C91" s="9" t="inlineStr">
        <is>
          <t>Interactive Gaming</t>
        </is>
      </c>
      <c r="D91" s="9" t="inlineStr">
        <is>
          <t>通訊服務 Communication Services</t>
        </is>
      </c>
      <c r="E91" s="77" t="n">
        <v>25.45454545454545</v>
      </c>
      <c r="F91" s="77" t="n">
        <v>24.54545454545455</v>
      </c>
      <c r="G91" s="11" t="n">
        <v>-0.004358972996131453</v>
      </c>
      <c r="H91" s="11" t="n">
        <v>0.02396801679895333</v>
      </c>
      <c r="I91" s="78" t="n">
        <v>0</v>
      </c>
      <c r="J91" s="78" t="n">
        <v>0.4666666666666667</v>
      </c>
      <c r="K91" s="79" t="n">
        <v>1</v>
      </c>
      <c r="L91" s="80" t="n">
        <v>-0.4127613199373078</v>
      </c>
      <c r="M91" s="81" t="n">
        <v>-132.0287533179562</v>
      </c>
      <c r="N91" s="81" t="n">
        <v>-543.3098127109819</v>
      </c>
      <c r="O91" s="41" t="inlineStr">
        <is>
          <t>TTWO</t>
        </is>
      </c>
      <c r="P91" s="41" t="inlineStr">
        <is>
          <t>RBLX</t>
        </is>
      </c>
      <c r="Q91" s="41" t="inlineStr">
        <is>
          <t>PLTK</t>
        </is>
      </c>
      <c r="W91" s="6" t="inlineStr"/>
    </row>
    <row r="92">
      <c r="A92" s="76">
        <f>ROW()-8</f>
        <v>84.0</v>
      </c>
      <c r="B92" s="6" t="inlineStr">
        <is>
          <t>傳統汽車與零部件</t>
        </is>
      </c>
      <c r="C92" s="9" t="inlineStr">
        <is>
          <t>Autos &amp; Auto Parts</t>
        </is>
      </c>
      <c r="D92" s="9" t="inlineStr">
        <is>
          <t>非必需消費 Consumer Discretionary</t>
        </is>
      </c>
      <c r="E92" s="77" t="n">
        <v>24.54545454545455</v>
      </c>
      <c r="F92" s="77" t="n">
        <v>60.90909090909091</v>
      </c>
      <c r="G92" s="11" t="n">
        <v>0.01310125003941094</v>
      </c>
      <c r="H92" s="11" t="n">
        <v>-0.02096362894788395</v>
      </c>
      <c r="I92" s="78" t="n">
        <v>0.8</v>
      </c>
      <c r="J92" s="78" t="n">
        <v>0.36</v>
      </c>
      <c r="K92" s="79" t="n">
        <v>1</v>
      </c>
      <c r="L92" s="80" t="n">
        <v>0.1150346480763228</v>
      </c>
      <c r="M92" s="81" t="n">
        <v>-905.9672502645898</v>
      </c>
      <c r="N92" s="81" t="n">
        <v>-2771.577844537547</v>
      </c>
      <c r="O92" s="41" t="inlineStr">
        <is>
          <t>GM</t>
        </is>
      </c>
      <c r="P92" s="41" t="inlineStr">
        <is>
          <t>F</t>
        </is>
      </c>
      <c r="Q92" s="41" t="inlineStr">
        <is>
          <t>APTV</t>
        </is>
      </c>
      <c r="R92" s="41" t="inlineStr">
        <is>
          <t>LEA</t>
        </is>
      </c>
      <c r="S92" s="41" t="inlineStr">
        <is>
          <t>MGA</t>
        </is>
      </c>
      <c r="W92" s="6" t="inlineStr"/>
    </row>
    <row r="93">
      <c r="A93" s="76">
        <f>ROW()-8</f>
        <v>85.0</v>
      </c>
      <c r="B93" s="6" t="inlineStr">
        <is>
          <t>酒店與郵輪</t>
        </is>
      </c>
      <c r="C93" s="9" t="inlineStr">
        <is>
          <t>Hotels &amp; Cruise Lines</t>
        </is>
      </c>
      <c r="D93" s="9" t="inlineStr">
        <is>
          <t>非必需消費 Consumer Discretionary</t>
        </is>
      </c>
      <c r="E93" s="77" t="n">
        <v>23.63636363636364</v>
      </c>
      <c r="F93" s="77" t="n">
        <v>4.545454545454546</v>
      </c>
      <c r="G93" s="11" t="n">
        <v>-0.009236455405803068</v>
      </c>
      <c r="H93" s="11" t="n">
        <v>-0.01143102383744932</v>
      </c>
      <c r="I93" s="78" t="n">
        <v>0</v>
      </c>
      <c r="J93" s="78" t="n">
        <v>0.32</v>
      </c>
      <c r="K93" s="79" t="n">
        <v>1</v>
      </c>
      <c r="L93" s="80" t="n">
        <v>-0.2759593581736025</v>
      </c>
      <c r="M93" s="81" t="n">
        <v>-1878.787813227994</v>
      </c>
      <c r="N93" s="81" t="n">
        <v>-3124.871676197781</v>
      </c>
      <c r="O93" s="41" t="inlineStr">
        <is>
          <t>MAR</t>
        </is>
      </c>
      <c r="P93" s="41" t="inlineStr">
        <is>
          <t>HLT</t>
        </is>
      </c>
      <c r="Q93" s="41" t="inlineStr">
        <is>
          <t>RCL</t>
        </is>
      </c>
      <c r="R93" s="41" t="inlineStr">
        <is>
          <t>CCL</t>
        </is>
      </c>
      <c r="S93" s="41" t="inlineStr">
        <is>
          <t>NCLH</t>
        </is>
      </c>
      <c r="W93" s="6" t="inlineStr"/>
    </row>
    <row r="94">
      <c r="A94" s="76">
        <f>ROW()-8</f>
        <v>86.0</v>
      </c>
      <c r="B94" s="6" t="inlineStr">
        <is>
          <t>地產開發與服務</t>
        </is>
      </c>
      <c r="C94" s="9" t="inlineStr">
        <is>
          <t>Real Estate Services &amp; Development</t>
        </is>
      </c>
      <c r="D94" s="9" t="inlineStr">
        <is>
          <t>房地產 Real Estate</t>
        </is>
      </c>
      <c r="E94" s="77" t="n">
        <v>22.72727272727273</v>
      </c>
      <c r="F94" s="77" t="n">
        <v>17.27272727272727</v>
      </c>
      <c r="G94" s="11" t="n">
        <v>-0.007574036536408912</v>
      </c>
      <c r="H94" s="11" t="n">
        <v>-0.01865236695946271</v>
      </c>
      <c r="I94" s="78" t="n">
        <v>0.4</v>
      </c>
      <c r="J94" s="78" t="n">
        <v>0.52</v>
      </c>
      <c r="K94" s="79" t="n">
        <v>1</v>
      </c>
      <c r="L94" s="80" t="n">
        <v>-0.4822524401240347</v>
      </c>
      <c r="M94" s="81" t="n">
        <v>-435.5429961858287</v>
      </c>
      <c r="N94" s="81" t="n">
        <v>-784.2708298930906</v>
      </c>
      <c r="O94" s="41" t="inlineStr">
        <is>
          <t>CBRE</t>
        </is>
      </c>
      <c r="P94" s="41" t="inlineStr">
        <is>
          <t>JLL</t>
        </is>
      </c>
      <c r="Q94" s="41" t="inlineStr">
        <is>
          <t>Z</t>
        </is>
      </c>
      <c r="R94" s="41" t="inlineStr">
        <is>
          <t>COMP</t>
        </is>
      </c>
      <c r="S94" s="41" t="inlineStr">
        <is>
          <t>OPEN</t>
        </is>
      </c>
      <c r="W94" s="6" t="inlineStr"/>
    </row>
    <row r="95">
      <c r="A95" s="76">
        <f>ROW()-8</f>
        <v>87.0</v>
      </c>
      <c r="B95" s="6" t="inlineStr">
        <is>
          <t>另類資產與私募信貸</t>
        </is>
      </c>
      <c r="C95" s="9" t="inlineStr">
        <is>
          <t>Alternatives &amp; Private Credit</t>
        </is>
      </c>
      <c r="D95" s="9" t="inlineStr">
        <is>
          <t>金融 Financials</t>
        </is>
      </c>
      <c r="E95" s="77" t="n">
        <v>21.81818181818182</v>
      </c>
      <c r="F95" s="77" t="n">
        <v>50</v>
      </c>
      <c r="G95" s="11" t="n">
        <v>0.007048380689953171</v>
      </c>
      <c r="H95" s="11" t="n">
        <v>-0.02531263490483715</v>
      </c>
      <c r="I95" s="78" t="n">
        <v>0.8</v>
      </c>
      <c r="J95" s="78" t="n">
        <v>0.36</v>
      </c>
      <c r="K95" s="79" t="n">
        <v>1</v>
      </c>
      <c r="L95" s="80" t="n">
        <v>-0.2150475245017422</v>
      </c>
      <c r="M95" s="81" t="n">
        <v>-1010.781864579023</v>
      </c>
      <c r="N95" s="81" t="n">
        <v>-2525.746874126136</v>
      </c>
      <c r="O95" s="41" t="inlineStr">
        <is>
          <t>BX</t>
        </is>
      </c>
      <c r="P95" s="41" t="inlineStr">
        <is>
          <t>KKR</t>
        </is>
      </c>
      <c r="Q95" s="41" t="inlineStr">
        <is>
          <t>APO</t>
        </is>
      </c>
      <c r="R95" s="41" t="inlineStr">
        <is>
          <t>ARES</t>
        </is>
      </c>
      <c r="S95" s="41" t="inlineStr">
        <is>
          <t>OWL</t>
        </is>
      </c>
      <c r="W95" s="6" t="inlineStr"/>
    </row>
    <row r="96">
      <c r="A96" s="91">
        <f>ROW()-8</f>
        <v>88.0</v>
      </c>
      <c r="B96" s="22" t="inlineStr">
        <is>
          <t>貨運與物流</t>
        </is>
      </c>
      <c r="C96" s="92" t="inlineStr">
        <is>
          <t>Freight &amp; Logistics</t>
        </is>
      </c>
      <c r="D96" s="92" t="inlineStr">
        <is>
          <t>工業 Industrials</t>
        </is>
      </c>
      <c r="E96" s="93" t="n">
        <v>20.90909090909091</v>
      </c>
      <c r="F96" s="93" t="n">
        <v>50.90909090909091</v>
      </c>
      <c r="G96" s="24" t="n">
        <v>0.007558005343648056</v>
      </c>
      <c r="H96" s="24" t="n">
        <v>-0.03932392029568699</v>
      </c>
      <c r="I96" s="25" t="n">
        <v>0.8</v>
      </c>
      <c r="J96" s="25" t="n">
        <v>0.44</v>
      </c>
      <c r="K96" s="94" t="n">
        <v>0.9999999999999999</v>
      </c>
      <c r="L96" s="95" t="n">
        <v>-0.301730949016989</v>
      </c>
      <c r="M96" s="96" t="n">
        <v>-705.868718446878</v>
      </c>
      <c r="N96" s="96" t="n">
        <v>-1711.026054250688</v>
      </c>
      <c r="O96" s="60" t="inlineStr">
        <is>
          <t>UPS</t>
        </is>
      </c>
      <c r="P96" s="60" t="inlineStr">
        <is>
          <t>FDX</t>
        </is>
      </c>
      <c r="Q96" s="60" t="inlineStr">
        <is>
          <t>ODFL</t>
        </is>
      </c>
      <c r="R96" s="60" t="inlineStr">
        <is>
          <t>JBHT</t>
        </is>
      </c>
      <c r="S96" s="60" t="inlineStr">
        <is>
          <t>XPO</t>
        </is>
      </c>
      <c r="T96" s="97" t="n"/>
      <c r="U96" s="97" t="n"/>
      <c r="V96" s="97" t="n"/>
      <c r="W96" s="23" t="inlineStr">
        <is>
          <t>✕ A 類迴避：9/17 只 +0.76%，名次 81→88</t>
        </is>
      </c>
    </row>
    <row r="97">
      <c r="A97" s="76">
        <f>ROW()-8</f>
        <v>89.0</v>
      </c>
      <c r="B97" s="6" t="inlineStr">
        <is>
          <t>串流影音</t>
        </is>
      </c>
      <c r="C97" s="9" t="inlineStr">
        <is>
          <t>Streaming Video</t>
        </is>
      </c>
      <c r="D97" s="9" t="inlineStr">
        <is>
          <t>通訊服務 Communication Services</t>
        </is>
      </c>
      <c r="E97" s="77" t="n">
        <v>20</v>
      </c>
      <c r="F97" s="77" t="n">
        <v>3.636363636363636</v>
      </c>
      <c r="G97" s="11" t="n">
        <v>-0.00783464643170495</v>
      </c>
      <c r="H97" s="11" t="n">
        <v>-0.003113411718102865</v>
      </c>
      <c r="I97" s="78" t="n">
        <v>0.25</v>
      </c>
      <c r="J97" s="78" t="n">
        <v>0.6</v>
      </c>
      <c r="K97" s="79" t="n">
        <v>1</v>
      </c>
      <c r="L97" s="80" t="n">
        <v>-0.5665927000512345</v>
      </c>
      <c r="M97" s="81" t="n">
        <v>-3347.118694293436</v>
      </c>
      <c r="N97" s="81" t="n">
        <v>-4330.204313613648</v>
      </c>
      <c r="O97" s="41" t="inlineStr">
        <is>
          <t>NFLX</t>
        </is>
      </c>
      <c r="P97" s="41" t="inlineStr">
        <is>
          <t>DIS</t>
        </is>
      </c>
      <c r="Q97" s="41" t="inlineStr">
        <is>
          <t>WBD</t>
        </is>
      </c>
      <c r="R97" s="41" t="inlineStr">
        <is>
          <t>ROKU</t>
        </is>
      </c>
      <c r="W97" s="6" t="inlineStr"/>
    </row>
    <row r="98">
      <c r="A98" s="76">
        <f>ROW()-8</f>
        <v>90.0</v>
      </c>
      <c r="B98" s="6" t="inlineStr">
        <is>
          <t>交易所與金融數據</t>
        </is>
      </c>
      <c r="C98" s="9" t="inlineStr">
        <is>
          <t>Exchanges &amp; Market Data</t>
        </is>
      </c>
      <c r="D98" s="9" t="inlineStr">
        <is>
          <t>金融 Financials</t>
        </is>
      </c>
      <c r="E98" s="77" t="n">
        <v>19.09090909090909</v>
      </c>
      <c r="F98" s="77" t="n">
        <v>21.81818181818182</v>
      </c>
      <c r="G98" s="11" t="n">
        <v>-0.0004765220536467441</v>
      </c>
      <c r="H98" s="11" t="n">
        <v>-0.02324772342036641</v>
      </c>
      <c r="I98" s="78" t="n">
        <v>0.2</v>
      </c>
      <c r="J98" s="78" t="n">
        <v>0.44</v>
      </c>
      <c r="K98" s="79" t="n">
        <v>0.9999999999999999</v>
      </c>
      <c r="L98" s="80" t="n">
        <v>-0.2076534048411037</v>
      </c>
      <c r="M98" s="81" t="n">
        <v>-626.4593254228503</v>
      </c>
      <c r="N98" s="81" t="n">
        <v>-2586.417386465158</v>
      </c>
      <c r="O98" s="41" t="inlineStr">
        <is>
          <t>CME</t>
        </is>
      </c>
      <c r="P98" s="41" t="inlineStr">
        <is>
          <t>ICE</t>
        </is>
      </c>
      <c r="Q98" s="41" t="inlineStr">
        <is>
          <t>NDAQ</t>
        </is>
      </c>
      <c r="R98" s="41" t="inlineStr">
        <is>
          <t>CBOE</t>
        </is>
      </c>
      <c r="S98" s="41" t="inlineStr">
        <is>
          <t>SPGI</t>
        </is>
      </c>
      <c r="W98" s="6" t="inlineStr"/>
    </row>
    <row r="99">
      <c r="A99" s="76">
        <f>ROW()-8</f>
        <v>91.0</v>
      </c>
      <c r="B99" s="6" t="inlineStr">
        <is>
          <t>廢物管理與環境服務</t>
        </is>
      </c>
      <c r="C99" s="9" t="inlineStr">
        <is>
          <t>Waste &amp; Environmental Services</t>
        </is>
      </c>
      <c r="D99" s="9" t="inlineStr">
        <is>
          <t>工業 Industrials</t>
        </is>
      </c>
      <c r="E99" s="77" t="n">
        <v>18.18181818181818</v>
      </c>
      <c r="F99" s="77" t="n">
        <v>18.18181818181818</v>
      </c>
      <c r="G99" s="11" t="n">
        <v>-0.00815159629780462</v>
      </c>
      <c r="H99" s="11" t="n">
        <v>-0.0137109783376802</v>
      </c>
      <c r="I99" s="78" t="n">
        <v>0</v>
      </c>
      <c r="J99" s="78" t="n">
        <v>0.44</v>
      </c>
      <c r="K99" s="79" t="n">
        <v>1</v>
      </c>
      <c r="L99" s="80" t="n">
        <v>-0.3204609123462943</v>
      </c>
      <c r="M99" s="81" t="n">
        <v>-241.4746653572474</v>
      </c>
      <c r="N99" s="81" t="n">
        <v>-1863.917160396819</v>
      </c>
      <c r="O99" s="41" t="inlineStr">
        <is>
          <t>WM</t>
        </is>
      </c>
      <c r="P99" s="41" t="inlineStr">
        <is>
          <t>RSG</t>
        </is>
      </c>
      <c r="Q99" s="41" t="inlineStr">
        <is>
          <t>WCN</t>
        </is>
      </c>
      <c r="R99" s="41" t="inlineStr">
        <is>
          <t>CLH</t>
        </is>
      </c>
      <c r="S99" s="41" t="inlineStr">
        <is>
          <t>CWST</t>
        </is>
      </c>
      <c r="W99" s="6" t="inlineStr"/>
    </row>
    <row r="100">
      <c r="A100" s="82">
        <f>ROW()-8</f>
        <v>92.0</v>
      </c>
      <c r="B100" s="29" t="inlineStr">
        <is>
          <t>LNG液化天然氣</t>
        </is>
      </c>
      <c r="C100" s="83" t="inlineStr">
        <is>
          <t>LNG &amp; Gas Export</t>
        </is>
      </c>
      <c r="D100" s="83" t="inlineStr">
        <is>
          <t>能源 Energy</t>
        </is>
      </c>
      <c r="E100" s="84" t="n">
        <v>17.27272727272727</v>
      </c>
      <c r="F100" s="84" t="n">
        <v>38.18181818181819</v>
      </c>
      <c r="G100" s="31" t="n">
        <v>-0.008359719247273457</v>
      </c>
      <c r="H100" s="98" t="inlineStr">
        <is>
          <t>n/a（數據缺陷）</t>
        </is>
      </c>
      <c r="I100" s="32" t="n">
        <v>0.4</v>
      </c>
      <c r="J100" s="32" t="n">
        <v>0.28</v>
      </c>
      <c r="K100" s="85" t="n">
        <v>1</v>
      </c>
      <c r="L100" s="86" t="n">
        <v>-0.1023359007759716</v>
      </c>
      <c r="M100" s="87" t="n">
        <v>318.6614437795847</v>
      </c>
      <c r="N100" s="87" t="n">
        <v>-754.2614059273241</v>
      </c>
      <c r="O100" s="88" t="inlineStr">
        <is>
          <t>LNG</t>
        </is>
      </c>
      <c r="P100" s="88" t="inlineStr">
        <is>
          <t>NFE</t>
        </is>
      </c>
      <c r="Q100" s="88" t="inlineStr">
        <is>
          <t>GLNG</t>
        </is>
      </c>
      <c r="R100" s="88" t="inlineStr">
        <is>
          <t>VG</t>
        </is>
      </c>
      <c r="S100" s="88" t="inlineStr">
        <is>
          <t>EE</t>
        </is>
      </c>
      <c r="T100" s="89" t="n"/>
      <c r="U100" s="89" t="n"/>
      <c r="V100" s="89" t="n"/>
      <c r="W100" s="90" t="inlineStr">
        <is>
          <t>⚠ 數據缺陷：成分股 NFE 反向拆股未還原（9/11 $0.33 → 9/15 $12.77），本列 5 日漲跌不可用。詳見「數據來源與限制」頁</t>
        </is>
      </c>
    </row>
    <row r="101">
      <c r="A101" s="76">
        <f>ROW()-8</f>
        <v>93.0</v>
      </c>
      <c r="B101" s="6" t="inlineStr">
        <is>
          <t>醫療保險與管理式醫療</t>
        </is>
      </c>
      <c r="C101" s="9" t="inlineStr">
        <is>
          <t>Managed Care &amp; Health Insurers</t>
        </is>
      </c>
      <c r="D101" s="9" t="inlineStr">
        <is>
          <t>醫療保健 Health Care</t>
        </is>
      </c>
      <c r="E101" s="77" t="n">
        <v>16.36363636363636</v>
      </c>
      <c r="F101" s="77" t="n">
        <v>26.36363636363636</v>
      </c>
      <c r="G101" s="11" t="n">
        <v>0.0009463320803849484</v>
      </c>
      <c r="H101" s="11" t="n">
        <v>-0.01394511039017654</v>
      </c>
      <c r="I101" s="78" t="n">
        <v>0.4</v>
      </c>
      <c r="J101" s="78" t="n">
        <v>0.44</v>
      </c>
      <c r="K101" s="79" t="n">
        <v>1</v>
      </c>
      <c r="L101" s="80" t="n">
        <v>-0.165151682023333</v>
      </c>
      <c r="M101" s="81" t="n">
        <v>-1421.61146500272</v>
      </c>
      <c r="N101" s="81" t="n">
        <v>-6367.264621251593</v>
      </c>
      <c r="O101" s="41" t="inlineStr">
        <is>
          <t>UNH</t>
        </is>
      </c>
      <c r="P101" s="41" t="inlineStr">
        <is>
          <t>ELV</t>
        </is>
      </c>
      <c r="Q101" s="41" t="inlineStr">
        <is>
          <t>CI</t>
        </is>
      </c>
      <c r="R101" s="41" t="inlineStr">
        <is>
          <t>HUM</t>
        </is>
      </c>
      <c r="S101" s="41" t="inlineStr">
        <is>
          <t>CNC</t>
        </is>
      </c>
      <c r="W101" s="6" t="inlineStr"/>
    </row>
    <row r="102">
      <c r="A102" s="76">
        <f>ROW()-8</f>
        <v>94.0</v>
      </c>
      <c r="B102" s="5" t="inlineStr">
        <is>
          <t>稀土與關鍵礦產</t>
        </is>
      </c>
      <c r="C102" s="9" t="inlineStr">
        <is>
          <t>Rare Earths &amp; Critical Minerals</t>
        </is>
      </c>
      <c r="D102" s="9" t="inlineStr">
        <is>
          <t>原材料 Materials</t>
        </is>
      </c>
      <c r="E102" s="77" t="n">
        <v>15.45454545454545</v>
      </c>
      <c r="F102" s="77" t="n">
        <v>66.36363636363637</v>
      </c>
      <c r="G102" s="11" t="n">
        <v>0.02486573134593758</v>
      </c>
      <c r="H102" s="11" t="n">
        <v>-0.05918194750909</v>
      </c>
      <c r="I102" s="78" t="n">
        <v>1</v>
      </c>
      <c r="J102" s="78" t="n">
        <v>0.3666666666666666</v>
      </c>
      <c r="K102" s="79" t="n">
        <v>0.9999999999999999</v>
      </c>
      <c r="L102" s="80" t="n">
        <v>0.4668793416194609</v>
      </c>
      <c r="M102" s="81" t="n">
        <v>-349.4999655873607</v>
      </c>
      <c r="N102" s="81" t="n">
        <v>-1264.916442635283</v>
      </c>
      <c r="O102" s="41" t="inlineStr">
        <is>
          <t>MP</t>
        </is>
      </c>
      <c r="P102" s="41" t="inlineStr">
        <is>
          <t>USAR</t>
        </is>
      </c>
      <c r="Q102" s="41" t="inlineStr">
        <is>
          <t>UUUU</t>
        </is>
      </c>
      <c r="R102" s="41" t="inlineStr">
        <is>
          <t>TMC</t>
        </is>
      </c>
      <c r="S102" s="41" t="inlineStr">
        <is>
          <t>ALOY</t>
        </is>
      </c>
      <c r="T102" s="41" t="inlineStr">
        <is>
          <t>NB</t>
        </is>
      </c>
      <c r="W102" s="6" t="inlineStr">
        <is>
          <t>△ B 類改中性：9/17 +2.49%、廣度 1.00，名次 109→94</t>
        </is>
      </c>
    </row>
    <row r="103">
      <c r="A103" s="76">
        <f>ROW()-8</f>
        <v>95.0</v>
      </c>
      <c r="B103" s="6" t="inlineStr">
        <is>
          <t>消費金融與BNPL</t>
        </is>
      </c>
      <c r="C103" s="9" t="inlineStr">
        <is>
          <t>Consumer Finance &amp; BNPL</t>
        </is>
      </c>
      <c r="D103" s="9" t="inlineStr">
        <is>
          <t>金融 Financials</t>
        </is>
      </c>
      <c r="E103" s="77" t="n">
        <v>14.54545454545454</v>
      </c>
      <c r="F103" s="77" t="n">
        <v>9.090909090909092</v>
      </c>
      <c r="G103" s="11" t="n">
        <v>-0.00783903511073838</v>
      </c>
      <c r="H103" s="11" t="n">
        <v>-0.01203399772136904</v>
      </c>
      <c r="I103" s="78" t="n">
        <v>0</v>
      </c>
      <c r="J103" s="78" t="n">
        <v>0.4</v>
      </c>
      <c r="K103" s="79" t="n">
        <v>0.9999999999999999</v>
      </c>
      <c r="L103" s="80" t="n">
        <v>-0.620845018053792</v>
      </c>
      <c r="M103" s="81" t="n">
        <v>-2347.580649230417</v>
      </c>
      <c r="N103" s="81" t="n">
        <v>-2337.220438350716</v>
      </c>
      <c r="O103" s="41" t="inlineStr">
        <is>
          <t>AXP</t>
        </is>
      </c>
      <c r="P103" s="41" t="inlineStr">
        <is>
          <t>COF</t>
        </is>
      </c>
      <c r="Q103" s="41" t="inlineStr">
        <is>
          <t>SYF</t>
        </is>
      </c>
      <c r="R103" s="41" t="inlineStr">
        <is>
          <t>SOFI</t>
        </is>
      </c>
      <c r="S103" s="41" t="inlineStr">
        <is>
          <t>AFRM</t>
        </is>
      </c>
      <c r="W103" s="6" t="inlineStr"/>
    </row>
    <row r="104">
      <c r="A104" s="76">
        <f>ROW()-8</f>
        <v>96.0</v>
      </c>
      <c r="B104" s="5" t="inlineStr">
        <is>
          <t>鈾與核燃料</t>
        </is>
      </c>
      <c r="C104" s="9" t="inlineStr">
        <is>
          <t>Uranium &amp; Nuclear Fuel</t>
        </is>
      </c>
      <c r="D104" s="9" t="inlineStr">
        <is>
          <t>能源 Energy</t>
        </is>
      </c>
      <c r="E104" s="77" t="n">
        <v>13.63636363636363</v>
      </c>
      <c r="F104" s="77" t="n">
        <v>86.36363636363636</v>
      </c>
      <c r="G104" s="11" t="n">
        <v>0.03024831142679853</v>
      </c>
      <c r="H104" s="11" t="n">
        <v>-0.08964225672435744</v>
      </c>
      <c r="I104" s="78" t="n">
        <v>1</v>
      </c>
      <c r="J104" s="78" t="n">
        <v>0.24</v>
      </c>
      <c r="K104" s="79" t="n">
        <v>1</v>
      </c>
      <c r="L104" s="80" t="n">
        <v>0.7454311977601341</v>
      </c>
      <c r="M104" s="81" t="n">
        <v>115.3822566502096</v>
      </c>
      <c r="N104" s="81" t="n">
        <v>-937.0346839167049</v>
      </c>
      <c r="O104" s="41" t="inlineStr">
        <is>
          <t>CCJ</t>
        </is>
      </c>
      <c r="P104" s="41" t="inlineStr">
        <is>
          <t>UEC</t>
        </is>
      </c>
      <c r="Q104" s="41" t="inlineStr">
        <is>
          <t>LEU</t>
        </is>
      </c>
      <c r="R104" s="41" t="inlineStr">
        <is>
          <t>UUUU</t>
        </is>
      </c>
      <c r="S104" s="41" t="inlineStr">
        <is>
          <t>DNN</t>
        </is>
      </c>
      <c r="W104" s="6" t="inlineStr">
        <is>
          <t>△ B 類改中性：9/17 +3.02%、廣度 1.00，名次 111→96</t>
        </is>
      </c>
    </row>
    <row r="105">
      <c r="A105" s="76">
        <f>ROW()-8</f>
        <v>97.0</v>
      </c>
      <c r="B105" s="6" t="inlineStr">
        <is>
          <t>有線/寬頻/衛星</t>
        </is>
      </c>
      <c r="C105" s="9" t="inlineStr">
        <is>
          <t>Cable, Broadband &amp; Satellite</t>
        </is>
      </c>
      <c r="D105" s="9" t="inlineStr">
        <is>
          <t>通訊服務 Communication Services</t>
        </is>
      </c>
      <c r="E105" s="77" t="n">
        <v>12.72727272727273</v>
      </c>
      <c r="F105" s="77" t="n">
        <v>30.90909090909091</v>
      </c>
      <c r="G105" s="11" t="n">
        <v>0.004190719352520615</v>
      </c>
      <c r="H105" s="11" t="n">
        <v>-0.03154706156541165</v>
      </c>
      <c r="I105" s="78" t="n">
        <v>0.3333333333333333</v>
      </c>
      <c r="J105" s="78" t="n">
        <v>0.2666666666666667</v>
      </c>
      <c r="K105" s="79" t="n">
        <v>1</v>
      </c>
      <c r="L105" s="80" t="n">
        <v>-0.1408931617950744</v>
      </c>
      <c r="M105" s="81" t="n">
        <v>-209.9117825389676</v>
      </c>
      <c r="N105" s="81" t="n">
        <v>-2236.025973339624</v>
      </c>
      <c r="O105" s="41" t="inlineStr">
        <is>
          <t>CMCSA</t>
        </is>
      </c>
      <c r="P105" s="41" t="inlineStr">
        <is>
          <t>CHTR</t>
        </is>
      </c>
      <c r="Q105" s="41" t="inlineStr">
        <is>
          <t>ASTS</t>
        </is>
      </c>
      <c r="W105" s="6" t="inlineStr"/>
    </row>
    <row r="106">
      <c r="A106" s="91">
        <f>ROW()-8</f>
        <v>98.0</v>
      </c>
      <c r="B106" s="22" t="inlineStr">
        <is>
          <t>投行與資本巿場</t>
        </is>
      </c>
      <c r="C106" s="92" t="inlineStr">
        <is>
          <t>Investment Banks &amp; Capital Markets</t>
        </is>
      </c>
      <c r="D106" s="92" t="inlineStr">
        <is>
          <t>金融 Financials</t>
        </is>
      </c>
      <c r="E106" s="93" t="n">
        <v>11.81818181818182</v>
      </c>
      <c r="F106" s="93" t="n">
        <v>63.63636363636363</v>
      </c>
      <c r="G106" s="24" t="n">
        <v>0.00432291219416161</v>
      </c>
      <c r="H106" s="24" t="n">
        <v>-0.08684702326878357</v>
      </c>
      <c r="I106" s="25" t="n">
        <v>0.8</v>
      </c>
      <c r="J106" s="25" t="n">
        <v>0.28</v>
      </c>
      <c r="K106" s="94" t="n">
        <v>0.9999999999999999</v>
      </c>
      <c r="L106" s="95" t="n">
        <v>0.09841312531152331</v>
      </c>
      <c r="M106" s="96" t="n">
        <v>1198.758207203027</v>
      </c>
      <c r="N106" s="96" t="n">
        <v>-2872.356982185269</v>
      </c>
      <c r="O106" s="60" t="inlineStr">
        <is>
          <t>GS</t>
        </is>
      </c>
      <c r="P106" s="60" t="inlineStr">
        <is>
          <t>MS</t>
        </is>
      </c>
      <c r="Q106" s="60" t="inlineStr">
        <is>
          <t>EVR</t>
        </is>
      </c>
      <c r="R106" s="60" t="inlineStr">
        <is>
          <t>LAZ</t>
        </is>
      </c>
      <c r="S106" s="60" t="inlineStr">
        <is>
          <t>JEF</t>
        </is>
      </c>
      <c r="T106" s="97" t="n"/>
      <c r="U106" s="97" t="n"/>
      <c r="V106" s="97" t="n"/>
      <c r="W106" s="23" t="inlineStr">
        <is>
          <t>✕ A 類迴避：ret5 −8.68%</t>
        </is>
      </c>
    </row>
    <row r="107">
      <c r="A107" s="76">
        <f>ROW()-8</f>
        <v>99.0</v>
      </c>
      <c r="B107" s="6" t="inlineStr">
        <is>
          <t>住宅公寓REIT</t>
        </is>
      </c>
      <c r="C107" s="9" t="inlineStr">
        <is>
          <t>Residential &amp; Apartment REITs</t>
        </is>
      </c>
      <c r="D107" s="9" t="inlineStr">
        <is>
          <t>房地產 Real Estate</t>
        </is>
      </c>
      <c r="E107" s="77" t="n">
        <v>10.90909090909091</v>
      </c>
      <c r="F107" s="77" t="n">
        <v>11.81818181818182</v>
      </c>
      <c r="G107" s="11" t="n">
        <v>-0.003602798759175278</v>
      </c>
      <c r="H107" s="11" t="n">
        <v>-0.01658855286738292</v>
      </c>
      <c r="I107" s="78" t="n">
        <v>0</v>
      </c>
      <c r="J107" s="78" t="n">
        <v>0.3333333333333333</v>
      </c>
      <c r="K107" s="79" t="n">
        <v>1</v>
      </c>
      <c r="L107" s="80" t="n">
        <v>-0.2120805570120755</v>
      </c>
      <c r="M107" s="81" t="n">
        <v>-203.9934756900033</v>
      </c>
      <c r="N107" s="81" t="n">
        <v>-664.0014221344674</v>
      </c>
      <c r="O107" s="41" t="inlineStr">
        <is>
          <t>MAA</t>
        </is>
      </c>
      <c r="P107" s="41" t="inlineStr">
        <is>
          <t>INVH</t>
        </is>
      </c>
      <c r="Q107" s="41" t="inlineStr">
        <is>
          <t>AMH</t>
        </is>
      </c>
      <c r="W107" s="6" t="inlineStr"/>
    </row>
    <row r="108">
      <c r="A108" s="91">
        <f>ROW()-8</f>
        <v>100.0</v>
      </c>
      <c r="B108" s="22" t="inlineStr">
        <is>
          <t>電信營運商</t>
        </is>
      </c>
      <c r="C108" s="92" t="inlineStr">
        <is>
          <t>Telecom Carriers</t>
        </is>
      </c>
      <c r="D108" s="92" t="inlineStr">
        <is>
          <t>通訊服務 Communication Services</t>
        </is>
      </c>
      <c r="E108" s="93" t="n">
        <v>10</v>
      </c>
      <c r="F108" s="93" t="n">
        <v>0</v>
      </c>
      <c r="G108" s="24" t="n">
        <v>-0.03433751301374496</v>
      </c>
      <c r="H108" s="24" t="n">
        <v>-0.03336273602786166</v>
      </c>
      <c r="I108" s="25" t="n">
        <v>0</v>
      </c>
      <c r="J108" s="25" t="n">
        <v>0.5333333333333333</v>
      </c>
      <c r="K108" s="94" t="n">
        <v>1</v>
      </c>
      <c r="L108" s="95" t="n">
        <v>-0.9873353576922212</v>
      </c>
      <c r="M108" s="96" t="n">
        <v>-2258.853988806551</v>
      </c>
      <c r="N108" s="96" t="n">
        <v>-2502.008432193298</v>
      </c>
      <c r="O108" s="60" t="inlineStr">
        <is>
          <t>T</t>
        </is>
      </c>
      <c r="P108" s="60" t="inlineStr">
        <is>
          <t>VZ</t>
        </is>
      </c>
      <c r="Q108" s="60" t="inlineStr">
        <is>
          <t>TMUS</t>
        </is>
      </c>
      <c r="R108" s="97" t="n"/>
      <c r="S108" s="97" t="n"/>
      <c r="T108" s="97" t="n"/>
      <c r="U108" s="97" t="n"/>
      <c r="V108" s="97" t="n"/>
      <c r="W108" s="23" t="inlineStr">
        <is>
          <t>✕ A 類迴避（判斷已驗證）：9/17 −3.43%、廣度 0.00，當日 111 組最差，名次 33→100</t>
        </is>
      </c>
    </row>
    <row r="109">
      <c r="A109" s="76">
        <f>ROW()-8</f>
        <v>101.0</v>
      </c>
      <c r="B109" s="6" t="inlineStr">
        <is>
          <t>零售與購物中心REIT</t>
        </is>
      </c>
      <c r="C109" s="9" t="inlineStr">
        <is>
          <t>Retail REITs</t>
        </is>
      </c>
      <c r="D109" s="9" t="inlineStr">
        <is>
          <t>房地產 Real Estate</t>
        </is>
      </c>
      <c r="E109" s="77" t="n">
        <v>9.090909090909092</v>
      </c>
      <c r="F109" s="77" t="n">
        <v>39.09090909090909</v>
      </c>
      <c r="G109" s="11" t="n">
        <v>0.0003834205615401931</v>
      </c>
      <c r="H109" s="11" t="n">
        <v>-0.02513429555267921</v>
      </c>
      <c r="I109" s="78" t="n">
        <v>0.4</v>
      </c>
      <c r="J109" s="78" t="n">
        <v>0.32</v>
      </c>
      <c r="K109" s="79" t="n">
        <v>1</v>
      </c>
      <c r="L109" s="80" t="n">
        <v>0.07214602652570715</v>
      </c>
      <c r="M109" s="81" t="n">
        <v>-125.5842799156919</v>
      </c>
      <c r="N109" s="81" t="n">
        <v>-2266.687546040353</v>
      </c>
      <c r="O109" s="41" t="inlineStr">
        <is>
          <t>SPG</t>
        </is>
      </c>
      <c r="P109" s="41" t="inlineStr">
        <is>
          <t>O</t>
        </is>
      </c>
      <c r="Q109" s="41" t="inlineStr">
        <is>
          <t>KIM</t>
        </is>
      </c>
      <c r="R109" s="41" t="inlineStr">
        <is>
          <t>REG</t>
        </is>
      </c>
      <c r="S109" s="41" t="inlineStr">
        <is>
          <t>FRT</t>
        </is>
      </c>
      <c r="W109" s="6" t="inlineStr"/>
    </row>
    <row r="110">
      <c r="A110" s="76">
        <f>ROW()-8</f>
        <v>102.0</v>
      </c>
      <c r="B110" s="6" t="inlineStr">
        <is>
          <t>家居耐用與休閒用品</t>
        </is>
      </c>
      <c r="C110" s="9" t="inlineStr">
        <is>
          <t>Household Durables &amp; Leisure Products</t>
        </is>
      </c>
      <c r="D110" s="9" t="inlineStr">
        <is>
          <t>非必需消費 Consumer Discretionary</t>
        </is>
      </c>
      <c r="E110" s="77" t="n">
        <v>8.181818181818182</v>
      </c>
      <c r="F110" s="77" t="n">
        <v>46.36363636363636</v>
      </c>
      <c r="G110" s="11" t="n">
        <v>0.006449347620341744</v>
      </c>
      <c r="H110" s="11" t="n">
        <v>-0.03070390454928473</v>
      </c>
      <c r="I110" s="78" t="n">
        <v>0.5</v>
      </c>
      <c r="J110" s="78" t="n">
        <v>0.35</v>
      </c>
      <c r="K110" s="79" t="n">
        <v>1</v>
      </c>
      <c r="L110" s="80" t="n">
        <v>0.1486731089046838</v>
      </c>
      <c r="M110" s="81" t="n">
        <v>-125.2046859489241</v>
      </c>
      <c r="N110" s="81" t="n">
        <v>-925.4331270164297</v>
      </c>
      <c r="O110" s="41" t="inlineStr">
        <is>
          <t>WHR</t>
        </is>
      </c>
      <c r="P110" s="41" t="inlineStr">
        <is>
          <t>MHK</t>
        </is>
      </c>
      <c r="Q110" s="41" t="inlineStr">
        <is>
          <t>POOL</t>
        </is>
      </c>
      <c r="R110" s="41" t="inlineStr">
        <is>
          <t>BC</t>
        </is>
      </c>
      <c r="W110" s="6" t="inlineStr"/>
    </row>
    <row r="111">
      <c r="A111" s="91">
        <f>ROW()-8</f>
        <v>103.0</v>
      </c>
      <c r="B111" s="22" t="inlineStr">
        <is>
          <t>油田服務</t>
        </is>
      </c>
      <c r="C111" s="92" t="inlineStr">
        <is>
          <t>Oilfield Services</t>
        </is>
      </c>
      <c r="D111" s="92" t="inlineStr">
        <is>
          <t>能源 Energy</t>
        </is>
      </c>
      <c r="E111" s="93" t="n">
        <v>7.272727272727272</v>
      </c>
      <c r="F111" s="93" t="n">
        <v>20.90909090909091</v>
      </c>
      <c r="G111" s="24" t="n">
        <v>-0.004215409888310734</v>
      </c>
      <c r="H111" s="24" t="n">
        <v>-0.06544359326150839</v>
      </c>
      <c r="I111" s="25" t="n">
        <v>0.25</v>
      </c>
      <c r="J111" s="25" t="n">
        <v>0.25</v>
      </c>
      <c r="K111" s="94" t="n">
        <v>1</v>
      </c>
      <c r="L111" s="95" t="n">
        <v>-0.006815879282797999</v>
      </c>
      <c r="M111" s="96" t="n">
        <v>-424.9180263578164</v>
      </c>
      <c r="N111" s="96" t="n">
        <v>-1700.872824857736</v>
      </c>
      <c r="O111" s="60" t="inlineStr">
        <is>
          <t>SLB</t>
        </is>
      </c>
      <c r="P111" s="60" t="inlineStr">
        <is>
          <t>HAL</t>
        </is>
      </c>
      <c r="Q111" s="60" t="inlineStr">
        <is>
          <t>BKR</t>
        </is>
      </c>
      <c r="R111" s="60" t="inlineStr">
        <is>
          <t>WFRD</t>
        </is>
      </c>
      <c r="S111" s="97" t="n"/>
      <c r="T111" s="97" t="n"/>
      <c r="U111" s="97" t="n"/>
      <c r="V111" s="97" t="n"/>
      <c r="W111" s="23" t="inlineStr">
        <is>
          <t>✕ A 類迴避：9/17 反彈日仍 −0.42%，名次 101→103</t>
        </is>
      </c>
    </row>
    <row r="112">
      <c r="A112" s="91">
        <f>ROW()-8</f>
        <v>104.0</v>
      </c>
      <c r="B112" s="22" t="inlineStr">
        <is>
          <t>區域與社區銀行</t>
        </is>
      </c>
      <c r="C112" s="92" t="inlineStr">
        <is>
          <t>Regional Banks</t>
        </is>
      </c>
      <c r="D112" s="92" t="inlineStr">
        <is>
          <t>金融 Financials</t>
        </is>
      </c>
      <c r="E112" s="93" t="n">
        <v>6.363636363636363</v>
      </c>
      <c r="F112" s="93" t="n">
        <v>42.72727272727273</v>
      </c>
      <c r="G112" s="24" t="n">
        <v>0.003284718602271885</v>
      </c>
      <c r="H112" s="24" t="n">
        <v>-0.0415348131405735</v>
      </c>
      <c r="I112" s="25" t="n">
        <v>0.4</v>
      </c>
      <c r="J112" s="25" t="n">
        <v>0.28</v>
      </c>
      <c r="K112" s="94" t="n">
        <v>1</v>
      </c>
      <c r="L112" s="95" t="n">
        <v>-0.2320588087780744</v>
      </c>
      <c r="M112" s="96" t="n">
        <v>-210.6178984398098</v>
      </c>
      <c r="N112" s="96" t="n">
        <v>-3109.372599352912</v>
      </c>
      <c r="O112" s="60" t="inlineStr">
        <is>
          <t>USB</t>
        </is>
      </c>
      <c r="P112" s="60" t="inlineStr">
        <is>
          <t>PNC</t>
        </is>
      </c>
      <c r="Q112" s="60" t="inlineStr">
        <is>
          <t>TFC</t>
        </is>
      </c>
      <c r="R112" s="60" t="inlineStr">
        <is>
          <t>MTB</t>
        </is>
      </c>
      <c r="S112" s="60" t="inlineStr">
        <is>
          <t>ZION</t>
        </is>
      </c>
      <c r="T112" s="97" t="n"/>
      <c r="U112" s="97" t="n"/>
      <c r="V112" s="97" t="n"/>
      <c r="W112" s="23" t="inlineStr">
        <is>
          <t>✕ A 類迴避：9/17 只 +0.33%，名次 89→104</t>
        </is>
      </c>
    </row>
    <row r="113">
      <c r="A113" s="76">
        <f>ROW()-8</f>
        <v>105.0</v>
      </c>
      <c r="B113" s="6" t="inlineStr">
        <is>
          <t>必需品分銷</t>
        </is>
      </c>
      <c r="C113" s="9" t="inlineStr">
        <is>
          <t>Staples Distribution</t>
        </is>
      </c>
      <c r="D113" s="9" t="inlineStr">
        <is>
          <t>必需消費 Consumer Staples</t>
        </is>
      </c>
      <c r="E113" s="77" t="n">
        <v>5.454545454545454</v>
      </c>
      <c r="F113" s="77" t="n">
        <v>23.63636363636364</v>
      </c>
      <c r="G113" s="11" t="n">
        <v>-0.0005504575279488</v>
      </c>
      <c r="H113" s="11" t="n">
        <v>-0.02950336969734357</v>
      </c>
      <c r="I113" s="78" t="n">
        <v>0.5</v>
      </c>
      <c r="J113" s="78" t="n">
        <v>0.45</v>
      </c>
      <c r="K113" s="79" t="n">
        <v>1</v>
      </c>
      <c r="L113" s="80" t="n">
        <v>0.05272681834910382</v>
      </c>
      <c r="M113" s="81" t="n">
        <v>-312.1662524510821</v>
      </c>
      <c r="N113" s="81" t="n">
        <v>-2503.423486812786</v>
      </c>
      <c r="O113" s="41" t="inlineStr">
        <is>
          <t>SYY</t>
        </is>
      </c>
      <c r="P113" s="41" t="inlineStr">
        <is>
          <t>USFD</t>
        </is>
      </c>
      <c r="Q113" s="41" t="inlineStr">
        <is>
          <t>PFGC</t>
        </is>
      </c>
      <c r="R113" s="41" t="inlineStr">
        <is>
          <t>CHEF</t>
        </is>
      </c>
      <c r="W113" s="6" t="inlineStr"/>
    </row>
    <row r="114">
      <c r="A114" s="76">
        <f>ROW()-8</f>
        <v>106.0</v>
      </c>
      <c r="B114" s="6" t="inlineStr">
        <is>
          <t>餐飲連鎖</t>
        </is>
      </c>
      <c r="C114" s="9" t="inlineStr">
        <is>
          <t>Restaurants</t>
        </is>
      </c>
      <c r="D114" s="9" t="inlineStr">
        <is>
          <t>非必需消費 Consumer Discretionary</t>
        </is>
      </c>
      <c r="E114" s="77" t="n">
        <v>4.545454545454546</v>
      </c>
      <c r="F114" s="77" t="n">
        <v>10.90909090909091</v>
      </c>
      <c r="G114" s="11" t="n">
        <v>-0.006910511623887028</v>
      </c>
      <c r="H114" s="11" t="n">
        <v>-0.03527712252301207</v>
      </c>
      <c r="I114" s="78" t="n">
        <v>0</v>
      </c>
      <c r="J114" s="78" t="n">
        <v>0.32</v>
      </c>
      <c r="K114" s="79" t="n">
        <v>1</v>
      </c>
      <c r="L114" s="80" t="n">
        <v>-0.2540798885746328</v>
      </c>
      <c r="M114" s="81" t="n">
        <v>-1948.178422067782</v>
      </c>
      <c r="N114" s="81" t="n">
        <v>-6641.634113915729</v>
      </c>
      <c r="O114" s="41" t="inlineStr">
        <is>
          <t>MCD</t>
        </is>
      </c>
      <c r="P114" s="41" t="inlineStr">
        <is>
          <t>SBUX</t>
        </is>
      </c>
      <c r="Q114" s="41" t="inlineStr">
        <is>
          <t>CMG</t>
        </is>
      </c>
      <c r="R114" s="41" t="inlineStr">
        <is>
          <t>YUM</t>
        </is>
      </c>
      <c r="S114" s="41" t="inlineStr">
        <is>
          <t>DRI</t>
        </is>
      </c>
      <c r="W114" s="6" t="inlineStr"/>
    </row>
    <row r="115">
      <c r="A115" s="76">
        <f>ROW()-8</f>
        <v>107.0</v>
      </c>
      <c r="B115" s="6" t="inlineStr">
        <is>
          <t>博彩與線上博彩</t>
        </is>
      </c>
      <c r="C115" s="9" t="inlineStr">
        <is>
          <t>Gaming &amp; Online Betting</t>
        </is>
      </c>
      <c r="D115" s="9" t="inlineStr">
        <is>
          <t>非必需消費 Consumer Discretionary</t>
        </is>
      </c>
      <c r="E115" s="77" t="n">
        <v>3.636363636363636</v>
      </c>
      <c r="F115" s="77" t="n">
        <v>0.9090909090909091</v>
      </c>
      <c r="G115" s="11" t="n">
        <v>-0.03518420675133166</v>
      </c>
      <c r="H115" s="11" t="n">
        <v>-0.05434810282220714</v>
      </c>
      <c r="I115" s="78" t="n">
        <v>0</v>
      </c>
      <c r="J115" s="78" t="n">
        <v>0.3</v>
      </c>
      <c r="K115" s="79" t="n">
        <v>1</v>
      </c>
      <c r="L115" s="80" t="n">
        <v>-0.7120937803780082</v>
      </c>
      <c r="M115" s="81" t="n">
        <v>-534.0037797215092</v>
      </c>
      <c r="N115" s="81" t="n">
        <v>-1019.02046841945</v>
      </c>
      <c r="O115" s="41" t="inlineStr">
        <is>
          <t>LVS</t>
        </is>
      </c>
      <c r="P115" s="41" t="inlineStr">
        <is>
          <t>MGM</t>
        </is>
      </c>
      <c r="Q115" s="41" t="inlineStr">
        <is>
          <t>DKNG</t>
        </is>
      </c>
      <c r="R115" s="41" t="inlineStr">
        <is>
          <t>FLUT</t>
        </is>
      </c>
      <c r="W115" s="6" t="inlineStr"/>
    </row>
    <row r="116">
      <c r="A116" s="76">
        <f>ROW()-8</f>
        <v>108.0</v>
      </c>
      <c r="B116" s="6" t="inlineStr">
        <is>
          <t>臨床期中小型生技</t>
        </is>
      </c>
      <c r="C116" s="9" t="inlineStr">
        <is>
          <t>Clinical-stage SMID Biotech</t>
        </is>
      </c>
      <c r="D116" s="9" t="inlineStr">
        <is>
          <t>醫療保健 Health Care</t>
        </is>
      </c>
      <c r="E116" s="77" t="n">
        <v>2.727272727272727</v>
      </c>
      <c r="F116" s="77" t="n">
        <v>70.90909090909091</v>
      </c>
      <c r="G116" s="11" t="n">
        <v>0.01089275278718876</v>
      </c>
      <c r="H116" s="11" t="n">
        <v>-0.07403865210035077</v>
      </c>
      <c r="I116" s="78" t="n">
        <v>0.7142857142857143</v>
      </c>
      <c r="J116" s="78" t="n">
        <v>0.3428571428571429</v>
      </c>
      <c r="K116" s="79" t="n">
        <v>1</v>
      </c>
      <c r="L116" s="80" t="n">
        <v>0.3703270884669919</v>
      </c>
      <c r="M116" s="81" t="n">
        <v>0.4387695069659751</v>
      </c>
      <c r="N116" s="81" t="n">
        <v>-1090.98242610126</v>
      </c>
      <c r="O116" s="41" t="inlineStr">
        <is>
          <t>DNLI</t>
        </is>
      </c>
      <c r="P116" s="41" t="inlineStr">
        <is>
          <t>ALEC</t>
        </is>
      </c>
      <c r="Q116" s="41" t="inlineStr">
        <is>
          <t>SANA</t>
        </is>
      </c>
      <c r="R116" s="41" t="inlineStr">
        <is>
          <t>VKTX</t>
        </is>
      </c>
      <c r="S116" s="41" t="inlineStr">
        <is>
          <t>MDGL</t>
        </is>
      </c>
      <c r="T116" s="41" t="inlineStr">
        <is>
          <t>IONS</t>
        </is>
      </c>
      <c r="U116" s="41" t="inlineStr">
        <is>
          <t>DTIL</t>
        </is>
      </c>
      <c r="W116" s="6" t="inlineStr"/>
    </row>
    <row r="117">
      <c r="A117" s="76">
        <f>ROW()-8</f>
        <v>109.0</v>
      </c>
      <c r="B117" s="6" t="inlineStr">
        <is>
          <t>藥品分銷與藥房</t>
        </is>
      </c>
      <c r="C117" s="9" t="inlineStr">
        <is>
          <t>Drug Distribution &amp; Pharmacy</t>
        </is>
      </c>
      <c r="D117" s="9" t="inlineStr">
        <is>
          <t>醫療保健 Health Care</t>
        </is>
      </c>
      <c r="E117" s="77" t="n">
        <v>1.818181818181818</v>
      </c>
      <c r="F117" s="77" t="n">
        <v>1.818181818181818</v>
      </c>
      <c r="G117" s="11" t="n">
        <v>-0.02007215859617315</v>
      </c>
      <c r="H117" s="11" t="n">
        <v>-0.03294902531353394</v>
      </c>
      <c r="I117" s="78" t="n">
        <v>0</v>
      </c>
      <c r="J117" s="78" t="n">
        <v>0.25</v>
      </c>
      <c r="K117" s="79" t="n">
        <v>1</v>
      </c>
      <c r="L117" s="80" t="n">
        <v>-0.4396042856996955</v>
      </c>
      <c r="M117" s="81" t="n">
        <v>-1502.428181085355</v>
      </c>
      <c r="N117" s="81" t="n">
        <v>-2979.03421527407</v>
      </c>
      <c r="O117" s="41" t="inlineStr">
        <is>
          <t>MCK</t>
        </is>
      </c>
      <c r="P117" s="41" t="inlineStr">
        <is>
          <t>COR</t>
        </is>
      </c>
      <c r="Q117" s="41" t="inlineStr">
        <is>
          <t>CAH</t>
        </is>
      </c>
      <c r="R117" s="41" t="inlineStr">
        <is>
          <t>CVS</t>
        </is>
      </c>
      <c r="W117" s="6" t="inlineStr"/>
    </row>
    <row r="118">
      <c r="A118" s="76">
        <f>ROW()-8</f>
        <v>110.0</v>
      </c>
      <c r="B118" s="6" t="inlineStr">
        <is>
          <t>保險經紀</t>
        </is>
      </c>
      <c r="C118" s="9" t="inlineStr">
        <is>
          <t>Insurance Brokers</t>
        </is>
      </c>
      <c r="D118" s="9" t="inlineStr">
        <is>
          <t>金融 Financials</t>
        </is>
      </c>
      <c r="E118" s="77" t="n">
        <v>0.9090909090909091</v>
      </c>
      <c r="F118" s="77" t="n">
        <v>7.272727272727272</v>
      </c>
      <c r="G118" s="11" t="n">
        <v>-0.01046276615045802</v>
      </c>
      <c r="H118" s="11" t="n">
        <v>-0.019336112106769</v>
      </c>
      <c r="I118" s="78" t="n">
        <v>0</v>
      </c>
      <c r="J118" s="78" t="n">
        <v>0.25</v>
      </c>
      <c r="K118" s="79" t="n">
        <v>1</v>
      </c>
      <c r="L118" s="80" t="n">
        <v>-0.2508702160886093</v>
      </c>
      <c r="M118" s="81" t="n">
        <v>-476.4563896842828</v>
      </c>
      <c r="N118" s="81" t="n">
        <v>-1720.475065183279</v>
      </c>
      <c r="O118" s="41" t="inlineStr">
        <is>
          <t>AON</t>
        </is>
      </c>
      <c r="P118" s="41" t="inlineStr">
        <is>
          <t>AJG</t>
        </is>
      </c>
      <c r="Q118" s="41" t="inlineStr">
        <is>
          <t>BRO</t>
        </is>
      </c>
      <c r="R118" s="41" t="inlineStr">
        <is>
          <t>WTW</t>
        </is>
      </c>
      <c r="W118" s="6" t="inlineStr"/>
    </row>
    <row r="119">
      <c r="A119" s="76">
        <f>ROW()-8</f>
        <v>111.0</v>
      </c>
      <c r="B119" s="6" t="inlineStr">
        <is>
          <t>煤炭</t>
        </is>
      </c>
      <c r="C119" s="9" t="inlineStr">
        <is>
          <t>Coal</t>
        </is>
      </c>
      <c r="D119" s="9" t="inlineStr">
        <is>
          <t>能源 Energy</t>
        </is>
      </c>
      <c r="E119" s="77" t="n">
        <v>0</v>
      </c>
      <c r="F119" s="77" t="n">
        <v>2.727272727272727</v>
      </c>
      <c r="G119" s="11" t="n">
        <v>-0.01139278130794081</v>
      </c>
      <c r="H119" s="11" t="n">
        <v>-0.1019025767787112</v>
      </c>
      <c r="I119" s="78" t="n">
        <v>0</v>
      </c>
      <c r="J119" s="78" t="n">
        <v>0.12</v>
      </c>
      <c r="K119" s="79" t="n">
        <v>1</v>
      </c>
      <c r="L119" s="80" t="n">
        <v>0.2158926609221273</v>
      </c>
      <c r="M119" s="81" t="n">
        <v>-191.5495343619405</v>
      </c>
      <c r="N119" s="81" t="n">
        <v>-630.6566899640173</v>
      </c>
      <c r="O119" s="41" t="inlineStr">
        <is>
          <t>BTU</t>
        </is>
      </c>
      <c r="P119" s="41" t="inlineStr">
        <is>
          <t>AMR</t>
        </is>
      </c>
      <c r="Q119" s="41" t="inlineStr">
        <is>
          <t>HCC</t>
        </is>
      </c>
      <c r="R119" s="41" t="inlineStr">
        <is>
          <t>CNR</t>
        </is>
      </c>
      <c r="S119" s="41" t="inlineStr">
        <is>
          <t>METC</t>
        </is>
      </c>
      <c r="W119" s="6" t="inlineStr"/>
    </row>
    <row r="121">
      <c r="B121" s="7" t="inlineStr">
        <is>
          <t>9/16 全市中位漲跌</t>
        </is>
      </c>
      <c r="G121" s="12" t="n">
        <v>0.002392156862745187</v>
      </c>
      <c r="I121" s="2" t="inlineStr">
        <is>
          <t>市場面板檔數 1,109（平衡面板：僅計每個計分日及其前一日均有報價的股票）</t>
        </is>
      </c>
    </row>
  </sheetData>
  <mergeCells count="3">
    <mergeCell ref="I121:W121"/>
    <mergeCell ref="A2:W2"/>
    <mergeCell ref="A1:W1"/>
  </mergeCells>
  <hyperlinks>
    <hyperlink ref="O9" r:id="rId1"/>
    <hyperlink ref="P9" r:id="rId2"/>
    <hyperlink ref="Q9" r:id="rId3"/>
    <hyperlink ref="R9" r:id="rId4"/>
    <hyperlink ref="O10" r:id="rId5"/>
    <hyperlink ref="P10" r:id="rId6"/>
    <hyperlink ref="Q10" r:id="rId7"/>
    <hyperlink ref="R10" r:id="rId8"/>
    <hyperlink ref="O11" r:id="rId9"/>
    <hyperlink ref="P11" r:id="rId10"/>
    <hyperlink ref="Q11" r:id="rId11"/>
    <hyperlink ref="R11" r:id="rId12"/>
    <hyperlink ref="S11" r:id="rId13"/>
    <hyperlink ref="T11" r:id="rId14"/>
    <hyperlink ref="O12" r:id="rId15"/>
    <hyperlink ref="P12" r:id="rId16"/>
    <hyperlink ref="Q12" r:id="rId17"/>
    <hyperlink ref="R12" r:id="rId18"/>
    <hyperlink ref="O13" r:id="rId19"/>
    <hyperlink ref="P13" r:id="rId20"/>
    <hyperlink ref="Q13" r:id="rId21"/>
    <hyperlink ref="R13" r:id="rId22"/>
    <hyperlink ref="S13" r:id="rId23"/>
    <hyperlink ref="O14" r:id="rId24"/>
    <hyperlink ref="P14" r:id="rId25"/>
    <hyperlink ref="Q14" r:id="rId26"/>
    <hyperlink ref="R14" r:id="rId27"/>
    <hyperlink ref="O15" r:id="rId28"/>
    <hyperlink ref="P15" r:id="rId29"/>
    <hyperlink ref="O16" r:id="rId30"/>
    <hyperlink ref="P16" r:id="rId31"/>
    <hyperlink ref="Q16" r:id="rId32"/>
    <hyperlink ref="R16" r:id="rId33"/>
    <hyperlink ref="S16" r:id="rId34"/>
    <hyperlink ref="O17" r:id="rId35"/>
    <hyperlink ref="P17" r:id="rId36"/>
    <hyperlink ref="Q17" r:id="rId37"/>
    <hyperlink ref="R17" r:id="rId38"/>
    <hyperlink ref="O18" r:id="rId39"/>
    <hyperlink ref="P18" r:id="rId40"/>
    <hyperlink ref="Q18" r:id="rId41"/>
    <hyperlink ref="R18" r:id="rId42"/>
    <hyperlink ref="S18" r:id="rId43"/>
    <hyperlink ref="O19" r:id="rId44"/>
    <hyperlink ref="P19" r:id="rId45"/>
    <hyperlink ref="Q19" r:id="rId46"/>
    <hyperlink ref="R19" r:id="rId47"/>
    <hyperlink ref="O20" r:id="rId48"/>
    <hyperlink ref="P20" r:id="rId49"/>
    <hyperlink ref="O21" r:id="rId50"/>
    <hyperlink ref="P21" r:id="rId51"/>
    <hyperlink ref="Q21" r:id="rId52"/>
    <hyperlink ref="R21" r:id="rId53"/>
    <hyperlink ref="O22" r:id="rId54"/>
    <hyperlink ref="P22" r:id="rId55"/>
    <hyperlink ref="Q22" r:id="rId56"/>
    <hyperlink ref="R22" r:id="rId57"/>
    <hyperlink ref="O23" r:id="rId58"/>
    <hyperlink ref="P23" r:id="rId59"/>
    <hyperlink ref="Q23" r:id="rId60"/>
    <hyperlink ref="R23" r:id="rId61"/>
    <hyperlink ref="O24" r:id="rId62"/>
    <hyperlink ref="P24" r:id="rId63"/>
    <hyperlink ref="Q24" r:id="rId64"/>
    <hyperlink ref="R24" r:id="rId65"/>
    <hyperlink ref="S24" r:id="rId66"/>
    <hyperlink ref="O25" r:id="rId67"/>
    <hyperlink ref="P25" r:id="rId68"/>
    <hyperlink ref="Q25" r:id="rId69"/>
    <hyperlink ref="R25" r:id="rId70"/>
    <hyperlink ref="S25" r:id="rId71"/>
    <hyperlink ref="O26" r:id="rId72"/>
    <hyperlink ref="P26" r:id="rId73"/>
    <hyperlink ref="Q26" r:id="rId74"/>
    <hyperlink ref="R26" r:id="rId75"/>
    <hyperlink ref="S26" r:id="rId76"/>
    <hyperlink ref="T26" r:id="rId77"/>
    <hyperlink ref="O27" r:id="rId78"/>
    <hyperlink ref="P27" r:id="rId79"/>
    <hyperlink ref="Q27" r:id="rId80"/>
    <hyperlink ref="R27" r:id="rId81"/>
    <hyperlink ref="S27" r:id="rId82"/>
    <hyperlink ref="O28" r:id="rId83"/>
    <hyperlink ref="P28" r:id="rId84"/>
    <hyperlink ref="Q28" r:id="rId85"/>
    <hyperlink ref="R28" r:id="rId86"/>
    <hyperlink ref="O29" r:id="rId87"/>
    <hyperlink ref="P29" r:id="rId88"/>
    <hyperlink ref="Q29" r:id="rId89"/>
    <hyperlink ref="R29" r:id="rId90"/>
    <hyperlink ref="S29" r:id="rId91"/>
    <hyperlink ref="O30" r:id="rId92"/>
    <hyperlink ref="P30" r:id="rId93"/>
    <hyperlink ref="Q30" r:id="rId94"/>
    <hyperlink ref="R30" r:id="rId95"/>
    <hyperlink ref="S30" r:id="rId96"/>
    <hyperlink ref="O31" r:id="rId97"/>
    <hyperlink ref="P31" r:id="rId98"/>
    <hyperlink ref="Q31" r:id="rId99"/>
    <hyperlink ref="O32" r:id="rId100"/>
    <hyperlink ref="P32" r:id="rId101"/>
    <hyperlink ref="Q32" r:id="rId102"/>
    <hyperlink ref="R32" r:id="rId103"/>
    <hyperlink ref="O33" r:id="rId104"/>
    <hyperlink ref="P33" r:id="rId105"/>
    <hyperlink ref="Q33" r:id="rId106"/>
    <hyperlink ref="R33" r:id="rId107"/>
    <hyperlink ref="O34" r:id="rId108"/>
    <hyperlink ref="P34" r:id="rId109"/>
    <hyperlink ref="Q34" r:id="rId110"/>
    <hyperlink ref="R34" r:id="rId111"/>
    <hyperlink ref="S34" r:id="rId112"/>
    <hyperlink ref="O35" r:id="rId113"/>
    <hyperlink ref="P35" r:id="rId114"/>
    <hyperlink ref="Q35" r:id="rId115"/>
    <hyperlink ref="R35" r:id="rId116"/>
    <hyperlink ref="S35" r:id="rId117"/>
    <hyperlink ref="O36" r:id="rId118"/>
    <hyperlink ref="P36" r:id="rId119"/>
    <hyperlink ref="Q36" r:id="rId120"/>
    <hyperlink ref="R36" r:id="rId121"/>
    <hyperlink ref="S36" r:id="rId122"/>
    <hyperlink ref="T36" r:id="rId123"/>
    <hyperlink ref="O37" r:id="rId124"/>
    <hyperlink ref="P37" r:id="rId125"/>
    <hyperlink ref="Q37" r:id="rId126"/>
    <hyperlink ref="R37" r:id="rId127"/>
    <hyperlink ref="O38" r:id="rId128"/>
    <hyperlink ref="P38" r:id="rId129"/>
    <hyperlink ref="Q38" r:id="rId130"/>
    <hyperlink ref="R38" r:id="rId131"/>
    <hyperlink ref="S38" r:id="rId132"/>
    <hyperlink ref="T38" r:id="rId133"/>
    <hyperlink ref="U38" r:id="rId134"/>
    <hyperlink ref="V38" r:id="rId135"/>
    <hyperlink ref="O39" r:id="rId136"/>
    <hyperlink ref="P39" r:id="rId137"/>
    <hyperlink ref="Q39" r:id="rId138"/>
    <hyperlink ref="R39" r:id="rId139"/>
    <hyperlink ref="S39" r:id="rId140"/>
    <hyperlink ref="O40" r:id="rId141"/>
    <hyperlink ref="P40" r:id="rId142"/>
    <hyperlink ref="Q40" r:id="rId143"/>
    <hyperlink ref="O41" r:id="rId144"/>
    <hyperlink ref="P41" r:id="rId145"/>
    <hyperlink ref="Q41" r:id="rId146"/>
    <hyperlink ref="R41" r:id="rId147"/>
    <hyperlink ref="O42" r:id="rId148"/>
    <hyperlink ref="P42" r:id="rId149"/>
    <hyperlink ref="Q42" r:id="rId150"/>
    <hyperlink ref="R42" r:id="rId151"/>
    <hyperlink ref="S42" r:id="rId152"/>
    <hyperlink ref="O43" r:id="rId153"/>
    <hyperlink ref="P43" r:id="rId154"/>
    <hyperlink ref="Q43" r:id="rId155"/>
    <hyperlink ref="R43" r:id="rId156"/>
    <hyperlink ref="S43" r:id="rId157"/>
    <hyperlink ref="O44" r:id="rId158"/>
    <hyperlink ref="P44" r:id="rId159"/>
    <hyperlink ref="Q44" r:id="rId160"/>
    <hyperlink ref="R44" r:id="rId161"/>
    <hyperlink ref="S44" r:id="rId162"/>
    <hyperlink ref="O45" r:id="rId163"/>
    <hyperlink ref="P45" r:id="rId164"/>
    <hyperlink ref="Q45" r:id="rId165"/>
    <hyperlink ref="R45" r:id="rId166"/>
    <hyperlink ref="S45" r:id="rId167"/>
    <hyperlink ref="O46" r:id="rId168"/>
    <hyperlink ref="P46" r:id="rId169"/>
    <hyperlink ref="Q46" r:id="rId170"/>
    <hyperlink ref="R46" r:id="rId171"/>
    <hyperlink ref="S46" r:id="rId172"/>
    <hyperlink ref="O47" r:id="rId173"/>
    <hyperlink ref="P47" r:id="rId174"/>
    <hyperlink ref="Q47" r:id="rId175"/>
    <hyperlink ref="R47" r:id="rId176"/>
    <hyperlink ref="S47" r:id="rId177"/>
    <hyperlink ref="O48" r:id="rId178"/>
    <hyperlink ref="P48" r:id="rId179"/>
    <hyperlink ref="Q48" r:id="rId180"/>
    <hyperlink ref="O49" r:id="rId181"/>
    <hyperlink ref="P49" r:id="rId182"/>
    <hyperlink ref="Q49" r:id="rId183"/>
    <hyperlink ref="R49" r:id="rId184"/>
    <hyperlink ref="S49" r:id="rId185"/>
    <hyperlink ref="O50" r:id="rId186"/>
    <hyperlink ref="P50" r:id="rId187"/>
    <hyperlink ref="Q50" r:id="rId188"/>
    <hyperlink ref="R50" r:id="rId189"/>
    <hyperlink ref="O51" r:id="rId190"/>
    <hyperlink ref="P51" r:id="rId191"/>
    <hyperlink ref="Q51" r:id="rId192"/>
    <hyperlink ref="R51" r:id="rId193"/>
    <hyperlink ref="S51" r:id="rId194"/>
    <hyperlink ref="O52" r:id="rId195"/>
    <hyperlink ref="P52" r:id="rId196"/>
    <hyperlink ref="Q52" r:id="rId197"/>
    <hyperlink ref="R52" r:id="rId198"/>
    <hyperlink ref="S52" r:id="rId199"/>
    <hyperlink ref="O53" r:id="rId200"/>
    <hyperlink ref="P53" r:id="rId201"/>
    <hyperlink ref="O54" r:id="rId202"/>
    <hyperlink ref="P54" r:id="rId203"/>
    <hyperlink ref="Q54" r:id="rId204"/>
    <hyperlink ref="R54" r:id="rId205"/>
    <hyperlink ref="O55" r:id="rId206"/>
    <hyperlink ref="P55" r:id="rId207"/>
    <hyperlink ref="Q55" r:id="rId208"/>
    <hyperlink ref="R55" r:id="rId209"/>
    <hyperlink ref="S55" r:id="rId210"/>
    <hyperlink ref="O56" r:id="rId211"/>
    <hyperlink ref="P56" r:id="rId212"/>
    <hyperlink ref="Q56" r:id="rId213"/>
    <hyperlink ref="R56" r:id="rId214"/>
    <hyperlink ref="S56" r:id="rId215"/>
    <hyperlink ref="O57" r:id="rId216"/>
    <hyperlink ref="P57" r:id="rId217"/>
    <hyperlink ref="Q57" r:id="rId218"/>
    <hyperlink ref="R57" r:id="rId219"/>
    <hyperlink ref="S57" r:id="rId220"/>
    <hyperlink ref="O58" r:id="rId221"/>
    <hyperlink ref="P58" r:id="rId222"/>
    <hyperlink ref="Q58" r:id="rId223"/>
    <hyperlink ref="R58" r:id="rId224"/>
    <hyperlink ref="S58" r:id="rId225"/>
    <hyperlink ref="O59" r:id="rId226"/>
    <hyperlink ref="P59" r:id="rId227"/>
    <hyperlink ref="Q59" r:id="rId228"/>
    <hyperlink ref="R59" r:id="rId229"/>
    <hyperlink ref="S59" r:id="rId230"/>
    <hyperlink ref="T59" r:id="rId231"/>
    <hyperlink ref="O60" r:id="rId232"/>
    <hyperlink ref="P60" r:id="rId233"/>
    <hyperlink ref="Q60" r:id="rId234"/>
    <hyperlink ref="R60" r:id="rId235"/>
    <hyperlink ref="S60" r:id="rId236"/>
    <hyperlink ref="O61" r:id="rId237"/>
    <hyperlink ref="P61" r:id="rId238"/>
    <hyperlink ref="Q61" r:id="rId239"/>
    <hyperlink ref="R61" r:id="rId240"/>
    <hyperlink ref="O62" r:id="rId241"/>
    <hyperlink ref="P62" r:id="rId242"/>
    <hyperlink ref="Q62" r:id="rId243"/>
    <hyperlink ref="R62" r:id="rId244"/>
    <hyperlink ref="O63" r:id="rId245"/>
    <hyperlink ref="P63" r:id="rId246"/>
    <hyperlink ref="Q63" r:id="rId247"/>
    <hyperlink ref="R63" r:id="rId248"/>
    <hyperlink ref="O64" r:id="rId249"/>
    <hyperlink ref="P64" r:id="rId250"/>
    <hyperlink ref="Q64" r:id="rId251"/>
    <hyperlink ref="R64" r:id="rId252"/>
    <hyperlink ref="S64" r:id="rId253"/>
    <hyperlink ref="O65" r:id="rId254"/>
    <hyperlink ref="P65" r:id="rId255"/>
    <hyperlink ref="Q65" r:id="rId256"/>
    <hyperlink ref="R65" r:id="rId257"/>
    <hyperlink ref="S65" r:id="rId258"/>
    <hyperlink ref="O66" r:id="rId259"/>
    <hyperlink ref="P66" r:id="rId260"/>
    <hyperlink ref="Q66" r:id="rId261"/>
    <hyperlink ref="R66" r:id="rId262"/>
    <hyperlink ref="S66" r:id="rId263"/>
    <hyperlink ref="O67" r:id="rId264"/>
    <hyperlink ref="P67" r:id="rId265"/>
    <hyperlink ref="Q67" r:id="rId266"/>
    <hyperlink ref="R67" r:id="rId267"/>
    <hyperlink ref="O68" r:id="rId268"/>
    <hyperlink ref="P68" r:id="rId269"/>
    <hyperlink ref="Q68" r:id="rId270"/>
    <hyperlink ref="R68" r:id="rId271"/>
    <hyperlink ref="S68" r:id="rId272"/>
    <hyperlink ref="O69" r:id="rId273"/>
    <hyperlink ref="P69" r:id="rId274"/>
    <hyperlink ref="Q69" r:id="rId275"/>
    <hyperlink ref="R69" r:id="rId276"/>
    <hyperlink ref="S69" r:id="rId277"/>
    <hyperlink ref="O70" r:id="rId278"/>
    <hyperlink ref="P70" r:id="rId279"/>
    <hyperlink ref="Q70" r:id="rId280"/>
    <hyperlink ref="R70" r:id="rId281"/>
    <hyperlink ref="S70" r:id="rId282"/>
    <hyperlink ref="O71" r:id="rId283"/>
    <hyperlink ref="P71" r:id="rId284"/>
    <hyperlink ref="Q71" r:id="rId285"/>
    <hyperlink ref="O72" r:id="rId286"/>
    <hyperlink ref="P72" r:id="rId287"/>
    <hyperlink ref="Q72" r:id="rId288"/>
    <hyperlink ref="R72" r:id="rId289"/>
    <hyperlink ref="S72" r:id="rId290"/>
    <hyperlink ref="O73" r:id="rId291"/>
    <hyperlink ref="P73" r:id="rId292"/>
    <hyperlink ref="Q73" r:id="rId293"/>
    <hyperlink ref="R73" r:id="rId294"/>
    <hyperlink ref="O74" r:id="rId295"/>
    <hyperlink ref="P74" r:id="rId296"/>
    <hyperlink ref="Q74" r:id="rId297"/>
    <hyperlink ref="O75" r:id="rId298"/>
    <hyperlink ref="P75" r:id="rId299"/>
    <hyperlink ref="Q75" r:id="rId300"/>
    <hyperlink ref="R75" r:id="rId301"/>
    <hyperlink ref="S75" r:id="rId302"/>
    <hyperlink ref="T75" r:id="rId303"/>
    <hyperlink ref="O76" r:id="rId304"/>
    <hyperlink ref="P76" r:id="rId305"/>
    <hyperlink ref="Q76" r:id="rId306"/>
    <hyperlink ref="R76" r:id="rId307"/>
    <hyperlink ref="O77" r:id="rId308"/>
    <hyperlink ref="P77" r:id="rId309"/>
    <hyperlink ref="Q77" r:id="rId310"/>
    <hyperlink ref="R77" r:id="rId311"/>
    <hyperlink ref="O78" r:id="rId312"/>
    <hyperlink ref="P78" r:id="rId313"/>
    <hyperlink ref="Q78" r:id="rId314"/>
    <hyperlink ref="R78" r:id="rId315"/>
    <hyperlink ref="S78" r:id="rId316"/>
    <hyperlink ref="O79" r:id="rId317"/>
    <hyperlink ref="P79" r:id="rId318"/>
    <hyperlink ref="Q79" r:id="rId319"/>
    <hyperlink ref="R79" r:id="rId320"/>
    <hyperlink ref="S79" r:id="rId321"/>
    <hyperlink ref="O80" r:id="rId322"/>
    <hyperlink ref="P80" r:id="rId323"/>
    <hyperlink ref="Q80" r:id="rId324"/>
    <hyperlink ref="R80" r:id="rId325"/>
    <hyperlink ref="S80" r:id="rId326"/>
    <hyperlink ref="T80" r:id="rId327"/>
    <hyperlink ref="O81" r:id="rId328"/>
    <hyperlink ref="P81" r:id="rId329"/>
    <hyperlink ref="Q81" r:id="rId330"/>
    <hyperlink ref="O82" r:id="rId331"/>
    <hyperlink ref="P82" r:id="rId332"/>
    <hyperlink ref="Q82" r:id="rId333"/>
    <hyperlink ref="O83" r:id="rId334"/>
    <hyperlink ref="P83" r:id="rId335"/>
    <hyperlink ref="Q83" r:id="rId336"/>
    <hyperlink ref="R83" r:id="rId337"/>
    <hyperlink ref="S83" r:id="rId338"/>
    <hyperlink ref="O84" r:id="rId339"/>
    <hyperlink ref="P84" r:id="rId340"/>
    <hyperlink ref="Q84" r:id="rId341"/>
    <hyperlink ref="R84" r:id="rId342"/>
    <hyperlink ref="O85" r:id="rId343"/>
    <hyperlink ref="P85" r:id="rId344"/>
    <hyperlink ref="Q85" r:id="rId345"/>
    <hyperlink ref="R85" r:id="rId346"/>
    <hyperlink ref="O86" r:id="rId347"/>
    <hyperlink ref="P86" r:id="rId348"/>
    <hyperlink ref="Q86" r:id="rId349"/>
    <hyperlink ref="O87" r:id="rId350"/>
    <hyperlink ref="P87" r:id="rId351"/>
    <hyperlink ref="Q87" r:id="rId352"/>
    <hyperlink ref="R87" r:id="rId353"/>
    <hyperlink ref="O88" r:id="rId354"/>
    <hyperlink ref="P88" r:id="rId355"/>
    <hyperlink ref="Q88" r:id="rId356"/>
    <hyperlink ref="R88" r:id="rId357"/>
    <hyperlink ref="O89" r:id="rId358"/>
    <hyperlink ref="P89" r:id="rId359"/>
    <hyperlink ref="Q89" r:id="rId360"/>
    <hyperlink ref="R89" r:id="rId361"/>
    <hyperlink ref="O90" r:id="rId362"/>
    <hyperlink ref="P90" r:id="rId363"/>
    <hyperlink ref="Q90" r:id="rId364"/>
    <hyperlink ref="R90" r:id="rId365"/>
    <hyperlink ref="O91" r:id="rId366"/>
    <hyperlink ref="P91" r:id="rId367"/>
    <hyperlink ref="Q91" r:id="rId368"/>
    <hyperlink ref="O92" r:id="rId369"/>
    <hyperlink ref="P92" r:id="rId370"/>
    <hyperlink ref="Q92" r:id="rId371"/>
    <hyperlink ref="R92" r:id="rId372"/>
    <hyperlink ref="S92" r:id="rId373"/>
    <hyperlink ref="O93" r:id="rId374"/>
    <hyperlink ref="P93" r:id="rId375"/>
    <hyperlink ref="Q93" r:id="rId376"/>
    <hyperlink ref="R93" r:id="rId377"/>
    <hyperlink ref="S93" r:id="rId378"/>
    <hyperlink ref="O94" r:id="rId379"/>
    <hyperlink ref="P94" r:id="rId380"/>
    <hyperlink ref="Q94" r:id="rId381"/>
    <hyperlink ref="R94" r:id="rId382"/>
    <hyperlink ref="S94" r:id="rId383"/>
    <hyperlink ref="O95" r:id="rId384"/>
    <hyperlink ref="P95" r:id="rId385"/>
    <hyperlink ref="Q95" r:id="rId386"/>
    <hyperlink ref="R95" r:id="rId387"/>
    <hyperlink ref="S95" r:id="rId388"/>
    <hyperlink ref="O96" r:id="rId389"/>
    <hyperlink ref="P96" r:id="rId390"/>
    <hyperlink ref="Q96" r:id="rId391"/>
    <hyperlink ref="R96" r:id="rId392"/>
    <hyperlink ref="S96" r:id="rId393"/>
    <hyperlink ref="O97" r:id="rId394"/>
    <hyperlink ref="P97" r:id="rId395"/>
    <hyperlink ref="Q97" r:id="rId396"/>
    <hyperlink ref="R97" r:id="rId397"/>
    <hyperlink ref="O98" r:id="rId398"/>
    <hyperlink ref="P98" r:id="rId399"/>
    <hyperlink ref="Q98" r:id="rId400"/>
    <hyperlink ref="R98" r:id="rId401"/>
    <hyperlink ref="S98" r:id="rId402"/>
    <hyperlink ref="O99" r:id="rId403"/>
    <hyperlink ref="P99" r:id="rId404"/>
    <hyperlink ref="Q99" r:id="rId405"/>
    <hyperlink ref="R99" r:id="rId406"/>
    <hyperlink ref="S99" r:id="rId407"/>
    <hyperlink ref="O100" r:id="rId408"/>
    <hyperlink ref="P100" r:id="rId409"/>
    <hyperlink ref="Q100" r:id="rId410"/>
    <hyperlink ref="R100" r:id="rId411"/>
    <hyperlink ref="S100" r:id="rId412"/>
    <hyperlink ref="O101" r:id="rId413"/>
    <hyperlink ref="P101" r:id="rId414"/>
    <hyperlink ref="Q101" r:id="rId415"/>
    <hyperlink ref="R101" r:id="rId416"/>
    <hyperlink ref="S101" r:id="rId417"/>
    <hyperlink ref="O102" r:id="rId418"/>
    <hyperlink ref="P102" r:id="rId419"/>
    <hyperlink ref="Q102" r:id="rId420"/>
    <hyperlink ref="R102" r:id="rId421"/>
    <hyperlink ref="S102" r:id="rId422"/>
    <hyperlink ref="T102" r:id="rId423"/>
    <hyperlink ref="O103" r:id="rId424"/>
    <hyperlink ref="P103" r:id="rId425"/>
    <hyperlink ref="Q103" r:id="rId426"/>
    <hyperlink ref="R103" r:id="rId427"/>
    <hyperlink ref="S103" r:id="rId428"/>
    <hyperlink ref="O104" r:id="rId429"/>
    <hyperlink ref="P104" r:id="rId430"/>
    <hyperlink ref="Q104" r:id="rId431"/>
    <hyperlink ref="R104" r:id="rId432"/>
    <hyperlink ref="S104" r:id="rId433"/>
    <hyperlink ref="O105" r:id="rId434"/>
    <hyperlink ref="P105" r:id="rId435"/>
    <hyperlink ref="Q105" r:id="rId436"/>
    <hyperlink ref="O106" r:id="rId437"/>
    <hyperlink ref="P106" r:id="rId438"/>
    <hyperlink ref="Q106" r:id="rId439"/>
    <hyperlink ref="R106" r:id="rId440"/>
    <hyperlink ref="S106" r:id="rId441"/>
    <hyperlink ref="O107" r:id="rId442"/>
    <hyperlink ref="P107" r:id="rId443"/>
    <hyperlink ref="Q107" r:id="rId444"/>
    <hyperlink ref="O108" r:id="rId445"/>
    <hyperlink ref="P108" r:id="rId446"/>
    <hyperlink ref="Q108" r:id="rId447"/>
    <hyperlink ref="O109" r:id="rId448"/>
    <hyperlink ref="P109" r:id="rId449"/>
    <hyperlink ref="Q109" r:id="rId450"/>
    <hyperlink ref="R109" r:id="rId451"/>
    <hyperlink ref="S109" r:id="rId452"/>
    <hyperlink ref="O110" r:id="rId453"/>
    <hyperlink ref="P110" r:id="rId454"/>
    <hyperlink ref="Q110" r:id="rId455"/>
    <hyperlink ref="R110" r:id="rId456"/>
    <hyperlink ref="O111" r:id="rId457"/>
    <hyperlink ref="P111" r:id="rId458"/>
    <hyperlink ref="Q111" r:id="rId459"/>
    <hyperlink ref="R111" r:id="rId460"/>
    <hyperlink ref="O112" r:id="rId461"/>
    <hyperlink ref="P112" r:id="rId462"/>
    <hyperlink ref="Q112" r:id="rId463"/>
    <hyperlink ref="R112" r:id="rId464"/>
    <hyperlink ref="S112" r:id="rId465"/>
    <hyperlink ref="O113" r:id="rId466"/>
    <hyperlink ref="P113" r:id="rId467"/>
    <hyperlink ref="Q113" r:id="rId468"/>
    <hyperlink ref="R113" r:id="rId469"/>
    <hyperlink ref="O114" r:id="rId470"/>
    <hyperlink ref="P114" r:id="rId471"/>
    <hyperlink ref="Q114" r:id="rId472"/>
    <hyperlink ref="R114" r:id="rId473"/>
    <hyperlink ref="S114" r:id="rId474"/>
    <hyperlink ref="O115" r:id="rId475"/>
    <hyperlink ref="P115" r:id="rId476"/>
    <hyperlink ref="Q115" r:id="rId477"/>
    <hyperlink ref="R115" r:id="rId478"/>
    <hyperlink ref="O116" r:id="rId479"/>
    <hyperlink ref="P116" r:id="rId480"/>
    <hyperlink ref="Q116" r:id="rId481"/>
    <hyperlink ref="R116" r:id="rId482"/>
    <hyperlink ref="S116" r:id="rId483"/>
    <hyperlink ref="T116" r:id="rId484"/>
    <hyperlink ref="U116" r:id="rId485"/>
    <hyperlink ref="O117" r:id="rId486"/>
    <hyperlink ref="P117" r:id="rId487"/>
    <hyperlink ref="Q117" r:id="rId488"/>
    <hyperlink ref="R117" r:id="rId489"/>
    <hyperlink ref="O118" r:id="rId490"/>
    <hyperlink ref="P118" r:id="rId491"/>
    <hyperlink ref="Q118" r:id="rId492"/>
    <hyperlink ref="R118" r:id="rId493"/>
    <hyperlink ref="O119" r:id="rId494"/>
    <hyperlink ref="P119" r:id="rId495"/>
    <hyperlink ref="Q119" r:id="rId496"/>
    <hyperlink ref="R119" r:id="rId497"/>
    <hyperlink ref="S119" r:id="rId49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000563C1"/>
    <outlinePr summaryBelow="1" summaryRight="1"/>
    <pageSetUpPr/>
  </sheetPr>
  <dimension ref="A1:M502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38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9" customWidth="1" min="13" max="13"/>
  </cols>
  <sheetData>
    <row r="1" ht="22" customHeight="1">
      <c r="A1" s="1" t="inlineStr">
        <is>
          <t>代號索引　Ticker Index</t>
        </is>
      </c>
    </row>
    <row r="2">
      <c r="A2" s="2" t="inlineStr">
        <is>
          <t>基準 2026-09-17 美東收市　·　工作簿內全部 492 個代號，每個都可點擊開 TradingView 圖表　·　I/J/M 欄為公式　·　表頭可篩選排序</t>
        </is>
      </c>
    </row>
    <row r="8" ht="30" customHeight="1">
      <c r="A8" s="14" t="inlineStr">
        <is>
          <t>代號</t>
        </is>
      </c>
      <c r="B8" s="14" t="inlineStr">
        <is>
          <t>受惠清單</t>
        </is>
      </c>
      <c r="C8" s="14" t="inlineStr">
        <is>
          <t>迴避清單</t>
        </is>
      </c>
      <c r="D8" s="14" t="inlineStr">
        <is>
          <t>所屬子板塊（可多於一個）</t>
        </is>
      </c>
      <c r="E8" s="14" t="inlineStr">
        <is>
          <t>子板塊
最佳5日排名</t>
        </is>
      </c>
      <c r="F8" s="14" t="inlineStr">
        <is>
          <t>收市
09-17</t>
        </is>
      </c>
      <c r="G8" s="14" t="inlineStr">
        <is>
          <t>前收
09-16</t>
        </is>
      </c>
      <c r="H8" s="14" t="inlineStr">
        <is>
          <t>5日前收
09-10</t>
        </is>
      </c>
      <c r="I8" s="14" t="inlineStr">
        <is>
          <t>09-17
漲跌%</t>
        </is>
      </c>
      <c r="J8" s="14" t="inlineStr">
        <is>
          <t>5日
漲跌%</t>
        </is>
      </c>
      <c r="K8" s="14" t="inlineStr">
        <is>
          <t>09-17
成交量</t>
        </is>
      </c>
      <c r="L8" s="14" t="inlineStr">
        <is>
          <t>20日
中位量</t>
        </is>
      </c>
      <c r="M8" s="14" t="inlineStr">
        <is>
          <t>相對量</t>
        </is>
      </c>
    </row>
    <row r="9">
      <c r="A9" s="74" t="inlineStr">
        <is>
          <t>A</t>
        </is>
      </c>
      <c r="B9" s="21" t="inlineStr">
        <is>
          <t>②</t>
        </is>
      </c>
      <c r="C9" s="99" t="inlineStr">
        <is>
          <t>—</t>
        </is>
      </c>
      <c r="D9" s="16" t="inlineStr">
        <is>
          <t>診斷與生命科學工具</t>
        </is>
      </c>
      <c r="E9" s="68" t="n">
        <v>1</v>
      </c>
      <c r="F9" s="100" t="n">
        <v>156.35</v>
      </c>
      <c r="G9" s="100" t="n">
        <v>153.69</v>
      </c>
      <c r="H9" s="100" t="n">
        <v>143.12</v>
      </c>
      <c r="I9" s="17">
        <f>F9/G9-1</f>
        <v>0.017307567180688377</v>
      </c>
      <c r="J9" s="17">
        <f>F9/H9-1</f>
        <v>0.09243991056456102</v>
      </c>
      <c r="K9" s="101" t="n">
        <v>1734708</v>
      </c>
      <c r="L9" s="101" t="n">
        <v>2611600</v>
      </c>
      <c r="M9" s="102">
        <f>K9/L9</f>
        <v>0.6642318884974728</v>
      </c>
    </row>
    <row r="10">
      <c r="A10" s="41" t="inlineStr">
        <is>
          <t>AA</t>
        </is>
      </c>
      <c r="B10" s="37" t="inlineStr">
        <is>
          <t>—</t>
        </is>
      </c>
      <c r="C10" s="37" t="inlineStr">
        <is>
          <t>—</t>
        </is>
      </c>
      <c r="D10" s="6" t="inlineStr">
        <is>
          <t>鋁業</t>
        </is>
      </c>
      <c r="E10" s="76" t="n">
        <v>66</v>
      </c>
      <c r="F10" s="42" t="n">
        <v>46.99</v>
      </c>
      <c r="G10" s="42" t="n">
        <v>46.26</v>
      </c>
      <c r="H10" s="42" t="n">
        <v>48.3</v>
      </c>
      <c r="I10" s="11">
        <f>F10/G10-1</f>
        <v>0.015780371811500382</v>
      </c>
      <c r="J10" s="11">
        <f>F10/H10-1</f>
        <v>-0.0271221532091096</v>
      </c>
      <c r="K10" s="13" t="n">
        <v>2048059</v>
      </c>
      <c r="L10" s="13" t="n">
        <v>3613850</v>
      </c>
      <c r="M10" s="43">
        <f>K10/L10</f>
        <v>0.5667249609142604</v>
      </c>
    </row>
    <row r="11">
      <c r="A11" s="41" t="inlineStr">
        <is>
          <t>AAL</t>
        </is>
      </c>
      <c r="B11" s="37" t="inlineStr">
        <is>
          <t>—</t>
        </is>
      </c>
      <c r="C11" s="37" t="inlineStr">
        <is>
          <t>—</t>
        </is>
      </c>
      <c r="D11" s="6" t="inlineStr">
        <is>
          <t>航空公司</t>
        </is>
      </c>
      <c r="E11" s="76" t="n">
        <v>33</v>
      </c>
      <c r="F11" s="42" t="n">
        <v>12.93</v>
      </c>
      <c r="G11" s="42" t="n">
        <v>12.7</v>
      </c>
      <c r="H11" s="42" t="n">
        <v>12.85</v>
      </c>
      <c r="I11" s="11">
        <f>F11/G11-1</f>
        <v>0.018110236220472586</v>
      </c>
      <c r="J11" s="11">
        <f>F11/H11-1</f>
        <v>0.006225680933852118</v>
      </c>
      <c r="K11" s="13" t="n">
        <v>78722967</v>
      </c>
      <c r="L11" s="13" t="n">
        <v>64569550</v>
      </c>
      <c r="M11" s="43">
        <f>K11/L11</f>
        <v>1.219196463348436</v>
      </c>
    </row>
    <row r="12">
      <c r="A12" s="41" t="inlineStr">
        <is>
          <t>AAOI</t>
        </is>
      </c>
      <c r="B12" s="37" t="inlineStr">
        <is>
          <t>—</t>
        </is>
      </c>
      <c r="C12" s="37" t="inlineStr">
        <is>
          <t>—</t>
        </is>
      </c>
      <c r="D12" s="6" t="inlineStr">
        <is>
          <t>光通訊/CPO</t>
        </is>
      </c>
      <c r="E12" s="76" t="n">
        <v>22</v>
      </c>
      <c r="F12" s="42" t="n">
        <v>98.15000000000001</v>
      </c>
      <c r="G12" s="42" t="n">
        <v>96.73999999999999</v>
      </c>
      <c r="H12" s="42" t="n">
        <v>103.29</v>
      </c>
      <c r="I12" s="11">
        <f>F12/G12-1</f>
        <v>0.01457514988629316</v>
      </c>
      <c r="J12" s="11">
        <f>F12/H12-1</f>
        <v>-0.049762803756413954</v>
      </c>
      <c r="K12" s="13" t="n">
        <v>6492339</v>
      </c>
      <c r="L12" s="13" t="n">
        <v>6115750</v>
      </c>
      <c r="M12" s="43">
        <f>K12/L12</f>
        <v>1.0615769120712912</v>
      </c>
    </row>
    <row r="13">
      <c r="A13" s="41" t="inlineStr">
        <is>
          <t>AAON</t>
        </is>
      </c>
      <c r="B13" s="37" t="inlineStr">
        <is>
          <t>—</t>
        </is>
      </c>
      <c r="C13" s="37" t="inlineStr">
        <is>
          <t>—</t>
        </is>
      </c>
      <c r="D13" s="6" t="inlineStr">
        <is>
          <t>樓宇產品與HVAC</t>
        </is>
      </c>
      <c r="E13" s="76" t="n">
        <v>75</v>
      </c>
      <c r="F13" s="42" t="n">
        <v>76.44</v>
      </c>
      <c r="G13" s="42" t="n">
        <v>75.56</v>
      </c>
      <c r="H13" s="42" t="n">
        <v>76.52</v>
      </c>
      <c r="I13" s="11">
        <f>F13/G13-1</f>
        <v>0.011646373742721039</v>
      </c>
      <c r="J13" s="11">
        <f>F13/H13-1</f>
        <v>-0.001045478306325176</v>
      </c>
      <c r="K13" s="13" t="n">
        <v>851733</v>
      </c>
      <c r="L13" s="13" t="n">
        <v>1003800</v>
      </c>
      <c r="M13" s="43">
        <f>K13/L13</f>
        <v>0.8485086670651524</v>
      </c>
    </row>
    <row r="14">
      <c r="A14" s="41" t="inlineStr">
        <is>
          <t>AAPL</t>
        </is>
      </c>
      <c r="B14" s="37" t="inlineStr">
        <is>
          <t>—</t>
        </is>
      </c>
      <c r="C14" s="37" t="inlineStr">
        <is>
          <t>—</t>
        </is>
      </c>
      <c r="D14" s="6" t="inlineStr">
        <is>
          <t>電子硬件與EMS/連接器</t>
        </is>
      </c>
      <c r="E14" s="76" t="n">
        <v>3</v>
      </c>
      <c r="F14" s="42" t="n">
        <v>337.08</v>
      </c>
      <c r="G14" s="42" t="n">
        <v>332.41</v>
      </c>
      <c r="H14" s="42" t="n">
        <v>326.57</v>
      </c>
      <c r="I14" s="11">
        <f>F14/G14-1</f>
        <v>0.014048915495923575</v>
      </c>
      <c r="J14" s="11">
        <f>F14/H14-1</f>
        <v>0.032182992926478304</v>
      </c>
      <c r="K14" s="13" t="n">
        <v>25891668</v>
      </c>
      <c r="L14" s="13" t="n">
        <v>38959250</v>
      </c>
      <c r="M14" s="43">
        <f>K14/L14</f>
        <v>0.6645833274511188</v>
      </c>
    </row>
    <row r="15">
      <c r="A15" s="41" t="inlineStr">
        <is>
          <t>ABBV</t>
        </is>
      </c>
      <c r="B15" s="37" t="inlineStr">
        <is>
          <t>—</t>
        </is>
      </c>
      <c r="C15" s="37" t="inlineStr">
        <is>
          <t>—</t>
        </is>
      </c>
      <c r="D15" s="6" t="inlineStr">
        <is>
          <t>大型藥廠</t>
        </is>
      </c>
      <c r="E15" s="76" t="n">
        <v>18</v>
      </c>
      <c r="F15" s="42" t="n">
        <v>263.98</v>
      </c>
      <c r="G15" s="42" t="n">
        <v>262.51</v>
      </c>
      <c r="H15" s="42" t="n">
        <v>255</v>
      </c>
      <c r="I15" s="11">
        <f>F15/G15-1</f>
        <v>0.005599786674793439</v>
      </c>
      <c r="J15" s="11">
        <f>F15/H15-1</f>
        <v>0.03521568627450988</v>
      </c>
      <c r="K15" s="13" t="n">
        <v>1816936</v>
      </c>
      <c r="L15" s="13" t="n">
        <v>4311850</v>
      </c>
      <c r="M15" s="43">
        <f>K15/L15</f>
        <v>0.421382005403713</v>
      </c>
    </row>
    <row r="16">
      <c r="A16" s="41" t="inlineStr">
        <is>
          <t>ABT</t>
        </is>
      </c>
      <c r="B16" s="37" t="inlineStr">
        <is>
          <t>—</t>
        </is>
      </c>
      <c r="C16" s="37" t="inlineStr">
        <is>
          <t>—</t>
        </is>
      </c>
      <c r="D16" s="6" t="inlineStr">
        <is>
          <t>醫療器械</t>
        </is>
      </c>
      <c r="E16" s="76" t="n">
        <v>27</v>
      </c>
      <c r="F16" s="42" t="n">
        <v>102.23</v>
      </c>
      <c r="G16" s="42" t="n">
        <v>102.36</v>
      </c>
      <c r="H16" s="42" t="n">
        <v>103.36</v>
      </c>
      <c r="I16" s="11">
        <f>F16/G16-1</f>
        <v>-0.0012700273544352658</v>
      </c>
      <c r="J16" s="11">
        <f>F16/H16-1</f>
        <v>-0.010932662538699622</v>
      </c>
      <c r="K16" s="13" t="n">
        <v>6209121</v>
      </c>
      <c r="L16" s="13" t="n">
        <v>7460600</v>
      </c>
      <c r="M16" s="43">
        <f>K16/L16</f>
        <v>0.8322549124735276</v>
      </c>
    </row>
    <row r="17">
      <c r="A17" s="41" t="inlineStr">
        <is>
          <t>ACI</t>
        </is>
      </c>
      <c r="B17" s="37" t="inlineStr">
        <is>
          <t>—</t>
        </is>
      </c>
      <c r="C17" s="37" t="inlineStr">
        <is>
          <t>—</t>
        </is>
      </c>
      <c r="D17" s="6" t="inlineStr">
        <is>
          <t>大賣場與超巿</t>
        </is>
      </c>
      <c r="E17" s="76" t="n">
        <v>48</v>
      </c>
      <c r="F17" s="42" t="n">
        <v>12.565</v>
      </c>
      <c r="G17" s="42" t="n">
        <v>12.56</v>
      </c>
      <c r="H17" s="42" t="n">
        <v>11.7</v>
      </c>
      <c r="I17" s="11">
        <f>F17/G17-1</f>
        <v>0.00039808917197436955</v>
      </c>
      <c r="J17" s="11">
        <f>F17/H17-1</f>
        <v>0.07393162393162389</v>
      </c>
      <c r="K17" s="13" t="n">
        <v>4858225</v>
      </c>
      <c r="L17" s="13" t="n">
        <v>6141450</v>
      </c>
      <c r="M17" s="43">
        <f>K17/L17</f>
        <v>0.7910550440042661</v>
      </c>
    </row>
    <row r="18">
      <c r="A18" s="41" t="inlineStr">
        <is>
          <t>ACM</t>
        </is>
      </c>
      <c r="B18" s="37" t="inlineStr">
        <is>
          <t>—</t>
        </is>
      </c>
      <c r="C18" s="37" t="inlineStr">
        <is>
          <t>—</t>
        </is>
      </c>
      <c r="D18" s="6" t="inlineStr">
        <is>
          <t>工程建設/EPC</t>
        </is>
      </c>
      <c r="E18" s="76" t="n">
        <v>67</v>
      </c>
      <c r="F18" s="42" t="n">
        <v>63.41</v>
      </c>
      <c r="G18" s="42" t="n">
        <v>62.81</v>
      </c>
      <c r="H18" s="42" t="n">
        <v>62.89</v>
      </c>
      <c r="I18" s="11">
        <f>F18/G18-1</f>
        <v>0.009552619009711716</v>
      </c>
      <c r="J18" s="11">
        <f>F18/H18-1</f>
        <v>0.008268405151852454</v>
      </c>
      <c r="K18" s="13" t="n">
        <v>764384</v>
      </c>
      <c r="L18" s="13" t="n">
        <v>1685300</v>
      </c>
      <c r="M18" s="43">
        <f>K18/L18</f>
        <v>0.45355960363140096</v>
      </c>
    </row>
    <row r="19">
      <c r="A19" s="41" t="inlineStr">
        <is>
          <t>ACN</t>
        </is>
      </c>
      <c r="B19" s="37" t="inlineStr">
        <is>
          <t>—</t>
        </is>
      </c>
      <c r="C19" s="37" t="inlineStr">
        <is>
          <t>—</t>
        </is>
      </c>
      <c r="D19" s="6" t="inlineStr">
        <is>
          <t>IT服務與系統整合</t>
        </is>
      </c>
      <c r="E19" s="76" t="n">
        <v>43</v>
      </c>
      <c r="F19" s="42" t="n">
        <v>190.275</v>
      </c>
      <c r="G19" s="42" t="n">
        <v>189.64</v>
      </c>
      <c r="H19" s="42" t="n">
        <v>177.91</v>
      </c>
      <c r="I19" s="11">
        <f>F19/G19-1</f>
        <v>0.003348449694157374</v>
      </c>
      <c r="J19" s="11">
        <f>F19/H19-1</f>
        <v>0.06950143330897651</v>
      </c>
      <c r="K19" s="13" t="n">
        <v>2189903</v>
      </c>
      <c r="L19" s="13" t="n">
        <v>4610450</v>
      </c>
      <c r="M19" s="43">
        <f>K19/L19</f>
        <v>0.47498682341203136</v>
      </c>
    </row>
    <row r="20">
      <c r="A20" s="41" t="inlineStr">
        <is>
          <t>ADBE</t>
        </is>
      </c>
      <c r="B20" s="37" t="inlineStr">
        <is>
          <t>—</t>
        </is>
      </c>
      <c r="C20" s="37" t="inlineStr">
        <is>
          <t>—</t>
        </is>
      </c>
      <c r="D20" s="6" t="inlineStr">
        <is>
          <t>企業軟體/SaaS</t>
        </is>
      </c>
      <c r="E20" s="76" t="n">
        <v>50</v>
      </c>
      <c r="F20" s="42" t="n">
        <v>252.63</v>
      </c>
      <c r="G20" s="42" t="n">
        <v>250.5</v>
      </c>
      <c r="H20" s="42" t="n">
        <v>248.83</v>
      </c>
      <c r="I20" s="11">
        <f>F20/G20-1</f>
        <v>0.008502994011976073</v>
      </c>
      <c r="J20" s="11">
        <f>F20/H20-1</f>
        <v>0.015271470481855065</v>
      </c>
      <c r="K20" s="13" t="n">
        <v>3705952</v>
      </c>
      <c r="L20" s="13" t="n">
        <v>4459200</v>
      </c>
      <c r="M20" s="43">
        <f>K20/L20</f>
        <v>0.8310800143523502</v>
      </c>
    </row>
    <row r="21">
      <c r="A21" s="41" t="inlineStr">
        <is>
          <t>ADI</t>
        </is>
      </c>
      <c r="B21" s="37" t="inlineStr">
        <is>
          <t>—</t>
        </is>
      </c>
      <c r="C21" s="37" t="inlineStr">
        <is>
          <t>—</t>
        </is>
      </c>
      <c r="D21" s="6" t="inlineStr">
        <is>
          <t>類比/功率半導體</t>
        </is>
      </c>
      <c r="E21" s="76" t="n">
        <v>47</v>
      </c>
      <c r="F21" s="42" t="n">
        <v>362.58</v>
      </c>
      <c r="G21" s="42" t="n">
        <v>362.04</v>
      </c>
      <c r="H21" s="42" t="n">
        <v>361.25</v>
      </c>
      <c r="I21" s="11">
        <f>F21/G21-1</f>
        <v>0.0014915478952601813</v>
      </c>
      <c r="J21" s="11">
        <f>F21/H21-1</f>
        <v>0.003681660899653938</v>
      </c>
      <c r="K21" s="13" t="n">
        <v>1770930</v>
      </c>
      <c r="L21" s="13" t="n">
        <v>3424550</v>
      </c>
      <c r="M21" s="43">
        <f>K21/L21</f>
        <v>0.5171277978128513</v>
      </c>
    </row>
    <row r="22">
      <c r="A22" s="41" t="inlineStr">
        <is>
          <t>ADM</t>
        </is>
      </c>
      <c r="B22" s="37" t="inlineStr">
        <is>
          <t>—</t>
        </is>
      </c>
      <c r="C22" s="37" t="inlineStr">
        <is>
          <t>—</t>
        </is>
      </c>
      <c r="D22" s="6" t="inlineStr">
        <is>
          <t>農產品與農業投入</t>
        </is>
      </c>
      <c r="E22" s="76" t="n">
        <v>70</v>
      </c>
      <c r="F22" s="42" t="n">
        <v>87.93000000000001</v>
      </c>
      <c r="G22" s="42" t="n">
        <v>85</v>
      </c>
      <c r="H22" s="42" t="n">
        <v>86.91</v>
      </c>
      <c r="I22" s="11">
        <f>F22/G22-1</f>
        <v>0.03447058823529425</v>
      </c>
      <c r="J22" s="11">
        <f>F22/H22-1</f>
        <v>0.01173627890921658</v>
      </c>
      <c r="K22" s="13" t="n">
        <v>1822609</v>
      </c>
      <c r="L22" s="13" t="n">
        <v>3550400</v>
      </c>
      <c r="M22" s="43">
        <f>K22/L22</f>
        <v>0.5133531433077964</v>
      </c>
    </row>
    <row r="23">
      <c r="A23" s="41" t="inlineStr">
        <is>
          <t>ADP</t>
        </is>
      </c>
      <c r="B23" s="37" t="inlineStr">
        <is>
          <t>—</t>
        </is>
      </c>
      <c r="C23" s="37" t="inlineStr">
        <is>
          <t>—</t>
        </is>
      </c>
      <c r="D23" s="6" t="inlineStr">
        <is>
          <t>人力與商業服務</t>
        </is>
      </c>
      <c r="E23" s="76" t="n">
        <v>36</v>
      </c>
      <c r="F23" s="42" t="n">
        <v>272.28</v>
      </c>
      <c r="G23" s="42" t="n">
        <v>273.19</v>
      </c>
      <c r="H23" s="42" t="n">
        <v>267.33</v>
      </c>
      <c r="I23" s="11">
        <f>F23/G23-1</f>
        <v>-0.003331015044474639</v>
      </c>
      <c r="J23" s="11">
        <f>F23/H23-1</f>
        <v>0.018516440354617858</v>
      </c>
      <c r="K23" s="13" t="n">
        <v>895471</v>
      </c>
      <c r="L23" s="13" t="n">
        <v>1997600</v>
      </c>
      <c r="M23" s="43">
        <f>K23/L23</f>
        <v>0.4482734281137365</v>
      </c>
    </row>
    <row r="24">
      <c r="A24" s="41" t="inlineStr">
        <is>
          <t>AEM</t>
        </is>
      </c>
      <c r="B24" s="37" t="inlineStr">
        <is>
          <t>—</t>
        </is>
      </c>
      <c r="C24" s="37" t="inlineStr">
        <is>
          <t>—</t>
        </is>
      </c>
      <c r="D24" s="6" t="inlineStr">
        <is>
          <t>黃金與貴金屬礦</t>
        </is>
      </c>
      <c r="E24" s="76" t="n">
        <v>28</v>
      </c>
      <c r="F24" s="42" t="n">
        <v>201.44</v>
      </c>
      <c r="G24" s="42" t="n">
        <v>195.57</v>
      </c>
      <c r="H24" s="42" t="n">
        <v>196.68</v>
      </c>
      <c r="I24" s="11">
        <f>F24/G24-1</f>
        <v>0.030014828450171338</v>
      </c>
      <c r="J24" s="11">
        <f>F24/H24-1</f>
        <v>0.02420174903396366</v>
      </c>
      <c r="K24" s="13" t="n">
        <v>2107945</v>
      </c>
      <c r="L24" s="13" t="n">
        <v>2763700</v>
      </c>
      <c r="M24" s="43">
        <f>K24/L24</f>
        <v>0.7627256938162608</v>
      </c>
    </row>
    <row r="25">
      <c r="A25" s="41" t="inlineStr">
        <is>
          <t>AEP</t>
        </is>
      </c>
      <c r="B25" s="37" t="inlineStr">
        <is>
          <t>—</t>
        </is>
      </c>
      <c r="C25" s="37" t="inlineStr">
        <is>
          <t>—</t>
        </is>
      </c>
      <c r="D25" s="6" t="inlineStr">
        <is>
          <t>受監管電力公用</t>
        </is>
      </c>
      <c r="E25" s="76" t="n">
        <v>56</v>
      </c>
      <c r="F25" s="42" t="n">
        <v>121.585</v>
      </c>
      <c r="G25" s="42" t="n">
        <v>120.69</v>
      </c>
      <c r="H25" s="42" t="n">
        <v>123.47</v>
      </c>
      <c r="I25" s="11">
        <f>F25/G25-1</f>
        <v>0.007415693098019593</v>
      </c>
      <c r="J25" s="11">
        <f>F25/H25-1</f>
        <v>-0.015266866445290406</v>
      </c>
      <c r="K25" s="13" t="n">
        <v>1895913</v>
      </c>
      <c r="L25" s="13" t="n">
        <v>3188300</v>
      </c>
      <c r="M25" s="43">
        <f>K25/L25</f>
        <v>0.5946469905592322</v>
      </c>
    </row>
    <row r="26">
      <c r="A26" s="41" t="inlineStr">
        <is>
          <t>AFL</t>
        </is>
      </c>
      <c r="B26" s="37" t="inlineStr">
        <is>
          <t>—</t>
        </is>
      </c>
      <c r="C26" s="37" t="inlineStr">
        <is>
          <t>—</t>
        </is>
      </c>
      <c r="D26" s="6" t="inlineStr">
        <is>
          <t>壽險與年金</t>
        </is>
      </c>
      <c r="E26" s="76" t="n">
        <v>34</v>
      </c>
      <c r="F26" s="42" t="n">
        <v>116.59</v>
      </c>
      <c r="G26" s="42" t="n">
        <v>116.81</v>
      </c>
      <c r="H26" s="42" t="n">
        <v>114.47</v>
      </c>
      <c r="I26" s="11">
        <f>F26/G26-1</f>
        <v>-0.0018834003938018595</v>
      </c>
      <c r="J26" s="11">
        <f>F26/H26-1</f>
        <v>0.018520136280248067</v>
      </c>
      <c r="K26" s="13" t="n">
        <v>1106179</v>
      </c>
      <c r="L26" s="13" t="n">
        <v>2030150</v>
      </c>
      <c r="M26" s="43">
        <f>K26/L26</f>
        <v>0.544875501810211</v>
      </c>
    </row>
    <row r="27">
      <c r="A27" s="41" t="inlineStr">
        <is>
          <t>AFRM</t>
        </is>
      </c>
      <c r="B27" s="37" t="inlineStr">
        <is>
          <t>—</t>
        </is>
      </c>
      <c r="C27" s="37" t="inlineStr">
        <is>
          <t>—</t>
        </is>
      </c>
      <c r="D27" s="6" t="inlineStr">
        <is>
          <t>消費金融與BNPL</t>
        </is>
      </c>
      <c r="E27" s="76" t="n">
        <v>95</v>
      </c>
      <c r="F27" s="42" t="n">
        <v>70.27500000000001</v>
      </c>
      <c r="G27" s="42" t="n">
        <v>71.58</v>
      </c>
      <c r="H27" s="42" t="n">
        <v>67.98999999999999</v>
      </c>
      <c r="I27" s="11">
        <f>F27/G27-1</f>
        <v>-0.018231349538977315</v>
      </c>
      <c r="J27" s="11">
        <f>F27/H27-1</f>
        <v>0.03360788351228128</v>
      </c>
      <c r="K27" s="13" t="n">
        <v>3180133</v>
      </c>
      <c r="L27" s="13" t="n">
        <v>3925700</v>
      </c>
      <c r="M27" s="43">
        <f>K27/L27</f>
        <v>0.8100804951983086</v>
      </c>
    </row>
    <row r="28">
      <c r="A28" s="41" t="inlineStr">
        <is>
          <t>AG</t>
        </is>
      </c>
      <c r="B28" s="37" t="inlineStr">
        <is>
          <t>—</t>
        </is>
      </c>
      <c r="C28" s="37" t="inlineStr">
        <is>
          <t>—</t>
        </is>
      </c>
      <c r="D28" s="6" t="inlineStr">
        <is>
          <t>白銀礦</t>
        </is>
      </c>
      <c r="E28" s="76" t="n">
        <v>59</v>
      </c>
      <c r="F28" s="42" t="n">
        <v>19.48</v>
      </c>
      <c r="G28" s="42" t="n">
        <v>18.33</v>
      </c>
      <c r="H28" s="42" t="n">
        <v>20.15</v>
      </c>
      <c r="I28" s="11">
        <f>F28/G28-1</f>
        <v>0.0627386797599565</v>
      </c>
      <c r="J28" s="11">
        <f>F28/H28-1</f>
        <v>-0.033250620347394455</v>
      </c>
      <c r="K28" s="13" t="n">
        <v>7123743</v>
      </c>
      <c r="L28" s="13" t="n">
        <v>9388750</v>
      </c>
      <c r="M28" s="43">
        <f>K28/L28</f>
        <v>0.7587530821461856</v>
      </c>
    </row>
    <row r="29">
      <c r="A29" s="41" t="inlineStr">
        <is>
          <t>AIG</t>
        </is>
      </c>
      <c r="B29" s="37" t="inlineStr">
        <is>
          <t>—</t>
        </is>
      </c>
      <c r="C29" s="37" t="inlineStr">
        <is>
          <t>—</t>
        </is>
      </c>
      <c r="D29" s="6" t="inlineStr">
        <is>
          <t>產險與再保</t>
        </is>
      </c>
      <c r="E29" s="76" t="n">
        <v>16</v>
      </c>
      <c r="F29" s="42" t="n">
        <v>75.69</v>
      </c>
      <c r="G29" s="42" t="n">
        <v>76.06999999999999</v>
      </c>
      <c r="H29" s="42" t="n">
        <v>75.03</v>
      </c>
      <c r="I29" s="11">
        <f>F29/G29-1</f>
        <v>-0.004995398974628529</v>
      </c>
      <c r="J29" s="11">
        <f>F29/H29-1</f>
        <v>0.008796481407437051</v>
      </c>
      <c r="K29" s="13" t="n">
        <v>2754268</v>
      </c>
      <c r="L29" s="13" t="n">
        <v>3431900</v>
      </c>
      <c r="M29" s="43">
        <f>K29/L29</f>
        <v>0.8025490253212506</v>
      </c>
    </row>
    <row r="30">
      <c r="A30" s="41" t="inlineStr">
        <is>
          <t>AJG</t>
        </is>
      </c>
      <c r="B30" s="37" t="inlineStr">
        <is>
          <t>—</t>
        </is>
      </c>
      <c r="C30" s="37" t="inlineStr">
        <is>
          <t>—</t>
        </is>
      </c>
      <c r="D30" s="6" t="inlineStr">
        <is>
          <t>保險經紀</t>
        </is>
      </c>
      <c r="E30" s="76" t="n">
        <v>110</v>
      </c>
      <c r="F30" s="42" t="n">
        <v>241.55</v>
      </c>
      <c r="G30" s="42" t="n">
        <v>243.78</v>
      </c>
      <c r="H30" s="42" t="n">
        <v>243.31</v>
      </c>
      <c r="I30" s="11">
        <f>F30/G30-1</f>
        <v>-0.009147592091229728</v>
      </c>
      <c r="J30" s="11">
        <f>F30/H30-1</f>
        <v>-0.007233570342361606</v>
      </c>
      <c r="K30" s="13" t="n">
        <v>625876</v>
      </c>
      <c r="L30" s="13" t="n">
        <v>1383450</v>
      </c>
      <c r="M30" s="43">
        <f>K30/L30</f>
        <v>0.45240232751454695</v>
      </c>
    </row>
    <row r="31">
      <c r="A31" s="41" t="inlineStr">
        <is>
          <t>ALB</t>
        </is>
      </c>
      <c r="B31" s="37" t="inlineStr">
        <is>
          <t>—</t>
        </is>
      </c>
      <c r="C31" s="37" t="inlineStr">
        <is>
          <t>—</t>
        </is>
      </c>
      <c r="D31" s="6" t="inlineStr">
        <is>
          <t>特種化工</t>
        </is>
      </c>
      <c r="E31" s="76" t="n">
        <v>61</v>
      </c>
      <c r="F31" s="42" t="n">
        <v>115.06</v>
      </c>
      <c r="G31" s="42" t="n">
        <v>109.47</v>
      </c>
      <c r="H31" s="42" t="n">
        <v>122.11</v>
      </c>
      <c r="I31" s="11">
        <f>F31/G31-1</f>
        <v>0.05106421850735354</v>
      </c>
      <c r="J31" s="11">
        <f>F31/H31-1</f>
        <v>-0.057734829252313435</v>
      </c>
      <c r="K31" s="13" t="n">
        <v>1753572</v>
      </c>
      <c r="L31" s="13" t="n">
        <v>2222750</v>
      </c>
      <c r="M31" s="43">
        <f>K31/L31</f>
        <v>0.7889200314925205</v>
      </c>
    </row>
    <row r="32">
      <c r="A32" s="41" t="inlineStr">
        <is>
          <t>ALEC</t>
        </is>
      </c>
      <c r="B32" s="37" t="inlineStr">
        <is>
          <t>—</t>
        </is>
      </c>
      <c r="C32" s="37" t="inlineStr">
        <is>
          <t>—</t>
        </is>
      </c>
      <c r="D32" s="6" t="inlineStr">
        <is>
          <t>臨床期中小型生技</t>
        </is>
      </c>
      <c r="E32" s="76" t="n">
        <v>108</v>
      </c>
      <c r="F32" s="42" t="n">
        <v>1.84</v>
      </c>
      <c r="G32" s="42" t="n">
        <v>1.925</v>
      </c>
      <c r="H32" s="42" t="n">
        <v>2.14</v>
      </c>
      <c r="I32" s="11">
        <f>F32/G32-1</f>
        <v>-0.04415584415584417</v>
      </c>
      <c r="J32" s="11">
        <f>F32/H32-1</f>
        <v>-0.14018691588785048</v>
      </c>
      <c r="K32" s="13" t="n">
        <v>860855</v>
      </c>
      <c r="L32" s="13" t="n">
        <v>722000</v>
      </c>
      <c r="M32" s="43">
        <f>K32/L32</f>
        <v>1.192319944598338</v>
      </c>
    </row>
    <row r="33">
      <c r="A33" s="41" t="inlineStr">
        <is>
          <t>ALLO</t>
        </is>
      </c>
      <c r="B33" s="37" t="inlineStr">
        <is>
          <t>—</t>
        </is>
      </c>
      <c r="C33" s="37" t="inlineStr">
        <is>
          <t>—</t>
        </is>
      </c>
      <c r="D33" s="6" t="inlineStr">
        <is>
          <t>腫瘤與細胞治療</t>
        </is>
      </c>
      <c r="E33" s="76" t="n">
        <v>30</v>
      </c>
      <c r="F33" s="42" t="n">
        <v>1.725</v>
      </c>
      <c r="G33" s="42" t="n">
        <v>1.69</v>
      </c>
      <c r="H33" s="42" t="n">
        <v>1.76</v>
      </c>
      <c r="I33" s="11">
        <f>F33/G33-1</f>
        <v>0.020710059171597628</v>
      </c>
      <c r="J33" s="11">
        <f>F33/H33-1</f>
        <v>-0.019886363636363535</v>
      </c>
      <c r="K33" s="13" t="n">
        <v>3503526</v>
      </c>
      <c r="L33" s="13" t="n">
        <v>4921950</v>
      </c>
      <c r="M33" s="43">
        <f>K33/L33</f>
        <v>0.7118166580318777</v>
      </c>
    </row>
    <row r="34">
      <c r="A34" s="41" t="inlineStr">
        <is>
          <t>ALOY</t>
        </is>
      </c>
      <c r="B34" s="37" t="inlineStr">
        <is>
          <t>—</t>
        </is>
      </c>
      <c r="C34" s="37" t="inlineStr">
        <is>
          <t>—</t>
        </is>
      </c>
      <c r="D34" s="6" t="inlineStr">
        <is>
          <t>稀土與關鍵礦產</t>
        </is>
      </c>
      <c r="E34" s="76" t="n">
        <v>94</v>
      </c>
      <c r="F34" s="42" t="n">
        <v>8.255000000000001</v>
      </c>
      <c r="G34" s="42" t="n">
        <v>8.15</v>
      </c>
      <c r="H34" s="42" t="n">
        <v>8.789999999999999</v>
      </c>
      <c r="I34" s="11">
        <f>F34/G34-1</f>
        <v>0.012883435582822234</v>
      </c>
      <c r="J34" s="11">
        <f>F34/H34-1</f>
        <v>-0.06086461888509653</v>
      </c>
      <c r="K34" s="13" t="n">
        <v>1833560</v>
      </c>
      <c r="L34" s="13" t="n">
        <v>2053050</v>
      </c>
      <c r="M34" s="43">
        <f>K34/L34</f>
        <v>0.8930907673948516</v>
      </c>
    </row>
    <row r="35">
      <c r="A35" s="41" t="inlineStr">
        <is>
          <t>ALT</t>
        </is>
      </c>
      <c r="B35" s="37" t="inlineStr">
        <is>
          <t>—</t>
        </is>
      </c>
      <c r="C35" s="37" t="inlineStr">
        <is>
          <t>—</t>
        </is>
      </c>
      <c r="D35" s="6" t="inlineStr">
        <is>
          <t>GLP-1減重與代謝</t>
        </is>
      </c>
      <c r="E35" s="76" t="n">
        <v>65</v>
      </c>
      <c r="F35" s="42" t="n">
        <v>3.245</v>
      </c>
      <c r="G35" s="42" t="n">
        <v>3.24</v>
      </c>
      <c r="H35" s="42" t="n">
        <v>3.29</v>
      </c>
      <c r="I35" s="11">
        <f>F35/G35-1</f>
        <v>0.0015432098765431057</v>
      </c>
      <c r="J35" s="11">
        <f>F35/H35-1</f>
        <v>-0.013677811550151908</v>
      </c>
      <c r="K35" s="13" t="n">
        <v>3040979</v>
      </c>
      <c r="L35" s="13" t="n">
        <v>3129200</v>
      </c>
      <c r="M35" s="43">
        <f>K35/L35</f>
        <v>0.9718071711619584</v>
      </c>
    </row>
    <row r="36">
      <c r="A36" s="41" t="inlineStr">
        <is>
          <t>AMAT</t>
        </is>
      </c>
      <c r="B36" s="37" t="inlineStr">
        <is>
          <t>—</t>
        </is>
      </c>
      <c r="C36" s="37" t="inlineStr">
        <is>
          <t>—</t>
        </is>
      </c>
      <c r="D36" s="6" t="inlineStr">
        <is>
          <t>半導體設備</t>
        </is>
      </c>
      <c r="E36" s="76" t="n">
        <v>64</v>
      </c>
      <c r="F36" s="42" t="n">
        <v>417.27</v>
      </c>
      <c r="G36" s="42" t="n">
        <v>415.38</v>
      </c>
      <c r="H36" s="42" t="n">
        <v>454.01</v>
      </c>
      <c r="I36" s="11">
        <f>F36/G36-1</f>
        <v>0.0045500505561173465</v>
      </c>
      <c r="J36" s="11">
        <f>F36/H36-1</f>
        <v>-0.0809233276800071</v>
      </c>
      <c r="K36" s="13" t="n">
        <v>5165220</v>
      </c>
      <c r="L36" s="13" t="n">
        <v>6091700</v>
      </c>
      <c r="M36" s="43">
        <f>K36/L36</f>
        <v>0.8479110921417666</v>
      </c>
    </row>
    <row r="37">
      <c r="A37" s="41" t="inlineStr">
        <is>
          <t>AMD</t>
        </is>
      </c>
      <c r="B37" s="37" t="inlineStr">
        <is>
          <t>—</t>
        </is>
      </c>
      <c r="C37" s="37" t="inlineStr">
        <is>
          <t>—</t>
        </is>
      </c>
      <c r="D37" s="6" t="inlineStr">
        <is>
          <t>AI加速晶片/GPU</t>
        </is>
      </c>
      <c r="E37" s="76" t="n">
        <v>14</v>
      </c>
      <c r="F37" s="42" t="n">
        <v>544.78</v>
      </c>
      <c r="G37" s="42" t="n">
        <v>512.5</v>
      </c>
      <c r="H37" s="42" t="n">
        <v>503.6</v>
      </c>
      <c r="I37" s="11">
        <f>F37/G37-1</f>
        <v>0.06298536585365855</v>
      </c>
      <c r="J37" s="11">
        <f>F37/H37-1</f>
        <v>0.08177124702144556</v>
      </c>
      <c r="K37" s="13" t="n">
        <v>25297298</v>
      </c>
      <c r="L37" s="13" t="n">
        <v>16522000</v>
      </c>
      <c r="M37" s="43">
        <f>K37/L37</f>
        <v>1.5311280716620264</v>
      </c>
    </row>
    <row r="38">
      <c r="A38" s="41" t="inlineStr">
        <is>
          <t>AMG</t>
        </is>
      </c>
      <c r="B38" s="37" t="inlineStr">
        <is>
          <t>—</t>
        </is>
      </c>
      <c r="C38" s="37" t="inlineStr">
        <is>
          <t>—</t>
        </is>
      </c>
      <c r="D38" s="6" t="inlineStr">
        <is>
          <t>資產管理</t>
        </is>
      </c>
      <c r="E38" s="76" t="n">
        <v>77</v>
      </c>
      <c r="F38" s="42" t="n">
        <v>352.18</v>
      </c>
      <c r="G38" s="42" t="n">
        <v>342.82</v>
      </c>
      <c r="H38" s="42" t="n">
        <v>354.53</v>
      </c>
      <c r="I38" s="11">
        <f>F38/G38-1</f>
        <v>0.027302957820430684</v>
      </c>
      <c r="J38" s="11">
        <f>F38/H38-1</f>
        <v>-0.006628494062561607</v>
      </c>
      <c r="K38" s="13" t="n">
        <v>209647</v>
      </c>
      <c r="L38" s="13" t="n">
        <v>253400</v>
      </c>
      <c r="M38" s="43">
        <f>K38/L38</f>
        <v>0.827336227308603</v>
      </c>
    </row>
    <row r="39">
      <c r="A39" s="41" t="inlineStr">
        <is>
          <t>AMGN</t>
        </is>
      </c>
      <c r="B39" s="37" t="inlineStr">
        <is>
          <t>—</t>
        </is>
      </c>
      <c r="C39" s="37" t="inlineStr">
        <is>
          <t>—</t>
        </is>
      </c>
      <c r="D39" s="6" t="inlineStr">
        <is>
          <t>大型生物科技</t>
        </is>
      </c>
      <c r="E39" s="76" t="n">
        <v>19</v>
      </c>
      <c r="F39" s="42" t="n">
        <v>379.76</v>
      </c>
      <c r="G39" s="42" t="n">
        <v>376.35</v>
      </c>
      <c r="H39" s="42" t="n">
        <v>382.47</v>
      </c>
      <c r="I39" s="11">
        <f>F39/G39-1</f>
        <v>0.009060714760196431</v>
      </c>
      <c r="J39" s="11">
        <f>F39/H39-1</f>
        <v>-0.007085523047559383</v>
      </c>
      <c r="K39" s="13" t="n">
        <v>2266233</v>
      </c>
      <c r="L39" s="13" t="n">
        <v>2348850</v>
      </c>
      <c r="M39" s="43">
        <f>K39/L39</f>
        <v>0.964826617280797</v>
      </c>
    </row>
    <row r="40">
      <c r="A40" s="41" t="inlineStr">
        <is>
          <t>AMH</t>
        </is>
      </c>
      <c r="B40" s="37" t="inlineStr">
        <is>
          <t>—</t>
        </is>
      </c>
      <c r="C40" s="37" t="inlineStr">
        <is>
          <t>—</t>
        </is>
      </c>
      <c r="D40" s="6" t="inlineStr">
        <is>
          <t>住宅公寓REIT</t>
        </is>
      </c>
      <c r="E40" s="76" t="n">
        <v>99</v>
      </c>
      <c r="F40" s="42" t="n">
        <v>31.305</v>
      </c>
      <c r="G40" s="42" t="n">
        <v>31.38</v>
      </c>
      <c r="H40" s="42" t="n">
        <v>31.56</v>
      </c>
      <c r="I40" s="11">
        <f>F40/G40-1</f>
        <v>-0.002390057361376652</v>
      </c>
      <c r="J40" s="11">
        <f>F40/H40-1</f>
        <v>-0.008079847908745164</v>
      </c>
      <c r="K40" s="13" t="n">
        <v>2349655</v>
      </c>
      <c r="L40" s="13" t="n">
        <v>2014950</v>
      </c>
      <c r="M40" s="43">
        <f>K40/L40</f>
        <v>1.1661108216084766</v>
      </c>
    </row>
    <row r="41">
      <c r="A41" s="41" t="inlineStr">
        <is>
          <t>AMR</t>
        </is>
      </c>
      <c r="B41" s="37" t="inlineStr">
        <is>
          <t>—</t>
        </is>
      </c>
      <c r="C41" s="37" t="inlineStr">
        <is>
          <t>—</t>
        </is>
      </c>
      <c r="D41" s="6" t="inlineStr">
        <is>
          <t>煤炭</t>
        </is>
      </c>
      <c r="E41" s="76" t="n">
        <v>111</v>
      </c>
      <c r="F41" s="42" t="n">
        <v>184.45</v>
      </c>
      <c r="G41" s="42" t="n">
        <v>189.49</v>
      </c>
      <c r="H41" s="42" t="n">
        <v>217.73</v>
      </c>
      <c r="I41" s="11">
        <f>F41/G41-1</f>
        <v>-0.026597709641669853</v>
      </c>
      <c r="J41" s="11">
        <f>F41/H41-1</f>
        <v>-0.1528498599182474</v>
      </c>
      <c r="K41" s="13" t="n">
        <v>185793</v>
      </c>
      <c r="L41" s="13" t="n">
        <v>347750</v>
      </c>
      <c r="M41" s="43">
        <f>K41/L41</f>
        <v>0.5342717469446442</v>
      </c>
    </row>
    <row r="42">
      <c r="A42" s="41" t="inlineStr">
        <is>
          <t>AMT</t>
        </is>
      </c>
      <c r="B42" s="37" t="inlineStr">
        <is>
          <t>—</t>
        </is>
      </c>
      <c r="C42" s="37" t="inlineStr">
        <is>
          <t>—</t>
        </is>
      </c>
      <c r="D42" s="6" t="inlineStr">
        <is>
          <t>通訊塔REIT</t>
        </is>
      </c>
      <c r="E42" s="76" t="n">
        <v>40</v>
      </c>
      <c r="F42" s="42" t="n">
        <v>175.58</v>
      </c>
      <c r="G42" s="42" t="n">
        <v>176.39</v>
      </c>
      <c r="H42" s="42" t="n">
        <v>172.98</v>
      </c>
      <c r="I42" s="11">
        <f>F42/G42-1</f>
        <v>-0.004592097057656175</v>
      </c>
      <c r="J42" s="11">
        <f>F42/H42-1</f>
        <v>0.015030639380275268</v>
      </c>
      <c r="K42" s="13" t="n">
        <v>2127294</v>
      </c>
      <c r="L42" s="13" t="n">
        <v>2025450</v>
      </c>
      <c r="M42" s="43">
        <f>K42/L42</f>
        <v>1.0502821595201066</v>
      </c>
    </row>
    <row r="43">
      <c r="A43" s="41" t="inlineStr">
        <is>
          <t>AMZN</t>
        </is>
      </c>
      <c r="B43" s="37" t="inlineStr">
        <is>
          <t>—</t>
        </is>
      </c>
      <c r="C43" s="37" t="inlineStr">
        <is>
          <t>—</t>
        </is>
      </c>
      <c r="D43" s="6" t="inlineStr">
        <is>
          <t>雲端基建/IaaS/Neocloud、電商平台</t>
        </is>
      </c>
      <c r="E43" s="76" t="n">
        <v>31</v>
      </c>
      <c r="F43" s="42" t="n">
        <v>251.18</v>
      </c>
      <c r="G43" s="42" t="n">
        <v>245.96</v>
      </c>
      <c r="H43" s="42" t="n">
        <v>251.89</v>
      </c>
      <c r="I43" s="11">
        <f>F43/G43-1</f>
        <v>0.021222963083428192</v>
      </c>
      <c r="J43" s="11">
        <f>F43/H43-1</f>
        <v>-0.002818690698320636</v>
      </c>
      <c r="K43" s="13" t="n">
        <v>22124065</v>
      </c>
      <c r="L43" s="13" t="n">
        <v>31225000</v>
      </c>
      <c r="M43" s="43">
        <f>K43/L43</f>
        <v>0.708536909527622</v>
      </c>
    </row>
    <row r="44">
      <c r="A44" s="41" t="inlineStr">
        <is>
          <t>ANET</t>
        </is>
      </c>
      <c r="B44" s="37" t="inlineStr">
        <is>
          <t>—</t>
        </is>
      </c>
      <c r="C44" s="37" t="inlineStr">
        <is>
          <t>—</t>
        </is>
      </c>
      <c r="D44" s="6" t="inlineStr">
        <is>
          <t>AI資料中心建設</t>
        </is>
      </c>
      <c r="E44" s="76" t="n">
        <v>10</v>
      </c>
      <c r="F44" s="42" t="n">
        <v>199.535</v>
      </c>
      <c r="G44" s="42" t="n">
        <v>197.54</v>
      </c>
      <c r="H44" s="42" t="n">
        <v>188.99</v>
      </c>
      <c r="I44" s="11">
        <f>F44/G44-1</f>
        <v>0.010099220411055931</v>
      </c>
      <c r="J44" s="11">
        <f>F44/H44-1</f>
        <v>0.05579660299486733</v>
      </c>
      <c r="K44" s="13" t="n">
        <v>5303528</v>
      </c>
      <c r="L44" s="13" t="n">
        <v>4554300</v>
      </c>
      <c r="M44" s="43">
        <f>K44/L44</f>
        <v>1.1645100234942802</v>
      </c>
    </row>
    <row r="45">
      <c r="A45" s="41" t="inlineStr">
        <is>
          <t>AON</t>
        </is>
      </c>
      <c r="B45" s="37" t="inlineStr">
        <is>
          <t>—</t>
        </is>
      </c>
      <c r="C45" s="37" t="inlineStr">
        <is>
          <t>—</t>
        </is>
      </c>
      <c r="D45" s="6" t="inlineStr">
        <is>
          <t>保險經紀</t>
        </is>
      </c>
      <c r="E45" s="76" t="n">
        <v>110</v>
      </c>
      <c r="F45" s="42" t="n">
        <v>296.04</v>
      </c>
      <c r="G45" s="42" t="n">
        <v>300.57</v>
      </c>
      <c r="H45" s="42" t="n">
        <v>307.77</v>
      </c>
      <c r="I45" s="11">
        <f>F45/G45-1</f>
        <v>-0.015071364407625465</v>
      </c>
      <c r="J45" s="11">
        <f>F45/H45-1</f>
        <v>-0.038112876498684</v>
      </c>
      <c r="K45" s="13" t="n">
        <v>2231126</v>
      </c>
      <c r="L45" s="13" t="n">
        <v>1633450</v>
      </c>
      <c r="M45" s="43">
        <f>K45/L45</f>
        <v>1.365897946065077</v>
      </c>
    </row>
    <row r="46">
      <c r="A46" s="41" t="inlineStr">
        <is>
          <t>APA</t>
        </is>
      </c>
      <c r="B46" s="37" t="inlineStr">
        <is>
          <t>—</t>
        </is>
      </c>
      <c r="C46" s="37" t="inlineStr">
        <is>
          <t>—</t>
        </is>
      </c>
      <c r="D46" s="6" t="inlineStr">
        <is>
          <t>—</t>
        </is>
      </c>
      <c r="E46" s="76" t="n"/>
      <c r="F46" s="42" t="n">
        <v>45.46</v>
      </c>
      <c r="G46" s="42" t="n">
        <v>44.79</v>
      </c>
      <c r="H46" s="42" t="n">
        <v>44.53</v>
      </c>
      <c r="I46" s="11">
        <f>F46/G46-1</f>
        <v>0.014958696137530758</v>
      </c>
      <c r="J46" s="11">
        <f>F46/H46-1</f>
        <v>0.0208847967662249</v>
      </c>
      <c r="K46" s="13" t="n">
        <v>4209639</v>
      </c>
      <c r="L46" s="13" t="n">
        <v>4866200</v>
      </c>
      <c r="M46" s="43">
        <f>K46/L46</f>
        <v>0.8650772676832025</v>
      </c>
    </row>
    <row r="47">
      <c r="A47" s="41" t="inlineStr">
        <is>
          <t>APD</t>
        </is>
      </c>
      <c r="B47" s="37" t="inlineStr">
        <is>
          <t>—</t>
        </is>
      </c>
      <c r="C47" s="37" t="inlineStr">
        <is>
          <t>—</t>
        </is>
      </c>
      <c r="D47" s="6" t="inlineStr">
        <is>
          <t>特種化工</t>
        </is>
      </c>
      <c r="E47" s="76" t="n">
        <v>61</v>
      </c>
      <c r="F47" s="42" t="n">
        <v>286.15</v>
      </c>
      <c r="G47" s="42" t="n">
        <v>287.08</v>
      </c>
      <c r="H47" s="42" t="n">
        <v>293.65</v>
      </c>
      <c r="I47" s="11">
        <f>F47/G47-1</f>
        <v>-0.003239515117737235</v>
      </c>
      <c r="J47" s="11">
        <f>F47/H47-1</f>
        <v>-0.025540609569215</v>
      </c>
      <c r="K47" s="13" t="n">
        <v>663798</v>
      </c>
      <c r="L47" s="13" t="n">
        <v>980300</v>
      </c>
      <c r="M47" s="43">
        <f>K47/L47</f>
        <v>0.6771376109354279</v>
      </c>
    </row>
    <row r="48">
      <c r="A48" s="41" t="inlineStr">
        <is>
          <t>APH</t>
        </is>
      </c>
      <c r="B48" s="37" t="inlineStr">
        <is>
          <t>—</t>
        </is>
      </c>
      <c r="C48" s="37" t="inlineStr">
        <is>
          <t>—</t>
        </is>
      </c>
      <c r="D48" s="6" t="inlineStr">
        <is>
          <t>電子硬件與EMS/連接器</t>
        </is>
      </c>
      <c r="E48" s="76" t="n">
        <v>3</v>
      </c>
      <c r="F48" s="42" t="n">
        <v>78.36</v>
      </c>
      <c r="G48" s="42" t="n">
        <v>77.26000000000001</v>
      </c>
      <c r="H48" s="42" t="n">
        <v>80.25</v>
      </c>
      <c r="I48" s="11">
        <f>F48/G48-1</f>
        <v>0.014237639140564307</v>
      </c>
      <c r="J48" s="11">
        <f>F48/H48-1</f>
        <v>-0.02355140186915894</v>
      </c>
      <c r="K48" s="13" t="n">
        <v>6221132</v>
      </c>
      <c r="L48" s="13" t="n">
        <v>10936300</v>
      </c>
      <c r="M48" s="43">
        <f>K48/L48</f>
        <v>0.56885162257802</v>
      </c>
    </row>
    <row r="49">
      <c r="A49" s="41" t="inlineStr">
        <is>
          <t>APO</t>
        </is>
      </c>
      <c r="B49" s="37" t="inlineStr">
        <is>
          <t>—</t>
        </is>
      </c>
      <c r="C49" s="37" t="inlineStr">
        <is>
          <t>—</t>
        </is>
      </c>
      <c r="D49" s="6" t="inlineStr">
        <is>
          <t>另類資產與私募信貸</t>
        </is>
      </c>
      <c r="E49" s="76" t="n">
        <v>87</v>
      </c>
      <c r="F49" s="42" t="n">
        <v>126.01</v>
      </c>
      <c r="G49" s="42" t="n">
        <v>124.53</v>
      </c>
      <c r="H49" s="42" t="n">
        <v>127.91</v>
      </c>
      <c r="I49" s="11">
        <f>F49/G49-1</f>
        <v>0.011884686420942758</v>
      </c>
      <c r="J49" s="11">
        <f>F49/H49-1</f>
        <v>-0.014854194355406025</v>
      </c>
      <c r="K49" s="13" t="n">
        <v>1781980</v>
      </c>
      <c r="L49" s="13" t="n">
        <v>2204050</v>
      </c>
      <c r="M49" s="43">
        <f>K49/L49</f>
        <v>0.8085025294344502</v>
      </c>
    </row>
    <row r="50">
      <c r="A50" s="41" t="inlineStr">
        <is>
          <t>APTV</t>
        </is>
      </c>
      <c r="B50" s="37" t="inlineStr">
        <is>
          <t>—</t>
        </is>
      </c>
      <c r="C50" s="37" t="inlineStr">
        <is>
          <t>—</t>
        </is>
      </c>
      <c r="D50" s="6" t="inlineStr">
        <is>
          <t>傳統汽車與零部件</t>
        </is>
      </c>
      <c r="E50" s="76" t="n">
        <v>84</v>
      </c>
      <c r="F50" s="42" t="n">
        <v>43.625</v>
      </c>
      <c r="G50" s="42" t="n">
        <v>43.34</v>
      </c>
      <c r="H50" s="42" t="n">
        <v>45.69</v>
      </c>
      <c r="I50" s="11">
        <f>F50/G50-1</f>
        <v>0.006575911398246426</v>
      </c>
      <c r="J50" s="11">
        <f>F50/H50-1</f>
        <v>-0.04519588531407304</v>
      </c>
      <c r="K50" s="13" t="n">
        <v>3636071</v>
      </c>
      <c r="L50" s="13" t="n">
        <v>3747950</v>
      </c>
      <c r="M50" s="43">
        <f>K50/L50</f>
        <v>0.9701492816072786</v>
      </c>
    </row>
    <row r="51">
      <c r="A51" s="41" t="inlineStr">
        <is>
          <t>ARES</t>
        </is>
      </c>
      <c r="B51" s="37" t="inlineStr">
        <is>
          <t>—</t>
        </is>
      </c>
      <c r="C51" s="37" t="inlineStr">
        <is>
          <t>—</t>
        </is>
      </c>
      <c r="D51" s="6" t="inlineStr">
        <is>
          <t>另類資產與私募信貸</t>
        </is>
      </c>
      <c r="E51" s="76" t="n">
        <v>87</v>
      </c>
      <c r="F51" s="42" t="n">
        <v>125.31</v>
      </c>
      <c r="G51" s="42" t="n">
        <v>124.21</v>
      </c>
      <c r="H51" s="42" t="n">
        <v>130.63</v>
      </c>
      <c r="I51" s="11">
        <f>F51/G51-1</f>
        <v>0.008855969728685409</v>
      </c>
      <c r="J51" s="11">
        <f>F51/H51-1</f>
        <v>-0.040725713848273726</v>
      </c>
      <c r="K51" s="13" t="n">
        <v>1194046</v>
      </c>
      <c r="L51" s="13" t="n">
        <v>1771700</v>
      </c>
      <c r="M51" s="43">
        <f>K51/L51</f>
        <v>0.6739549585144212</v>
      </c>
    </row>
    <row r="52">
      <c r="A52" s="41" t="inlineStr">
        <is>
          <t>ARM</t>
        </is>
      </c>
      <c r="B52" s="37" t="inlineStr">
        <is>
          <t>—</t>
        </is>
      </c>
      <c r="C52" s="37" t="inlineStr">
        <is>
          <t>—</t>
        </is>
      </c>
      <c r="D52" s="6" t="inlineStr">
        <is>
          <t>EDA與半導體IP</t>
        </is>
      </c>
      <c r="E52" s="76" t="n">
        <v>23</v>
      </c>
      <c r="F52" s="42" t="n">
        <v>264.89</v>
      </c>
      <c r="G52" s="42" t="n">
        <v>243.98</v>
      </c>
      <c r="H52" s="42" t="n">
        <v>254.18</v>
      </c>
      <c r="I52" s="11">
        <f>F52/G52-1</f>
        <v>0.08570374620870558</v>
      </c>
      <c r="J52" s="11">
        <f>F52/H52-1</f>
        <v>0.04213549453143428</v>
      </c>
      <c r="K52" s="13" t="n">
        <v>4920338</v>
      </c>
      <c r="L52" s="13" t="n">
        <v>3744150</v>
      </c>
      <c r="M52" s="43">
        <f>K52/L52</f>
        <v>1.3141401920329048</v>
      </c>
    </row>
    <row r="53">
      <c r="A53" s="41" t="inlineStr">
        <is>
          <t>ARVN</t>
        </is>
      </c>
      <c r="B53" s="37" t="inlineStr">
        <is>
          <t>—</t>
        </is>
      </c>
      <c r="C53" s="37" t="inlineStr">
        <is>
          <t>—</t>
        </is>
      </c>
      <c r="D53" s="6" t="inlineStr">
        <is>
          <t>腫瘤與細胞治療</t>
        </is>
      </c>
      <c r="E53" s="76" t="n">
        <v>30</v>
      </c>
      <c r="F53" s="42" t="n">
        <v>8.300000000000001</v>
      </c>
      <c r="G53" s="42" t="n">
        <v>8.16</v>
      </c>
      <c r="H53" s="42" t="n">
        <v>8.710000000000001</v>
      </c>
      <c r="I53" s="11">
        <f>F53/G53-1</f>
        <v>0.0171568627450982</v>
      </c>
      <c r="J53" s="11">
        <f>F53/H53-1</f>
        <v>-0.04707233065442018</v>
      </c>
      <c r="K53" s="13" t="n">
        <v>414658</v>
      </c>
      <c r="L53" s="13" t="n">
        <v>585500</v>
      </c>
      <c r="M53" s="43">
        <f>K53/L53</f>
        <v>0.7082117847993168</v>
      </c>
    </row>
    <row r="54">
      <c r="A54" s="41" t="inlineStr">
        <is>
          <t>ASML</t>
        </is>
      </c>
      <c r="B54" s="37" t="inlineStr">
        <is>
          <t>—</t>
        </is>
      </c>
      <c r="C54" s="37" t="inlineStr">
        <is>
          <t>—</t>
        </is>
      </c>
      <c r="D54" s="6" t="inlineStr">
        <is>
          <t>半導體設備</t>
        </is>
      </c>
      <c r="E54" s="76" t="n">
        <v>64</v>
      </c>
      <c r="F54" s="42" t="n">
        <v>1628.74</v>
      </c>
      <c r="G54" s="42" t="n">
        <v>1602.22</v>
      </c>
      <c r="H54" s="42" t="n">
        <v>1687.4301</v>
      </c>
      <c r="I54" s="11">
        <f>F54/G54-1</f>
        <v>0.01655203405275185</v>
      </c>
      <c r="J54" s="11">
        <f>F54/H54-1</f>
        <v>-0.034780759214855794</v>
      </c>
      <c r="K54" s="13" t="n">
        <v>1257601</v>
      </c>
      <c r="L54" s="13" t="n">
        <v>1140050</v>
      </c>
      <c r="M54" s="43">
        <f>K54/L54</f>
        <v>1.10311038989518</v>
      </c>
    </row>
    <row r="55">
      <c r="A55" s="41" t="inlineStr">
        <is>
          <t>ASPI</t>
        </is>
      </c>
      <c r="B55" s="37" t="inlineStr">
        <is>
          <t>—</t>
        </is>
      </c>
      <c r="C55" s="37" t="inlineStr">
        <is>
          <t>—</t>
        </is>
      </c>
      <c r="D55" s="6" t="inlineStr">
        <is>
          <t>小型模組化核能SMR</t>
        </is>
      </c>
      <c r="E55" s="76" t="n">
        <v>54</v>
      </c>
      <c r="F55" s="42" t="n">
        <v>3.245</v>
      </c>
      <c r="G55" s="42" t="n">
        <v>3.15</v>
      </c>
      <c r="H55" s="42" t="n">
        <v>3.59</v>
      </c>
      <c r="I55" s="11">
        <f>F55/G55-1</f>
        <v>0.030158730158730274</v>
      </c>
      <c r="J55" s="11">
        <f>F55/H55-1</f>
        <v>-0.09610027855153191</v>
      </c>
      <c r="K55" s="13" t="n">
        <v>2758711</v>
      </c>
      <c r="L55" s="13" t="n">
        <v>3661700</v>
      </c>
      <c r="M55" s="43">
        <f>K55/L55</f>
        <v>0.7533962367206489</v>
      </c>
    </row>
    <row r="56">
      <c r="A56" s="74" t="inlineStr">
        <is>
          <t>ASTS</t>
        </is>
      </c>
      <c r="B56" s="21" t="inlineStr">
        <is>
          <t>④</t>
        </is>
      </c>
      <c r="C56" s="99" t="inlineStr">
        <is>
          <t>—</t>
        </is>
      </c>
      <c r="D56" s="16" t="inlineStr">
        <is>
          <t>太空與衛星、有線/寬頻/衛星</t>
        </is>
      </c>
      <c r="E56" s="68" t="n">
        <v>8</v>
      </c>
      <c r="F56" s="100" t="n">
        <v>62.71</v>
      </c>
      <c r="G56" s="100" t="n">
        <v>59.27</v>
      </c>
      <c r="H56" s="100" t="n">
        <v>59.91</v>
      </c>
      <c r="I56" s="17">
        <f>F56/G56-1</f>
        <v>0.05803948034418749</v>
      </c>
      <c r="J56" s="17">
        <f>F56/H56-1</f>
        <v>0.04673677182440339</v>
      </c>
      <c r="K56" s="101" t="n">
        <v>7957510</v>
      </c>
      <c r="L56" s="101" t="n">
        <v>8364450</v>
      </c>
      <c r="M56" s="102">
        <f>K56/L56</f>
        <v>0.9513488633442725</v>
      </c>
    </row>
    <row r="57">
      <c r="A57" s="41" t="inlineStr">
        <is>
          <t>ATO</t>
        </is>
      </c>
      <c r="B57" s="37" t="inlineStr">
        <is>
          <t>—</t>
        </is>
      </c>
      <c r="C57" s="37" t="inlineStr">
        <is>
          <t>—</t>
        </is>
      </c>
      <c r="D57" s="6" t="inlineStr">
        <is>
          <t>燃氣公用</t>
        </is>
      </c>
      <c r="E57" s="76" t="n">
        <v>80</v>
      </c>
      <c r="F57" s="42" t="n">
        <v>161.92</v>
      </c>
      <c r="G57" s="42" t="n">
        <v>161.96</v>
      </c>
      <c r="H57" s="42" t="n">
        <v>164.81</v>
      </c>
      <c r="I57" s="11">
        <f>F57/G57-1</f>
        <v>-0.0002469745616202612</v>
      </c>
      <c r="J57" s="11">
        <f>F57/H57-1</f>
        <v>-0.017535343729142783</v>
      </c>
      <c r="K57" s="13" t="n">
        <v>868017</v>
      </c>
      <c r="L57" s="13" t="n">
        <v>888900</v>
      </c>
      <c r="M57" s="43">
        <f>K57/L57</f>
        <v>0.9765069186635167</v>
      </c>
    </row>
    <row r="58">
      <c r="A58" s="41" t="inlineStr">
        <is>
          <t>AU</t>
        </is>
      </c>
      <c r="B58" s="37" t="inlineStr">
        <is>
          <t>—</t>
        </is>
      </c>
      <c r="C58" s="37" t="inlineStr">
        <is>
          <t>—</t>
        </is>
      </c>
      <c r="D58" s="6" t="inlineStr">
        <is>
          <t>黃金與貴金屬礦</t>
        </is>
      </c>
      <c r="E58" s="76" t="n">
        <v>28</v>
      </c>
      <c r="F58" s="42" t="n">
        <v>102.4</v>
      </c>
      <c r="G58" s="42" t="n">
        <v>99.73999999999999</v>
      </c>
      <c r="H58" s="42" t="n">
        <v>103.88</v>
      </c>
      <c r="I58" s="11">
        <f>F58/G58-1</f>
        <v>0.02666934028474044</v>
      </c>
      <c r="J58" s="11">
        <f>F58/H58-1</f>
        <v>-0.014247208317289095</v>
      </c>
      <c r="K58" s="13" t="n">
        <v>1561652</v>
      </c>
      <c r="L58" s="13" t="n">
        <v>2588500</v>
      </c>
      <c r="M58" s="43">
        <f>K58/L58</f>
        <v>0.6033038439250531</v>
      </c>
    </row>
    <row r="59">
      <c r="A59" s="41" t="inlineStr">
        <is>
          <t>AVAV</t>
        </is>
      </c>
      <c r="B59" s="37" t="inlineStr">
        <is>
          <t>—</t>
        </is>
      </c>
      <c r="C59" s="37" t="inlineStr">
        <is>
          <t>—</t>
        </is>
      </c>
      <c r="D59" s="6" t="inlineStr">
        <is>
          <t>國防科技與無人機</t>
        </is>
      </c>
      <c r="E59" s="76" t="n">
        <v>13</v>
      </c>
      <c r="F59" s="42" t="n">
        <v>163.35</v>
      </c>
      <c r="G59" s="42" t="n">
        <v>156.45</v>
      </c>
      <c r="H59" s="42" t="n">
        <v>147.07</v>
      </c>
      <c r="I59" s="11">
        <f>F59/G59-1</f>
        <v>0.04410354745925216</v>
      </c>
      <c r="J59" s="11">
        <f>F59/H59-1</f>
        <v>0.11069558713537764</v>
      </c>
      <c r="K59" s="13" t="n">
        <v>1592104</v>
      </c>
      <c r="L59" s="13" t="n">
        <v>1516000</v>
      </c>
      <c r="M59" s="43">
        <f>K59/L59</f>
        <v>1.0502005277044855</v>
      </c>
    </row>
    <row r="60">
      <c r="A60" s="41" t="inlineStr">
        <is>
          <t>AVGO</t>
        </is>
      </c>
      <c r="B60" s="37" t="inlineStr">
        <is>
          <t>—</t>
        </is>
      </c>
      <c r="C60" s="37" t="inlineStr">
        <is>
          <t>—</t>
        </is>
      </c>
      <c r="D60" s="6" t="inlineStr">
        <is>
          <t>AI加速晶片/GPU</t>
        </is>
      </c>
      <c r="E60" s="76" t="n">
        <v>14</v>
      </c>
      <c r="F60" s="42" t="n">
        <v>347.28</v>
      </c>
      <c r="G60" s="42" t="n">
        <v>339.51</v>
      </c>
      <c r="H60" s="42" t="n">
        <v>360.83</v>
      </c>
      <c r="I60" s="11">
        <f>F60/G60-1</f>
        <v>0.022885923831404087</v>
      </c>
      <c r="J60" s="11">
        <f>F60/H60-1</f>
        <v>-0.03755230995205505</v>
      </c>
      <c r="K60" s="13" t="n">
        <v>15414035</v>
      </c>
      <c r="L60" s="13" t="n">
        <v>22550250</v>
      </c>
      <c r="M60" s="43">
        <f>K60/L60</f>
        <v>0.6835416458797574</v>
      </c>
    </row>
    <row r="61">
      <c r="A61" s="41" t="inlineStr">
        <is>
          <t>AWK</t>
        </is>
      </c>
      <c r="B61" s="37" t="inlineStr">
        <is>
          <t>—</t>
        </is>
      </c>
      <c r="C61" s="37" t="inlineStr">
        <is>
          <t>—</t>
        </is>
      </c>
      <c r="D61" s="6" t="inlineStr">
        <is>
          <t>水務公用</t>
        </is>
      </c>
      <c r="E61" s="76" t="n">
        <v>39</v>
      </c>
      <c r="F61" s="42" t="n">
        <v>138.215</v>
      </c>
      <c r="G61" s="42" t="n">
        <v>137.76</v>
      </c>
      <c r="H61" s="42" t="n">
        <v>139.84</v>
      </c>
      <c r="I61" s="11">
        <f>F61/G61-1</f>
        <v>0.0033028455284553893</v>
      </c>
      <c r="J61" s="11">
        <f>F61/H61-1</f>
        <v>-0.011620423340961139</v>
      </c>
      <c r="K61" s="13" t="n">
        <v>1434693</v>
      </c>
      <c r="L61" s="13" t="n">
        <v>1941000</v>
      </c>
      <c r="M61" s="43">
        <f>K61/L61</f>
        <v>0.7391514683153014</v>
      </c>
    </row>
    <row r="62">
      <c r="A62" s="41" t="inlineStr">
        <is>
          <t>AWR</t>
        </is>
      </c>
      <c r="B62" s="37" t="inlineStr">
        <is>
          <t>—</t>
        </is>
      </c>
      <c r="C62" s="37" t="inlineStr">
        <is>
          <t>—</t>
        </is>
      </c>
      <c r="D62" s="6" t="inlineStr">
        <is>
          <t>水務公用</t>
        </is>
      </c>
      <c r="E62" s="76" t="n">
        <v>39</v>
      </c>
      <c r="F62" s="42" t="n">
        <v>86.68000000000001</v>
      </c>
      <c r="G62" s="42" t="n">
        <v>87.17</v>
      </c>
      <c r="H62" s="42" t="n">
        <v>87.47</v>
      </c>
      <c r="I62" s="11">
        <f>F62/G62-1</f>
        <v>-0.005621199954112588</v>
      </c>
      <c r="J62" s="11">
        <f>F62/H62-1</f>
        <v>-0.009031668000457183</v>
      </c>
      <c r="K62" s="13" t="n">
        <v>126439</v>
      </c>
      <c r="L62" s="13" t="n">
        <v>177150</v>
      </c>
      <c r="M62" s="43">
        <f>K62/L62</f>
        <v>0.7137397685577195</v>
      </c>
    </row>
    <row r="63">
      <c r="A63" s="41" t="inlineStr">
        <is>
          <t>AXP</t>
        </is>
      </c>
      <c r="B63" s="37" t="inlineStr">
        <is>
          <t>—</t>
        </is>
      </c>
      <c r="C63" s="37" t="inlineStr">
        <is>
          <t>—</t>
        </is>
      </c>
      <c r="D63" s="6" t="inlineStr">
        <is>
          <t>消費金融與BNPL</t>
        </is>
      </c>
      <c r="E63" s="76" t="n">
        <v>95</v>
      </c>
      <c r="F63" s="42" t="n">
        <v>311.5</v>
      </c>
      <c r="G63" s="42" t="n">
        <v>312.43</v>
      </c>
      <c r="H63" s="42" t="n">
        <v>320.71</v>
      </c>
      <c r="I63" s="11">
        <f>F63/G63-1</f>
        <v>-0.002976666773357284</v>
      </c>
      <c r="J63" s="11">
        <f>F63/H63-1</f>
        <v>-0.028717532973714488</v>
      </c>
      <c r="K63" s="13" t="n">
        <v>3130197</v>
      </c>
      <c r="L63" s="13" t="n">
        <v>2415500</v>
      </c>
      <c r="M63" s="43">
        <f>K63/L63</f>
        <v>1.295879528048023</v>
      </c>
    </row>
    <row r="64">
      <c r="A64" s="41" t="inlineStr">
        <is>
          <t>BA</t>
        </is>
      </c>
      <c r="B64" s="37" t="inlineStr">
        <is>
          <t>—</t>
        </is>
      </c>
      <c r="C64" s="37" t="inlineStr">
        <is>
          <t>—</t>
        </is>
      </c>
      <c r="D64" s="6" t="inlineStr">
        <is>
          <t>航太與國防</t>
        </is>
      </c>
      <c r="E64" s="76" t="n">
        <v>72</v>
      </c>
      <c r="F64" s="42" t="n">
        <v>197</v>
      </c>
      <c r="G64" s="42" t="n">
        <v>201.96</v>
      </c>
      <c r="H64" s="42" t="n">
        <v>204.8</v>
      </c>
      <c r="I64" s="11">
        <f>F64/G64-1</f>
        <v>-0.024559318676965813</v>
      </c>
      <c r="J64" s="11">
        <f>F64/H64-1</f>
        <v>-0.0380859375</v>
      </c>
      <c r="K64" s="13" t="n">
        <v>10533261</v>
      </c>
      <c r="L64" s="13" t="n">
        <v>4739950</v>
      </c>
      <c r="M64" s="43">
        <f>K64/L64</f>
        <v>2.2222304032742963</v>
      </c>
    </row>
    <row r="65">
      <c r="A65" s="41" t="inlineStr">
        <is>
          <t>BAC</t>
        </is>
      </c>
      <c r="B65" s="37" t="inlineStr">
        <is>
          <t>—</t>
        </is>
      </c>
      <c r="C65" s="37" t="inlineStr">
        <is>
          <t>—</t>
        </is>
      </c>
      <c r="D65" s="6" t="inlineStr">
        <is>
          <t>大型全能銀行</t>
        </is>
      </c>
      <c r="E65" s="76" t="n">
        <v>82</v>
      </c>
      <c r="F65" s="42" t="n">
        <v>58.17</v>
      </c>
      <c r="G65" s="42" t="n">
        <v>57.9</v>
      </c>
      <c r="H65" s="42" t="n">
        <v>62.56</v>
      </c>
      <c r="I65" s="11">
        <f>F65/G65-1</f>
        <v>0.004663212435233266</v>
      </c>
      <c r="J65" s="11">
        <f>F65/H65-1</f>
        <v>-0.07017263427109977</v>
      </c>
      <c r="K65" s="13" t="n">
        <v>27163053</v>
      </c>
      <c r="L65" s="13" t="n">
        <v>29650550</v>
      </c>
      <c r="M65" s="43">
        <f>K65/L65</f>
        <v>0.9161062105087426</v>
      </c>
    </row>
    <row r="66">
      <c r="A66" s="41" t="inlineStr">
        <is>
          <t>BBY</t>
        </is>
      </c>
      <c r="B66" s="37" t="inlineStr">
        <is>
          <t>—</t>
        </is>
      </c>
      <c r="C66" s="37" t="inlineStr">
        <is>
          <t>—</t>
        </is>
      </c>
      <c r="D66" s="6" t="inlineStr">
        <is>
          <t>專門零售</t>
        </is>
      </c>
      <c r="E66" s="76" t="n">
        <v>62</v>
      </c>
      <c r="F66" s="42" t="n">
        <v>94.55</v>
      </c>
      <c r="G66" s="42" t="n">
        <v>92.45</v>
      </c>
      <c r="H66" s="42" t="n">
        <v>88.09</v>
      </c>
      <c r="I66" s="11">
        <f>F66/G66-1</f>
        <v>0.022714981070849127</v>
      </c>
      <c r="J66" s="11">
        <f>F66/H66-1</f>
        <v>0.07333409013508896</v>
      </c>
      <c r="K66" s="13" t="n">
        <v>3008198</v>
      </c>
      <c r="L66" s="13" t="n">
        <v>3817400</v>
      </c>
      <c r="M66" s="43">
        <f>K66/L66</f>
        <v>0.7880227379892073</v>
      </c>
    </row>
    <row r="67">
      <c r="A67" s="41" t="inlineStr">
        <is>
          <t>BC</t>
        </is>
      </c>
      <c r="B67" s="37" t="inlineStr">
        <is>
          <t>—</t>
        </is>
      </c>
      <c r="C67" s="37" t="inlineStr">
        <is>
          <t>—</t>
        </is>
      </c>
      <c r="D67" s="6" t="inlineStr">
        <is>
          <t>家居耐用與休閒用品</t>
        </is>
      </c>
      <c r="E67" s="76" t="n">
        <v>102</v>
      </c>
      <c r="F67" s="42" t="n">
        <v>67.81999999999999</v>
      </c>
      <c r="G67" s="42" t="n">
        <v>67.72</v>
      </c>
      <c r="H67" s="42" t="n">
        <v>69.88</v>
      </c>
      <c r="I67" s="11">
        <f>F67/G67-1</f>
        <v>0.001476668635558065</v>
      </c>
      <c r="J67" s="11">
        <f>F67/H67-1</f>
        <v>-0.02947910704064116</v>
      </c>
      <c r="K67" s="13" t="n">
        <v>531068</v>
      </c>
      <c r="L67" s="13" t="n">
        <v>697050</v>
      </c>
      <c r="M67" s="43">
        <f>K67/L67</f>
        <v>0.7618793486837386</v>
      </c>
    </row>
    <row r="68">
      <c r="A68" s="41" t="inlineStr">
        <is>
          <t>BEAM</t>
        </is>
      </c>
      <c r="B68" s="37" t="inlineStr">
        <is>
          <t>—</t>
        </is>
      </c>
      <c r="C68" s="37" t="inlineStr">
        <is>
          <t>—</t>
        </is>
      </c>
      <c r="D68" s="6" t="inlineStr">
        <is>
          <t>基因治療與基因編輯</t>
        </is>
      </c>
      <c r="E68" s="76" t="n">
        <v>32</v>
      </c>
      <c r="F68" s="42" t="n">
        <v>24.66</v>
      </c>
      <c r="G68" s="42" t="n">
        <v>23.1</v>
      </c>
      <c r="H68" s="42" t="n">
        <v>24.37</v>
      </c>
      <c r="I68" s="11">
        <f>F68/G68-1</f>
        <v>0.06753246753246755</v>
      </c>
      <c r="J68" s="11">
        <f>F68/H68-1</f>
        <v>0.011899876897825123</v>
      </c>
      <c r="K68" s="13" t="n">
        <v>2142443</v>
      </c>
      <c r="L68" s="13" t="n">
        <v>1421900</v>
      </c>
      <c r="M68" s="43">
        <f>K68/L68</f>
        <v>1.50674660665307</v>
      </c>
    </row>
    <row r="69">
      <c r="A69" s="41" t="inlineStr">
        <is>
          <t>BEN</t>
        </is>
      </c>
      <c r="B69" s="37" t="inlineStr">
        <is>
          <t>—</t>
        </is>
      </c>
      <c r="C69" s="37" t="inlineStr">
        <is>
          <t>—</t>
        </is>
      </c>
      <c r="D69" s="6" t="inlineStr">
        <is>
          <t>資產管理</t>
        </is>
      </c>
      <c r="E69" s="76" t="n">
        <v>77</v>
      </c>
      <c r="F69" s="42" t="n">
        <v>33.075</v>
      </c>
      <c r="G69" s="42" t="n">
        <v>32.72</v>
      </c>
      <c r="H69" s="42" t="n">
        <v>33.66</v>
      </c>
      <c r="I69" s="11">
        <f>F69/G69-1</f>
        <v>0.010849633251833968</v>
      </c>
      <c r="J69" s="11">
        <f>F69/H69-1</f>
        <v>-0.017379679144384874</v>
      </c>
      <c r="K69" s="13" t="n">
        <v>1539464</v>
      </c>
      <c r="L69" s="13" t="n">
        <v>2834000</v>
      </c>
      <c r="M69" s="43">
        <f>K69/L69</f>
        <v>0.543212420606916</v>
      </c>
    </row>
    <row r="70">
      <c r="A70" s="41" t="inlineStr">
        <is>
          <t>BF.B</t>
        </is>
      </c>
      <c r="B70" s="37" t="inlineStr">
        <is>
          <t>—</t>
        </is>
      </c>
      <c r="C70" s="37" t="inlineStr">
        <is>
          <t>—</t>
        </is>
      </c>
      <c r="D70" s="6" t="inlineStr">
        <is>
          <t>酒精飲品</t>
        </is>
      </c>
      <c r="E70" s="76" t="n">
        <v>53</v>
      </c>
      <c r="F70" s="42" t="n">
        <v>26.53</v>
      </c>
      <c r="G70" s="42" t="n">
        <v>25.74</v>
      </c>
      <c r="H70" s="42" t="n">
        <v>26.59</v>
      </c>
      <c r="I70" s="11">
        <f>F70/G70-1</f>
        <v>0.030691530691530744</v>
      </c>
      <c r="J70" s="11">
        <f>F70/H70-1</f>
        <v>-0.002256487401278595</v>
      </c>
      <c r="K70" s="13" t="n">
        <v>2299595</v>
      </c>
      <c r="L70" s="13" t="n">
        <v>2232050</v>
      </c>
      <c r="M70" s="43">
        <f>K70/L70</f>
        <v>1.0302614188750252</v>
      </c>
    </row>
    <row r="71">
      <c r="A71" s="41" t="inlineStr">
        <is>
          <t>BG</t>
        </is>
      </c>
      <c r="B71" s="37" t="inlineStr">
        <is>
          <t>—</t>
        </is>
      </c>
      <c r="C71" s="37" t="inlineStr">
        <is>
          <t>—</t>
        </is>
      </c>
      <c r="D71" s="6" t="inlineStr">
        <is>
          <t>農產品與農業投入</t>
        </is>
      </c>
      <c r="E71" s="76" t="n">
        <v>70</v>
      </c>
      <c r="F71" s="42" t="n">
        <v>119.29</v>
      </c>
      <c r="G71" s="42" t="n">
        <v>117.13</v>
      </c>
      <c r="H71" s="42" t="n">
        <v>124.59</v>
      </c>
      <c r="I71" s="11">
        <f>F71/G71-1</f>
        <v>0.01844104840775218</v>
      </c>
      <c r="J71" s="11">
        <f>F71/H71-1</f>
        <v>-0.04253952965727581</v>
      </c>
      <c r="K71" s="13" t="n">
        <v>1766925</v>
      </c>
      <c r="L71" s="13" t="n">
        <v>1615750</v>
      </c>
      <c r="M71" s="43">
        <f>K71/L71</f>
        <v>1.0935633606684203</v>
      </c>
    </row>
    <row r="72">
      <c r="A72" s="41" t="inlineStr">
        <is>
          <t>BIIB</t>
        </is>
      </c>
      <c r="B72" s="37" t="inlineStr">
        <is>
          <t>—</t>
        </is>
      </c>
      <c r="C72" s="37" t="inlineStr">
        <is>
          <t>—</t>
        </is>
      </c>
      <c r="D72" s="6" t="inlineStr">
        <is>
          <t>大型生物科技</t>
        </is>
      </c>
      <c r="E72" s="76" t="n">
        <v>19</v>
      </c>
      <c r="F72" s="42" t="n">
        <v>219.04</v>
      </c>
      <c r="G72" s="42" t="n">
        <v>216.01</v>
      </c>
      <c r="H72" s="42" t="n">
        <v>215.43</v>
      </c>
      <c r="I72" s="11">
        <f>F72/G72-1</f>
        <v>0.01402712837368636</v>
      </c>
      <c r="J72" s="11">
        <f>F72/H72-1</f>
        <v>0.016757183307802848</v>
      </c>
      <c r="K72" s="13" t="n">
        <v>577874</v>
      </c>
      <c r="L72" s="13" t="n">
        <v>672200</v>
      </c>
      <c r="M72" s="43">
        <f>K72/L72</f>
        <v>0.8596756917584052</v>
      </c>
    </row>
    <row r="73">
      <c r="A73" s="41" t="inlineStr">
        <is>
          <t>BJ</t>
        </is>
      </c>
      <c r="B73" s="37" t="inlineStr">
        <is>
          <t>—</t>
        </is>
      </c>
      <c r="C73" s="37" t="inlineStr">
        <is>
          <t>—</t>
        </is>
      </c>
      <c r="D73" s="6" t="inlineStr">
        <is>
          <t>大賣場與超巿</t>
        </is>
      </c>
      <c r="E73" s="76" t="n">
        <v>48</v>
      </c>
      <c r="F73" s="42" t="n">
        <v>93.29000000000001</v>
      </c>
      <c r="G73" s="42" t="n">
        <v>92.98</v>
      </c>
      <c r="H73" s="42" t="n">
        <v>89.65000000000001</v>
      </c>
      <c r="I73" s="11">
        <f>F73/G73-1</f>
        <v>0.0033340503334049476</v>
      </c>
      <c r="J73" s="11">
        <f>F73/H73-1</f>
        <v>0.04060234244283323</v>
      </c>
      <c r="K73" s="13" t="n">
        <v>742439</v>
      </c>
      <c r="L73" s="13" t="n">
        <v>1640450</v>
      </c>
      <c r="M73" s="43">
        <f>K73/L73</f>
        <v>0.45258252308817704</v>
      </c>
    </row>
    <row r="74">
      <c r="A74" s="41" t="inlineStr">
        <is>
          <t>BKR</t>
        </is>
      </c>
      <c r="B74" s="37" t="inlineStr">
        <is>
          <t>—</t>
        </is>
      </c>
      <c r="C74" s="37" t="inlineStr">
        <is>
          <t>—</t>
        </is>
      </c>
      <c r="D74" s="6" t="inlineStr">
        <is>
          <t>油田服務</t>
        </is>
      </c>
      <c r="E74" s="76" t="n">
        <v>103</v>
      </c>
      <c r="F74" s="42" t="n">
        <v>56.57</v>
      </c>
      <c r="G74" s="42" t="n">
        <v>56.32</v>
      </c>
      <c r="H74" s="42" t="n">
        <v>59.4</v>
      </c>
      <c r="I74" s="11">
        <f>F74/G74-1</f>
        <v>0.004438920454545414</v>
      </c>
      <c r="J74" s="11">
        <f>F74/H74-1</f>
        <v>-0.0476430976430976</v>
      </c>
      <c r="K74" s="13" t="n">
        <v>5245096</v>
      </c>
      <c r="L74" s="13" t="n">
        <v>5968300</v>
      </c>
      <c r="M74" s="43">
        <f>K74/L74</f>
        <v>0.8788257962904009</v>
      </c>
    </row>
    <row r="75">
      <c r="A75" s="41" t="inlineStr">
        <is>
          <t>BLK</t>
        </is>
      </c>
      <c r="B75" s="37" t="inlineStr">
        <is>
          <t>—</t>
        </is>
      </c>
      <c r="C75" s="37" t="inlineStr">
        <is>
          <t>—</t>
        </is>
      </c>
      <c r="D75" s="6" t="inlineStr">
        <is>
          <t>資產管理</t>
        </is>
      </c>
      <c r="E75" s="76" t="n">
        <v>77</v>
      </c>
      <c r="F75" s="42" t="n">
        <v>1053.96</v>
      </c>
      <c r="G75" s="42" t="n">
        <v>1037.24</v>
      </c>
      <c r="H75" s="42" t="n">
        <v>1062.4</v>
      </c>
      <c r="I75" s="11">
        <f>F75/G75-1</f>
        <v>0.016119702286838233</v>
      </c>
      <c r="J75" s="11">
        <f>F75/H75-1</f>
        <v>-0.007944277108433817</v>
      </c>
      <c r="K75" s="13" t="n">
        <v>453035</v>
      </c>
      <c r="L75" s="13" t="n">
        <v>575700</v>
      </c>
      <c r="M75" s="43">
        <f>K75/L75</f>
        <v>0.7869289560535001</v>
      </c>
    </row>
    <row r="76">
      <c r="A76" s="41" t="inlineStr">
        <is>
          <t>BMY</t>
        </is>
      </c>
      <c r="B76" s="37" t="inlineStr">
        <is>
          <t>—</t>
        </is>
      </c>
      <c r="C76" s="37" t="inlineStr">
        <is>
          <t>—</t>
        </is>
      </c>
      <c r="D76" s="6" t="inlineStr">
        <is>
          <t>大型藥廠</t>
        </is>
      </c>
      <c r="E76" s="76" t="n">
        <v>18</v>
      </c>
      <c r="F76" s="42" t="n">
        <v>62.83</v>
      </c>
      <c r="G76" s="42" t="n">
        <v>63.6</v>
      </c>
      <c r="H76" s="42" t="n">
        <v>63.75</v>
      </c>
      <c r="I76" s="11">
        <f>F76/G76-1</f>
        <v>-0.012106918238993791</v>
      </c>
      <c r="J76" s="11">
        <f>F76/H76-1</f>
        <v>-0.014431372549019605</v>
      </c>
      <c r="K76" s="13" t="n">
        <v>8550704</v>
      </c>
      <c r="L76" s="13" t="n">
        <v>6993850</v>
      </c>
      <c r="M76" s="43">
        <f>K76/L76</f>
        <v>1.2226032871737311</v>
      </c>
    </row>
    <row r="77">
      <c r="A77" s="41" t="inlineStr">
        <is>
          <t>BRO</t>
        </is>
      </c>
      <c r="B77" s="37" t="inlineStr">
        <is>
          <t>—</t>
        </is>
      </c>
      <c r="C77" s="37" t="inlineStr">
        <is>
          <t>—</t>
        </is>
      </c>
      <c r="D77" s="6" t="inlineStr">
        <is>
          <t>保險經紀</t>
        </is>
      </c>
      <c r="E77" s="76" t="n">
        <v>110</v>
      </c>
      <c r="F77" s="42" t="n">
        <v>65.11</v>
      </c>
      <c r="G77" s="42" t="n">
        <v>65.88</v>
      </c>
      <c r="H77" s="42" t="n">
        <v>66.33</v>
      </c>
      <c r="I77" s="11">
        <f>F77/G77-1</f>
        <v>-0.011687917425622252</v>
      </c>
      <c r="J77" s="11">
        <f>F77/H77-1</f>
        <v>-0.018392884064525883</v>
      </c>
      <c r="K77" s="13" t="n">
        <v>1543247</v>
      </c>
      <c r="L77" s="13" t="n">
        <v>1529600</v>
      </c>
      <c r="M77" s="43">
        <f>K77/L77</f>
        <v>1.008921940376569</v>
      </c>
    </row>
    <row r="78">
      <c r="A78" s="41" t="inlineStr">
        <is>
          <t>BSX</t>
        </is>
      </c>
      <c r="B78" s="37" t="inlineStr">
        <is>
          <t>—</t>
        </is>
      </c>
      <c r="C78" s="37" t="inlineStr">
        <is>
          <t>—</t>
        </is>
      </c>
      <c r="D78" s="6" t="inlineStr">
        <is>
          <t>醫療器械</t>
        </is>
      </c>
      <c r="E78" s="76" t="n">
        <v>27</v>
      </c>
      <c r="F78" s="42" t="n">
        <v>43.56</v>
      </c>
      <c r="G78" s="42" t="n">
        <v>43.91</v>
      </c>
      <c r="H78" s="42" t="n">
        <v>43.1</v>
      </c>
      <c r="I78" s="11">
        <f>F78/G78-1</f>
        <v>-0.0079708494648143</v>
      </c>
      <c r="J78" s="11">
        <f>F78/H78-1</f>
        <v>0.010672853828306295</v>
      </c>
      <c r="K78" s="13" t="n">
        <v>24130208</v>
      </c>
      <c r="L78" s="13" t="n">
        <v>19316450</v>
      </c>
      <c r="M78" s="43">
        <f>K78/L78</f>
        <v>1.2492051075637605</v>
      </c>
    </row>
    <row r="79">
      <c r="A79" s="41" t="inlineStr">
        <is>
          <t>BTU</t>
        </is>
      </c>
      <c r="B79" s="37" t="inlineStr">
        <is>
          <t>—</t>
        </is>
      </c>
      <c r="C79" s="37" t="inlineStr">
        <is>
          <t>—</t>
        </is>
      </c>
      <c r="D79" s="6" t="inlineStr">
        <is>
          <t>煤炭</t>
        </is>
      </c>
      <c r="E79" s="76" t="n">
        <v>111</v>
      </c>
      <c r="F79" s="42" t="n">
        <v>27.245</v>
      </c>
      <c r="G79" s="42" t="n">
        <v>27.35</v>
      </c>
      <c r="H79" s="42" t="n">
        <v>29.03</v>
      </c>
      <c r="I79" s="11">
        <f>F79/G79-1</f>
        <v>-0.003839122486288815</v>
      </c>
      <c r="J79" s="11">
        <f>F79/H79-1</f>
        <v>-0.06148811574233548</v>
      </c>
      <c r="K79" s="13" t="n">
        <v>2008158</v>
      </c>
      <c r="L79" s="13" t="n">
        <v>2093950</v>
      </c>
      <c r="M79" s="43">
        <f>K79/L79</f>
        <v>0.9590286301010053</v>
      </c>
    </row>
    <row r="80">
      <c r="A80" s="41" t="inlineStr">
        <is>
          <t>BX</t>
        </is>
      </c>
      <c r="B80" s="37" t="inlineStr">
        <is>
          <t>—</t>
        </is>
      </c>
      <c r="C80" s="37" t="inlineStr">
        <is>
          <t>—</t>
        </is>
      </c>
      <c r="D80" s="6" t="inlineStr">
        <is>
          <t>另類資產與私募信貸</t>
        </is>
      </c>
      <c r="E80" s="76" t="n">
        <v>87</v>
      </c>
      <c r="F80" s="42" t="n">
        <v>125.42</v>
      </c>
      <c r="G80" s="42" t="n">
        <v>123.45</v>
      </c>
      <c r="H80" s="42" t="n">
        <v>125.41</v>
      </c>
      <c r="I80" s="11">
        <f>F80/G80-1</f>
        <v>0.015957877683272503</v>
      </c>
      <c r="J80" s="11">
        <f>F80/H80-1</f>
        <v>7.97384578583582e-05</v>
      </c>
      <c r="K80" s="13" t="n">
        <v>2397888</v>
      </c>
      <c r="L80" s="13" t="n">
        <v>3130250</v>
      </c>
      <c r="M80" s="43">
        <f>K80/L80</f>
        <v>0.7660372174746426</v>
      </c>
    </row>
    <row r="81">
      <c r="A81" s="41" t="inlineStr">
        <is>
          <t>BXP</t>
        </is>
      </c>
      <c r="B81" s="37" t="inlineStr">
        <is>
          <t>—</t>
        </is>
      </c>
      <c r="C81" s="37" t="inlineStr">
        <is>
          <t>—</t>
        </is>
      </c>
      <c r="D81" s="6" t="inlineStr">
        <is>
          <t>辦公樓REIT</t>
        </is>
      </c>
      <c r="E81" s="76" t="n">
        <v>29</v>
      </c>
      <c r="F81" s="42" t="n">
        <v>63.92</v>
      </c>
      <c r="G81" s="42" t="n">
        <v>64.04000000000001</v>
      </c>
      <c r="H81" s="42" t="n">
        <v>63.72</v>
      </c>
      <c r="I81" s="11">
        <f>F81/G81-1</f>
        <v>-0.0018738288569645212</v>
      </c>
      <c r="J81" s="11">
        <f>F81/H81-1</f>
        <v>0.003138731952291307</v>
      </c>
      <c r="K81" s="13" t="n">
        <v>1049476</v>
      </c>
      <c r="L81" s="13" t="n">
        <v>1182400</v>
      </c>
      <c r="M81" s="43">
        <f>K81/L81</f>
        <v>0.8875811907983762</v>
      </c>
    </row>
    <row r="82">
      <c r="A82" s="41" t="inlineStr">
        <is>
          <t>C</t>
        </is>
      </c>
      <c r="B82" s="37" t="inlineStr">
        <is>
          <t>—</t>
        </is>
      </c>
      <c r="C82" s="37" t="inlineStr">
        <is>
          <t>—</t>
        </is>
      </c>
      <c r="D82" s="6" t="inlineStr">
        <is>
          <t>大型全能銀行</t>
        </is>
      </c>
      <c r="E82" s="76" t="n">
        <v>82</v>
      </c>
      <c r="F82" s="42" t="n">
        <v>132.7</v>
      </c>
      <c r="G82" s="42" t="n">
        <v>132.95</v>
      </c>
      <c r="H82" s="42" t="n">
        <v>138.5</v>
      </c>
      <c r="I82" s="11">
        <f>F82/G82-1</f>
        <v>-0.0018804061677322181</v>
      </c>
      <c r="J82" s="11">
        <f>F82/H82-1</f>
        <v>-0.04187725631768957</v>
      </c>
      <c r="K82" s="13" t="n">
        <v>9232585</v>
      </c>
      <c r="L82" s="13" t="n">
        <v>7754050</v>
      </c>
      <c r="M82" s="43">
        <f>K82/L82</f>
        <v>1.19067906448888</v>
      </c>
    </row>
    <row r="83">
      <c r="A83" s="41" t="inlineStr">
        <is>
          <t>CAG</t>
        </is>
      </c>
      <c r="B83" s="37" t="inlineStr">
        <is>
          <t>—</t>
        </is>
      </c>
      <c r="C83" s="37" t="inlineStr">
        <is>
          <t>—</t>
        </is>
      </c>
      <c r="D83" s="6" t="inlineStr">
        <is>
          <t>食品加工</t>
        </is>
      </c>
      <c r="E83" s="76" t="n">
        <v>46</v>
      </c>
      <c r="F83" s="42" t="n">
        <v>15.195</v>
      </c>
      <c r="G83" s="42" t="n">
        <v>15.18</v>
      </c>
      <c r="H83" s="42" t="n">
        <v>14.7</v>
      </c>
      <c r="I83" s="11">
        <f>F83/G83-1</f>
        <v>0.000988142292490224</v>
      </c>
      <c r="J83" s="11">
        <f>F83/H83-1</f>
        <v>0.03367346938775517</v>
      </c>
      <c r="K83" s="13" t="n">
        <v>6509855</v>
      </c>
      <c r="L83" s="13" t="n">
        <v>10554350</v>
      </c>
      <c r="M83" s="43">
        <f>K83/L83</f>
        <v>0.6167935495790835</v>
      </c>
    </row>
    <row r="84">
      <c r="A84" s="41" t="inlineStr">
        <is>
          <t>CAH</t>
        </is>
      </c>
      <c r="B84" s="37" t="inlineStr">
        <is>
          <t>—</t>
        </is>
      </c>
      <c r="C84" s="37" t="inlineStr">
        <is>
          <t>—</t>
        </is>
      </c>
      <c r="D84" s="6" t="inlineStr">
        <is>
          <t>藥品分銷與藥房</t>
        </is>
      </c>
      <c r="E84" s="76" t="n">
        <v>109</v>
      </c>
      <c r="F84" s="42" t="n">
        <v>226.28</v>
      </c>
      <c r="G84" s="42" t="n">
        <v>232.54</v>
      </c>
      <c r="H84" s="42" t="n">
        <v>236.02</v>
      </c>
      <c r="I84" s="11">
        <f>F84/G84-1</f>
        <v>-0.02692009976778187</v>
      </c>
      <c r="J84" s="11">
        <f>F84/H84-1</f>
        <v>-0.04126768917888313</v>
      </c>
      <c r="K84" s="13" t="n">
        <v>1419365</v>
      </c>
      <c r="L84" s="13" t="n">
        <v>1386800</v>
      </c>
      <c r="M84" s="43">
        <f>K84/L84</f>
        <v>1.0234821171041246</v>
      </c>
    </row>
    <row r="85">
      <c r="A85" s="41" t="inlineStr">
        <is>
          <t>CARR</t>
        </is>
      </c>
      <c r="B85" s="37" t="inlineStr">
        <is>
          <t>—</t>
        </is>
      </c>
      <c r="C85" s="37" t="inlineStr">
        <is>
          <t>—</t>
        </is>
      </c>
      <c r="D85" s="6" t="inlineStr">
        <is>
          <t>樓宇產品與HVAC</t>
        </is>
      </c>
      <c r="E85" s="76" t="n">
        <v>75</v>
      </c>
      <c r="F85" s="42" t="n">
        <v>54.38</v>
      </c>
      <c r="G85" s="42" t="n">
        <v>54.26</v>
      </c>
      <c r="H85" s="42" t="n">
        <v>56.64</v>
      </c>
      <c r="I85" s="11">
        <f>F85/G85-1</f>
        <v>0.002211573903428077</v>
      </c>
      <c r="J85" s="11">
        <f>F85/H85-1</f>
        <v>-0.03990112994350281</v>
      </c>
      <c r="K85" s="13" t="n">
        <v>4473471</v>
      </c>
      <c r="L85" s="13" t="n">
        <v>5215300</v>
      </c>
      <c r="M85" s="43">
        <f>K85/L85</f>
        <v>0.8577590934366192</v>
      </c>
    </row>
    <row r="86">
      <c r="A86" s="41" t="inlineStr">
        <is>
          <t>CAT</t>
        </is>
      </c>
      <c r="B86" s="37" t="inlineStr">
        <is>
          <t>—</t>
        </is>
      </c>
      <c r="C86" s="37" t="inlineStr">
        <is>
          <t>—</t>
        </is>
      </c>
      <c r="D86" s="6" t="inlineStr">
        <is>
          <t>機械與重工</t>
        </is>
      </c>
      <c r="E86" s="76" t="n">
        <v>38</v>
      </c>
      <c r="F86" s="42" t="n">
        <v>798.6799999999999</v>
      </c>
      <c r="G86" s="42" t="n">
        <v>782.72</v>
      </c>
      <c r="H86" s="42" t="n">
        <v>805</v>
      </c>
      <c r="I86" s="11">
        <f>F86/G86-1</f>
        <v>0.020390433360588656</v>
      </c>
      <c r="J86" s="11">
        <f>F86/H86-1</f>
        <v>-0.007850931677018669</v>
      </c>
      <c r="K86" s="13" t="n">
        <v>1503471</v>
      </c>
      <c r="L86" s="13" t="n">
        <v>2389950</v>
      </c>
      <c r="M86" s="43">
        <f>K86/L86</f>
        <v>0.6290805246971694</v>
      </c>
    </row>
    <row r="87">
      <c r="A87" s="41" t="inlineStr">
        <is>
          <t>CB</t>
        </is>
      </c>
      <c r="B87" s="37" t="inlineStr">
        <is>
          <t>—</t>
        </is>
      </c>
      <c r="C87" s="37" t="inlineStr">
        <is>
          <t>—</t>
        </is>
      </c>
      <c r="D87" s="6" t="inlineStr">
        <is>
          <t>產險與再保</t>
        </is>
      </c>
      <c r="E87" s="76" t="n">
        <v>16</v>
      </c>
      <c r="F87" s="42" t="n">
        <v>341.93</v>
      </c>
      <c r="G87" s="42" t="n">
        <v>341.53</v>
      </c>
      <c r="H87" s="42" t="n">
        <v>338.67</v>
      </c>
      <c r="I87" s="11">
        <f>F87/G87-1</f>
        <v>0.0011712001873920297</v>
      </c>
      <c r="J87" s="11">
        <f>F87/H87-1</f>
        <v>0.009625889508961594</v>
      </c>
      <c r="K87" s="13" t="n">
        <v>954782</v>
      </c>
      <c r="L87" s="13" t="n">
        <v>1618150</v>
      </c>
      <c r="M87" s="43">
        <f>K87/L87</f>
        <v>0.5900454222414485</v>
      </c>
    </row>
    <row r="88">
      <c r="A88" s="41" t="inlineStr">
        <is>
          <t>CBOE</t>
        </is>
      </c>
      <c r="B88" s="37" t="inlineStr">
        <is>
          <t>—</t>
        </is>
      </c>
      <c r="C88" s="37" t="inlineStr">
        <is>
          <t>—</t>
        </is>
      </c>
      <c r="D88" s="6" t="inlineStr">
        <is>
          <t>交易所與金融數據</t>
        </is>
      </c>
      <c r="E88" s="76" t="n">
        <v>90</v>
      </c>
      <c r="F88" s="42" t="n">
        <v>266.55</v>
      </c>
      <c r="G88" s="42" t="n">
        <v>270.43</v>
      </c>
      <c r="H88" s="42" t="n">
        <v>287.49</v>
      </c>
      <c r="I88" s="11">
        <f>F88/G88-1</f>
        <v>-0.0143475206153163</v>
      </c>
      <c r="J88" s="11">
        <f>F88/H88-1</f>
        <v>-0.07283731608055932</v>
      </c>
      <c r="K88" s="13" t="n">
        <v>564199</v>
      </c>
      <c r="L88" s="13" t="n">
        <v>988800</v>
      </c>
      <c r="M88" s="43">
        <f>K88/L88</f>
        <v>0.5705896035598705</v>
      </c>
    </row>
    <row r="89">
      <c r="A89" s="41" t="inlineStr">
        <is>
          <t>CBRE</t>
        </is>
      </c>
      <c r="B89" s="37" t="inlineStr">
        <is>
          <t>—</t>
        </is>
      </c>
      <c r="C89" s="37" t="inlineStr">
        <is>
          <t>—</t>
        </is>
      </c>
      <c r="D89" s="6" t="inlineStr">
        <is>
          <t>地產開發與服務</t>
        </is>
      </c>
      <c r="E89" s="76" t="n">
        <v>86</v>
      </c>
      <c r="F89" s="42" t="n">
        <v>139.36</v>
      </c>
      <c r="G89" s="42" t="n">
        <v>138.56</v>
      </c>
      <c r="H89" s="42" t="n">
        <v>137.99</v>
      </c>
      <c r="I89" s="11">
        <f>F89/G89-1</f>
        <v>0.005773672055427337</v>
      </c>
      <c r="J89" s="11">
        <f>F89/H89-1</f>
        <v>0.00992825567070077</v>
      </c>
      <c r="K89" s="13" t="n">
        <v>1367462</v>
      </c>
      <c r="L89" s="13" t="n">
        <v>1564300</v>
      </c>
      <c r="M89" s="43">
        <f>K89/L89</f>
        <v>0.8741686377293358</v>
      </c>
    </row>
    <row r="90">
      <c r="A90" s="41" t="inlineStr">
        <is>
          <t>CCI</t>
        </is>
      </c>
      <c r="B90" s="37" t="inlineStr">
        <is>
          <t>—</t>
        </is>
      </c>
      <c r="C90" s="37" t="inlineStr">
        <is>
          <t>—</t>
        </is>
      </c>
      <c r="D90" s="6" t="inlineStr">
        <is>
          <t>通訊塔REIT</t>
        </is>
      </c>
      <c r="E90" s="76" t="n">
        <v>40</v>
      </c>
      <c r="F90" s="42" t="n">
        <v>73.75</v>
      </c>
      <c r="G90" s="42" t="n">
        <v>73.22</v>
      </c>
      <c r="H90" s="42" t="n">
        <v>73.87</v>
      </c>
      <c r="I90" s="11">
        <f>F90/G90-1</f>
        <v>0.007238459437312272</v>
      </c>
      <c r="J90" s="11">
        <f>F90/H90-1</f>
        <v>-0.0016244754298091468</v>
      </c>
      <c r="K90" s="13" t="n">
        <v>2470482</v>
      </c>
      <c r="L90" s="13" t="n">
        <v>2505600</v>
      </c>
      <c r="M90" s="43">
        <f>K90/L90</f>
        <v>0.9859841954022989</v>
      </c>
    </row>
    <row r="91">
      <c r="A91" s="60" t="inlineStr">
        <is>
          <t>CCJ</t>
        </is>
      </c>
      <c r="B91" s="103" t="inlineStr">
        <is>
          <t>—</t>
        </is>
      </c>
      <c r="C91" s="104" t="inlineStr">
        <is>
          <t>B 由迴避改為中性｜鈾</t>
        </is>
      </c>
      <c r="D91" s="23" t="inlineStr">
        <is>
          <t>鈾與核燃料</t>
        </is>
      </c>
      <c r="E91" s="91" t="n">
        <v>96</v>
      </c>
      <c r="F91" s="61" t="n">
        <v>92.77</v>
      </c>
      <c r="G91" s="61" t="n">
        <v>90.90000000000001</v>
      </c>
      <c r="H91" s="61" t="n">
        <v>97.42</v>
      </c>
      <c r="I91" s="24">
        <f>F91/G91-1</f>
        <v>0.020572057205720418</v>
      </c>
      <c r="J91" s="24">
        <f>F91/H91-1</f>
        <v>-0.04773147197700678</v>
      </c>
      <c r="K91" s="62" t="n">
        <v>1912626</v>
      </c>
      <c r="L91" s="62" t="n">
        <v>2240400</v>
      </c>
      <c r="M91" s="63">
        <f>K91/L91</f>
        <v>0.8536984467059454</v>
      </c>
    </row>
    <row r="92">
      <c r="A92" s="41" t="inlineStr">
        <is>
          <t>CCL</t>
        </is>
      </c>
      <c r="B92" s="37" t="inlineStr">
        <is>
          <t>—</t>
        </is>
      </c>
      <c r="C92" s="37" t="inlineStr">
        <is>
          <t>—</t>
        </is>
      </c>
      <c r="D92" s="6" t="inlineStr">
        <is>
          <t>酒店與郵輪</t>
        </is>
      </c>
      <c r="E92" s="76" t="n">
        <v>85</v>
      </c>
      <c r="F92" s="42" t="n">
        <v>22.175</v>
      </c>
      <c r="G92" s="42" t="n">
        <v>22.35</v>
      </c>
      <c r="H92" s="42" t="n">
        <v>22.47</v>
      </c>
      <c r="I92" s="11">
        <f>F92/G92-1</f>
        <v>-0.007829977628635354</v>
      </c>
      <c r="J92" s="11">
        <f>F92/H92-1</f>
        <v>-0.013128615932354148</v>
      </c>
      <c r="K92" s="13" t="n">
        <v>15535687</v>
      </c>
      <c r="L92" s="13" t="n">
        <v>19276900</v>
      </c>
      <c r="M92" s="43">
        <f>K92/L92</f>
        <v>0.8059224771617843</v>
      </c>
    </row>
    <row r="93">
      <c r="A93" s="41" t="inlineStr">
        <is>
          <t>CDE</t>
        </is>
      </c>
      <c r="B93" s="37" t="inlineStr">
        <is>
          <t>—</t>
        </is>
      </c>
      <c r="C93" s="37" t="inlineStr">
        <is>
          <t>—</t>
        </is>
      </c>
      <c r="D93" s="6" t="inlineStr">
        <is>
          <t>白銀礦</t>
        </is>
      </c>
      <c r="E93" s="76" t="n">
        <v>59</v>
      </c>
      <c r="F93" s="42" t="n">
        <v>19.995</v>
      </c>
      <c r="G93" s="42" t="n">
        <v>18.98</v>
      </c>
      <c r="H93" s="42" t="n">
        <v>20.34</v>
      </c>
      <c r="I93" s="11">
        <f>F93/G93-1</f>
        <v>0.05347734457323505</v>
      </c>
      <c r="J93" s="11">
        <f>F93/H93-1</f>
        <v>-0.016961651917404064</v>
      </c>
      <c r="K93" s="13" t="n">
        <v>42646887</v>
      </c>
      <c r="L93" s="13" t="n">
        <v>36695150</v>
      </c>
      <c r="M93" s="43">
        <f>K93/L93</f>
        <v>1.1621941046705082</v>
      </c>
    </row>
    <row r="94">
      <c r="A94" s="74" t="inlineStr">
        <is>
          <t>CDNS</t>
        </is>
      </c>
      <c r="B94" s="21" t="inlineStr">
        <is>
          <t>③</t>
        </is>
      </c>
      <c r="C94" s="99" t="inlineStr">
        <is>
          <t>—</t>
        </is>
      </c>
      <c r="D94" s="16" t="inlineStr">
        <is>
          <t>EDA與半導體IP</t>
        </is>
      </c>
      <c r="E94" s="68" t="n">
        <v>23</v>
      </c>
      <c r="F94" s="100" t="n">
        <v>280.78</v>
      </c>
      <c r="G94" s="100" t="n">
        <v>279.9</v>
      </c>
      <c r="H94" s="100" t="n">
        <v>284.95</v>
      </c>
      <c r="I94" s="17">
        <f>F94/G94-1</f>
        <v>0.0031439799928545398</v>
      </c>
      <c r="J94" s="17">
        <f>F94/H94-1</f>
        <v>-0.014634146341463428</v>
      </c>
      <c r="K94" s="101" t="n">
        <v>1484302</v>
      </c>
      <c r="L94" s="101" t="n">
        <v>2291050</v>
      </c>
      <c r="M94" s="102">
        <f>K94/L94</f>
        <v>0.6478697540429061</v>
      </c>
    </row>
    <row r="95">
      <c r="A95" s="41" t="inlineStr">
        <is>
          <t>CEG</t>
        </is>
      </c>
      <c r="B95" s="37" t="inlineStr">
        <is>
          <t>—</t>
        </is>
      </c>
      <c r="C95" s="37" t="inlineStr">
        <is>
          <t>—</t>
        </is>
      </c>
      <c r="D95" s="6" t="inlineStr">
        <is>
          <t>IPP與電力交易商</t>
        </is>
      </c>
      <c r="E95" s="76" t="n">
        <v>69</v>
      </c>
      <c r="F95" s="42" t="n">
        <v>262.69</v>
      </c>
      <c r="G95" s="42" t="n">
        <v>259.53</v>
      </c>
      <c r="H95" s="42" t="n">
        <v>285.97</v>
      </c>
      <c r="I95" s="11">
        <f>F95/G95-1</f>
        <v>0.01217585635572016</v>
      </c>
      <c r="J95" s="11">
        <f>F95/H95-1</f>
        <v>-0.08140714060915488</v>
      </c>
      <c r="K95" s="13" t="n">
        <v>2718454</v>
      </c>
      <c r="L95" s="13" t="n">
        <v>2472700</v>
      </c>
      <c r="M95" s="43">
        <f>K95/L95</f>
        <v>1.0993869050026288</v>
      </c>
    </row>
    <row r="96">
      <c r="A96" s="41" t="inlineStr">
        <is>
          <t>CELH</t>
        </is>
      </c>
      <c r="B96" s="37" t="inlineStr">
        <is>
          <t>—</t>
        </is>
      </c>
      <c r="C96" s="37" t="inlineStr">
        <is>
          <t>—</t>
        </is>
      </c>
      <c r="D96" s="6" t="inlineStr">
        <is>
          <t>非酒精飲品</t>
        </is>
      </c>
      <c r="E96" s="76" t="n">
        <v>57</v>
      </c>
      <c r="F96" s="42" t="n">
        <v>28.35</v>
      </c>
      <c r="G96" s="42" t="n">
        <v>28.25</v>
      </c>
      <c r="H96" s="42" t="n">
        <v>26.63</v>
      </c>
      <c r="I96" s="11">
        <f>F96/G96-1</f>
        <v>0.0035398230088496963</v>
      </c>
      <c r="J96" s="11">
        <f>F96/H96-1</f>
        <v>0.06458880961321833</v>
      </c>
      <c r="K96" s="13" t="n">
        <v>4957795</v>
      </c>
      <c r="L96" s="13" t="n">
        <v>7706500</v>
      </c>
      <c r="M96" s="43">
        <f>K96/L96</f>
        <v>0.6433264127684423</v>
      </c>
    </row>
    <row r="97">
      <c r="A97" s="41" t="inlineStr">
        <is>
          <t>CENX</t>
        </is>
      </c>
      <c r="B97" s="37" t="inlineStr">
        <is>
          <t>—</t>
        </is>
      </c>
      <c r="C97" s="37" t="inlineStr">
        <is>
          <t>—</t>
        </is>
      </c>
      <c r="D97" s="6" t="inlineStr">
        <is>
          <t>鋁業</t>
        </is>
      </c>
      <c r="E97" s="76" t="n">
        <v>66</v>
      </c>
      <c r="F97" s="42" t="n">
        <v>40.78</v>
      </c>
      <c r="G97" s="42" t="n">
        <v>39.8</v>
      </c>
      <c r="H97" s="42" t="n">
        <v>44.36</v>
      </c>
      <c r="I97" s="11">
        <f>F97/G97-1</f>
        <v>0.024623115577889543</v>
      </c>
      <c r="J97" s="11">
        <f>F97/H97-1</f>
        <v>-0.08070333633904414</v>
      </c>
      <c r="K97" s="13" t="n">
        <v>1304637</v>
      </c>
      <c r="L97" s="13" t="n">
        <v>1557200</v>
      </c>
      <c r="M97" s="43">
        <f>K97/L97</f>
        <v>0.8378095299255073</v>
      </c>
    </row>
    <row r="98">
      <c r="A98" s="41" t="inlineStr">
        <is>
          <t>CF</t>
        </is>
      </c>
      <c r="B98" s="37" t="inlineStr">
        <is>
          <t>—</t>
        </is>
      </c>
      <c r="C98" s="37" t="inlineStr">
        <is>
          <t>—</t>
        </is>
      </c>
      <c r="D98" s="6" t="inlineStr">
        <is>
          <t>基礎化工與化肥</t>
        </is>
      </c>
      <c r="E98" s="76" t="n">
        <v>37</v>
      </c>
      <c r="F98" s="42" t="n">
        <v>133.825</v>
      </c>
      <c r="G98" s="42" t="n">
        <v>131.99</v>
      </c>
      <c r="H98" s="42" t="n">
        <v>135.11</v>
      </c>
      <c r="I98" s="11">
        <f>F98/G98-1</f>
        <v>0.013902568376392033</v>
      </c>
      <c r="J98" s="11">
        <f>F98/H98-1</f>
        <v>-0.009510769003034714</v>
      </c>
      <c r="K98" s="13" t="n">
        <v>1151008</v>
      </c>
      <c r="L98" s="13" t="n">
        <v>2375350</v>
      </c>
      <c r="M98" s="43">
        <f>K98/L98</f>
        <v>0.4845635380049256</v>
      </c>
    </row>
    <row r="99">
      <c r="A99" s="41" t="inlineStr">
        <is>
          <t>CHD</t>
        </is>
      </c>
      <c r="B99" s="37" t="inlineStr">
        <is>
          <t>—</t>
        </is>
      </c>
      <c r="C99" s="37" t="inlineStr">
        <is>
          <t>—</t>
        </is>
      </c>
      <c r="D99" s="6" t="inlineStr">
        <is>
          <t>家庭與個人護理</t>
        </is>
      </c>
      <c r="E99" s="76" t="n">
        <v>26</v>
      </c>
      <c r="F99" s="42" t="n">
        <v>95.02</v>
      </c>
      <c r="G99" s="42" t="n">
        <v>95.51000000000001</v>
      </c>
      <c r="H99" s="42" t="n">
        <v>93.94</v>
      </c>
      <c r="I99" s="11">
        <f>F99/G99-1</f>
        <v>-0.005130352842634411</v>
      </c>
      <c r="J99" s="11">
        <f>F99/H99-1</f>
        <v>0.011496700021290218</v>
      </c>
      <c r="K99" s="13" t="n">
        <v>1080846</v>
      </c>
      <c r="L99" s="13" t="n">
        <v>1890300</v>
      </c>
      <c r="M99" s="43">
        <f>K99/L99</f>
        <v>0.5717854308839867</v>
      </c>
    </row>
    <row r="100">
      <c r="A100" s="41" t="inlineStr">
        <is>
          <t>CHEF</t>
        </is>
      </c>
      <c r="B100" s="37" t="inlineStr">
        <is>
          <t>—</t>
        </is>
      </c>
      <c r="C100" s="37" t="inlineStr">
        <is>
          <t>—</t>
        </is>
      </c>
      <c r="D100" s="6" t="inlineStr">
        <is>
          <t>必需品分銷</t>
        </is>
      </c>
      <c r="E100" s="76" t="n">
        <v>105</v>
      </c>
      <c r="F100" s="42" t="n">
        <v>110.13</v>
      </c>
      <c r="G100" s="42" t="n">
        <v>109.68</v>
      </c>
      <c r="H100" s="42" t="n">
        <v>109.77</v>
      </c>
      <c r="I100" s="11">
        <f>F100/G100-1</f>
        <v>0.004102844638949499</v>
      </c>
      <c r="J100" s="11">
        <f>F100/H100-1</f>
        <v>0.0032795845859523443</v>
      </c>
      <c r="K100" s="13" t="n">
        <v>470265</v>
      </c>
      <c r="L100" s="13" t="n">
        <v>607550</v>
      </c>
      <c r="M100" s="43">
        <f>K100/L100</f>
        <v>0.7740350588428936</v>
      </c>
    </row>
    <row r="101">
      <c r="A101" s="41" t="inlineStr">
        <is>
          <t>CHTR</t>
        </is>
      </c>
      <c r="B101" s="37" t="inlineStr">
        <is>
          <t>—</t>
        </is>
      </c>
      <c r="C101" s="37" t="inlineStr">
        <is>
          <t>—</t>
        </is>
      </c>
      <c r="D101" s="6" t="inlineStr">
        <is>
          <t>有線/寬頻/衛星</t>
        </is>
      </c>
      <c r="E101" s="76" t="n">
        <v>97</v>
      </c>
      <c r="F101" s="42" t="n">
        <v>133.47</v>
      </c>
      <c r="G101" s="42" t="n">
        <v>135</v>
      </c>
      <c r="H101" s="42" t="n">
        <v>140.56</v>
      </c>
      <c r="I101" s="11">
        <f>F101/G101-1</f>
        <v>-0.011333333333333306</v>
      </c>
      <c r="J101" s="11">
        <f>F101/H101-1</f>
        <v>-0.05044109277177011</v>
      </c>
      <c r="K101" s="13" t="n">
        <v>1656991</v>
      </c>
      <c r="L101" s="13" t="n">
        <v>2426100</v>
      </c>
      <c r="M101" s="43">
        <f>K101/L101</f>
        <v>0.6829854498990149</v>
      </c>
    </row>
    <row r="102">
      <c r="A102" s="41" t="inlineStr">
        <is>
          <t>CHWY</t>
        </is>
      </c>
      <c r="B102" s="37" t="inlineStr">
        <is>
          <t>—</t>
        </is>
      </c>
      <c r="C102" s="37" t="inlineStr">
        <is>
          <t>—</t>
        </is>
      </c>
      <c r="D102" s="6" t="inlineStr">
        <is>
          <t>電商平台</t>
        </is>
      </c>
      <c r="E102" s="76" t="n">
        <v>35</v>
      </c>
      <c r="F102" s="42" t="n">
        <v>20.92</v>
      </c>
      <c r="G102" s="42" t="n">
        <v>20.91</v>
      </c>
      <c r="H102" s="42" t="n">
        <v>21.08</v>
      </c>
      <c r="I102" s="11">
        <f>F102/G102-1</f>
        <v>0.0004782400765184214</v>
      </c>
      <c r="J102" s="11">
        <f>F102/H102-1</f>
        <v>-0.007590132827324347</v>
      </c>
      <c r="K102" s="13" t="n">
        <v>5951213</v>
      </c>
      <c r="L102" s="13" t="n">
        <v>7641150</v>
      </c>
      <c r="M102" s="43">
        <f>K102/L102</f>
        <v>0.7788373477814203</v>
      </c>
    </row>
    <row r="103">
      <c r="A103" s="41" t="inlineStr">
        <is>
          <t>CI</t>
        </is>
      </c>
      <c r="B103" s="37" t="inlineStr">
        <is>
          <t>—</t>
        </is>
      </c>
      <c r="C103" s="37" t="inlineStr">
        <is>
          <t>—</t>
        </is>
      </c>
      <c r="D103" s="6" t="inlineStr">
        <is>
          <t>醫療保險與管理式醫療</t>
        </is>
      </c>
      <c r="E103" s="76" t="n">
        <v>93</v>
      </c>
      <c r="F103" s="42" t="n">
        <v>275.93</v>
      </c>
      <c r="G103" s="42" t="n">
        <v>280.45</v>
      </c>
      <c r="H103" s="42" t="n">
        <v>280.91</v>
      </c>
      <c r="I103" s="11">
        <f>F103/G103-1</f>
        <v>-0.0161169548939204</v>
      </c>
      <c r="J103" s="11">
        <f>F103/H103-1</f>
        <v>-0.017728097967320555</v>
      </c>
      <c r="K103" s="13" t="n">
        <v>833129</v>
      </c>
      <c r="L103" s="13" t="n">
        <v>1381850</v>
      </c>
      <c r="M103" s="43">
        <f>K103/L103</f>
        <v>0.6029084198719108</v>
      </c>
    </row>
    <row r="104">
      <c r="A104" s="41" t="inlineStr">
        <is>
          <t>CIEN</t>
        </is>
      </c>
      <c r="B104" s="37" t="inlineStr">
        <is>
          <t>—</t>
        </is>
      </c>
      <c r="C104" s="37" t="inlineStr">
        <is>
          <t>—</t>
        </is>
      </c>
      <c r="D104" s="6" t="inlineStr">
        <is>
          <t>AI資料中心建設</t>
        </is>
      </c>
      <c r="E104" s="76" t="n">
        <v>10</v>
      </c>
      <c r="F104" s="42" t="n">
        <v>344.18</v>
      </c>
      <c r="G104" s="42" t="n">
        <v>340.5</v>
      </c>
      <c r="H104" s="42" t="n">
        <v>334.56</v>
      </c>
      <c r="I104" s="11">
        <f>F104/G104-1</f>
        <v>0.010807635829662265</v>
      </c>
      <c r="J104" s="11">
        <f>F104/H104-1</f>
        <v>0.028754184600669586</v>
      </c>
      <c r="K104" s="13" t="n">
        <v>3273603</v>
      </c>
      <c r="L104" s="13" t="n">
        <v>1903200</v>
      </c>
      <c r="M104" s="43">
        <f>K104/L104</f>
        <v>1.7200520176544767</v>
      </c>
    </row>
    <row r="105">
      <c r="A105" s="41" t="inlineStr">
        <is>
          <t>CL</t>
        </is>
      </c>
      <c r="B105" s="37" t="inlineStr">
        <is>
          <t>—</t>
        </is>
      </c>
      <c r="C105" s="37" t="inlineStr">
        <is>
          <t>—</t>
        </is>
      </c>
      <c r="D105" s="6" t="inlineStr">
        <is>
          <t>家庭與個人護理</t>
        </is>
      </c>
      <c r="E105" s="76" t="n">
        <v>26</v>
      </c>
      <c r="F105" s="42" t="n">
        <v>87.73</v>
      </c>
      <c r="G105" s="42" t="n">
        <v>87.02</v>
      </c>
      <c r="H105" s="42" t="n">
        <v>87.90000000000001</v>
      </c>
      <c r="I105" s="11">
        <f>F105/G105-1</f>
        <v>0.008159043897954632</v>
      </c>
      <c r="J105" s="11">
        <f>F105/H105-1</f>
        <v>-0.0019340159271900026</v>
      </c>
      <c r="K105" s="13" t="n">
        <v>2902789</v>
      </c>
      <c r="L105" s="13" t="n">
        <v>4225950</v>
      </c>
      <c r="M105" s="43">
        <f>K105/L105</f>
        <v>0.6868962008542457</v>
      </c>
    </row>
    <row r="106">
      <c r="A106" s="41" t="inlineStr">
        <is>
          <t>CLF</t>
        </is>
      </c>
      <c r="B106" s="37" t="inlineStr">
        <is>
          <t>—</t>
        </is>
      </c>
      <c r="C106" s="37" t="inlineStr">
        <is>
          <t>—</t>
        </is>
      </c>
      <c r="D106" s="6" t="inlineStr">
        <is>
          <t>鋼鐵</t>
        </is>
      </c>
      <c r="E106" s="76" t="n">
        <v>6</v>
      </c>
      <c r="F106" s="42" t="n">
        <v>12.755</v>
      </c>
      <c r="G106" s="42" t="n">
        <v>12.15</v>
      </c>
      <c r="H106" s="42" t="n">
        <v>11.83</v>
      </c>
      <c r="I106" s="11">
        <f>F106/G106-1</f>
        <v>0.0497942386831276</v>
      </c>
      <c r="J106" s="11">
        <f>F106/H106-1</f>
        <v>0.07819103972950137</v>
      </c>
      <c r="K106" s="13" t="n">
        <v>11503944</v>
      </c>
      <c r="L106" s="13" t="n">
        <v>12008650</v>
      </c>
      <c r="M106" s="43">
        <f>K106/L106</f>
        <v>0.9579714622376371</v>
      </c>
    </row>
    <row r="107">
      <c r="A107" s="41" t="inlineStr">
        <is>
          <t>CLH</t>
        </is>
      </c>
      <c r="B107" s="37" t="inlineStr">
        <is>
          <t>—</t>
        </is>
      </c>
      <c r="C107" s="37" t="inlineStr">
        <is>
          <t>—</t>
        </is>
      </c>
      <c r="D107" s="6" t="inlineStr">
        <is>
          <t>廢物管理與環境服務</t>
        </is>
      </c>
      <c r="E107" s="76" t="n">
        <v>91</v>
      </c>
      <c r="F107" s="42" t="n">
        <v>315.7</v>
      </c>
      <c r="G107" s="42" t="n">
        <v>318.96</v>
      </c>
      <c r="H107" s="42" t="n">
        <v>320.94</v>
      </c>
      <c r="I107" s="11">
        <f>F107/G107-1</f>
        <v>-0.01022071733132679</v>
      </c>
      <c r="J107" s="11">
        <f>F107/H107-1</f>
        <v>-0.016327039321991643</v>
      </c>
      <c r="K107" s="13" t="n">
        <v>243353</v>
      </c>
      <c r="L107" s="13" t="n">
        <v>363550</v>
      </c>
      <c r="M107" s="43">
        <f>K107/L107</f>
        <v>0.6693797276853253</v>
      </c>
    </row>
    <row r="108">
      <c r="A108" s="41" t="inlineStr">
        <is>
          <t>CMCSA</t>
        </is>
      </c>
      <c r="B108" s="37" t="inlineStr">
        <is>
          <t>—</t>
        </is>
      </c>
      <c r="C108" s="37" t="inlineStr">
        <is>
          <t>—</t>
        </is>
      </c>
      <c r="D108" s="6" t="inlineStr">
        <is>
          <t>有線/寬頻/衛星</t>
        </is>
      </c>
      <c r="E108" s="76" t="n">
        <v>97</v>
      </c>
      <c r="F108" s="42" t="n">
        <v>22.92</v>
      </c>
      <c r="G108" s="42" t="n">
        <v>23.73</v>
      </c>
      <c r="H108" s="42" t="n">
        <v>25.17</v>
      </c>
      <c r="I108" s="11">
        <f>F108/G108-1</f>
        <v>-0.03413400758533491</v>
      </c>
      <c r="J108" s="11">
        <f>F108/H108-1</f>
        <v>-0.08939213349225272</v>
      </c>
      <c r="K108" s="13" t="n">
        <v>29263028</v>
      </c>
      <c r="L108" s="13" t="n">
        <v>21317750</v>
      </c>
      <c r="M108" s="43">
        <f>K108/L108</f>
        <v>1.3727071571812222</v>
      </c>
    </row>
    <row r="109">
      <c r="A109" s="41" t="inlineStr">
        <is>
          <t>CME</t>
        </is>
      </c>
      <c r="B109" s="37" t="inlineStr">
        <is>
          <t>—</t>
        </is>
      </c>
      <c r="C109" s="37" t="inlineStr">
        <is>
          <t>—</t>
        </is>
      </c>
      <c r="D109" s="6" t="inlineStr">
        <is>
          <t>交易所與金融數據</t>
        </is>
      </c>
      <c r="E109" s="76" t="n">
        <v>90</v>
      </c>
      <c r="F109" s="42" t="n">
        <v>271.185</v>
      </c>
      <c r="G109" s="42" t="n">
        <v>272.46</v>
      </c>
      <c r="H109" s="42" t="n">
        <v>274.07</v>
      </c>
      <c r="I109" s="11">
        <f>F109/G109-1</f>
        <v>-0.004679585994274316</v>
      </c>
      <c r="J109" s="11">
        <f>F109/H109-1</f>
        <v>-0.01052650782646769</v>
      </c>
      <c r="K109" s="13" t="n">
        <v>999786</v>
      </c>
      <c r="L109" s="13" t="n">
        <v>1696400</v>
      </c>
      <c r="M109" s="43">
        <f>K109/L109</f>
        <v>0.5893574628625324</v>
      </c>
    </row>
    <row r="110">
      <c r="A110" s="41" t="inlineStr">
        <is>
          <t>CMG</t>
        </is>
      </c>
      <c r="B110" s="37" t="inlineStr">
        <is>
          <t>—</t>
        </is>
      </c>
      <c r="C110" s="37" t="inlineStr">
        <is>
          <t>—</t>
        </is>
      </c>
      <c r="D110" s="6" t="inlineStr">
        <is>
          <t>餐飲連鎖</t>
        </is>
      </c>
      <c r="E110" s="76" t="n">
        <v>106</v>
      </c>
      <c r="F110" s="42" t="n">
        <v>33.5</v>
      </c>
      <c r="G110" s="42" t="n">
        <v>33.68</v>
      </c>
      <c r="H110" s="42" t="n">
        <v>36.13</v>
      </c>
      <c r="I110" s="11">
        <f>F110/G110-1</f>
        <v>-0.005344418052256494</v>
      </c>
      <c r="J110" s="11">
        <f>F110/H110-1</f>
        <v>-0.07279269305286473</v>
      </c>
      <c r="K110" s="13" t="n">
        <v>7756856</v>
      </c>
      <c r="L110" s="13" t="n">
        <v>11485850</v>
      </c>
      <c r="M110" s="43">
        <f>K110/L110</f>
        <v>0.6753401794381783</v>
      </c>
    </row>
    <row r="111">
      <c r="A111" s="41" t="inlineStr">
        <is>
          <t>CMI</t>
        </is>
      </c>
      <c r="B111" s="37" t="inlineStr">
        <is>
          <t>—</t>
        </is>
      </c>
      <c r="C111" s="37" t="inlineStr">
        <is>
          <t>—</t>
        </is>
      </c>
      <c r="D111" s="6" t="inlineStr">
        <is>
          <t>機械與重工</t>
        </is>
      </c>
      <c r="E111" s="76" t="n">
        <v>38</v>
      </c>
      <c r="F111" s="42" t="n">
        <v>523.8</v>
      </c>
      <c r="G111" s="42" t="n">
        <v>527.5</v>
      </c>
      <c r="H111" s="42" t="n">
        <v>550.03</v>
      </c>
      <c r="I111" s="11">
        <f>F111/G111-1</f>
        <v>-0.007014218009478768</v>
      </c>
      <c r="J111" s="11">
        <f>F111/H111-1</f>
        <v>-0.04768830791047762</v>
      </c>
      <c r="K111" s="13" t="n">
        <v>875213</v>
      </c>
      <c r="L111" s="13" t="n">
        <v>1080650</v>
      </c>
      <c r="M111" s="43">
        <f>K111/L111</f>
        <v>0.8098949706195345</v>
      </c>
    </row>
    <row r="112">
      <c r="A112" s="41" t="inlineStr">
        <is>
          <t>CNC</t>
        </is>
      </c>
      <c r="B112" s="37" t="inlineStr">
        <is>
          <t>—</t>
        </is>
      </c>
      <c r="C112" s="37" t="inlineStr">
        <is>
          <t>—</t>
        </is>
      </c>
      <c r="D112" s="6" t="inlineStr">
        <is>
          <t>醫療保險與管理式醫療</t>
        </is>
      </c>
      <c r="E112" s="76" t="n">
        <v>93</v>
      </c>
      <c r="F112" s="42" t="n">
        <v>67.09999999999999</v>
      </c>
      <c r="G112" s="42" t="n">
        <v>66.01000000000001</v>
      </c>
      <c r="H112" s="42" t="n">
        <v>65.40000000000001</v>
      </c>
      <c r="I112" s="11">
        <f>F112/G112-1</f>
        <v>0.01651264959854548</v>
      </c>
      <c r="J112" s="11">
        <f>F112/H112-1</f>
        <v>0.02599388379204881</v>
      </c>
      <c r="K112" s="13" t="n">
        <v>3852770</v>
      </c>
      <c r="L112" s="13" t="n">
        <v>3639400</v>
      </c>
      <c r="M112" s="43">
        <f>K112/L112</f>
        <v>1.058627795790515</v>
      </c>
    </row>
    <row r="113">
      <c r="A113" s="41" t="inlineStr">
        <is>
          <t>CNR</t>
        </is>
      </c>
      <c r="B113" s="37" t="inlineStr">
        <is>
          <t>—</t>
        </is>
      </c>
      <c r="C113" s="37" t="inlineStr">
        <is>
          <t>—</t>
        </is>
      </c>
      <c r="D113" s="6" t="inlineStr">
        <is>
          <t>煤炭</t>
        </is>
      </c>
      <c r="E113" s="76" t="n">
        <v>111</v>
      </c>
      <c r="F113" s="42" t="n">
        <v>93.27</v>
      </c>
      <c r="G113" s="42" t="n">
        <v>94.01000000000001</v>
      </c>
      <c r="H113" s="42" t="n">
        <v>98.52</v>
      </c>
      <c r="I113" s="11">
        <f>F113/G113-1</f>
        <v>-0.007871503031592453</v>
      </c>
      <c r="J113" s="11">
        <f>F113/H113-1</f>
        <v>-0.05328867235079171</v>
      </c>
      <c r="K113" s="13" t="n">
        <v>384523</v>
      </c>
      <c r="L113" s="13" t="n">
        <v>474950</v>
      </c>
      <c r="M113" s="43">
        <f>K113/L113</f>
        <v>0.8096073270870618</v>
      </c>
    </row>
    <row r="114">
      <c r="A114" s="41" t="inlineStr">
        <is>
          <t>COF</t>
        </is>
      </c>
      <c r="B114" s="37" t="inlineStr">
        <is>
          <t>—</t>
        </is>
      </c>
      <c r="C114" s="37" t="inlineStr">
        <is>
          <t>—</t>
        </is>
      </c>
      <c r="D114" s="6" t="inlineStr">
        <is>
          <t>消費金融與BNPL</t>
        </is>
      </c>
      <c r="E114" s="76" t="n">
        <v>95</v>
      </c>
      <c r="F114" s="42" t="n">
        <v>201.99</v>
      </c>
      <c r="G114" s="42" t="n">
        <v>203.19</v>
      </c>
      <c r="H114" s="42" t="n">
        <v>207.11</v>
      </c>
      <c r="I114" s="11">
        <f>F114/G114-1</f>
        <v>-0.005905802450907993</v>
      </c>
      <c r="J114" s="11">
        <f>F114/H114-1</f>
        <v>-0.024721162667181718</v>
      </c>
      <c r="K114" s="13" t="n">
        <v>2602783</v>
      </c>
      <c r="L114" s="13" t="n">
        <v>3054600</v>
      </c>
      <c r="M114" s="43">
        <f>K114/L114</f>
        <v>0.8520863615530675</v>
      </c>
    </row>
    <row r="115">
      <c r="A115" s="41" t="inlineStr">
        <is>
          <t>COHR</t>
        </is>
      </c>
      <c r="B115" s="37" t="inlineStr">
        <is>
          <t>—</t>
        </is>
      </c>
      <c r="C115" s="37" t="inlineStr">
        <is>
          <t>—</t>
        </is>
      </c>
      <c r="D115" s="6" t="inlineStr">
        <is>
          <t>光通訊/CPO</t>
        </is>
      </c>
      <c r="E115" s="76" t="n">
        <v>22</v>
      </c>
      <c r="F115" s="42" t="n">
        <v>296.06</v>
      </c>
      <c r="G115" s="42" t="n">
        <v>289.93</v>
      </c>
      <c r="H115" s="42" t="n">
        <v>293.17</v>
      </c>
      <c r="I115" s="11">
        <f>F115/G115-1</f>
        <v>0.0211430345255752</v>
      </c>
      <c r="J115" s="11">
        <f>F115/H115-1</f>
        <v>0.009857761708223833</v>
      </c>
      <c r="K115" s="13" t="n">
        <v>5787277</v>
      </c>
      <c r="L115" s="13" t="n">
        <v>5354200</v>
      </c>
      <c r="M115" s="43">
        <f>K115/L115</f>
        <v>1.080885473086549</v>
      </c>
    </row>
    <row r="116">
      <c r="A116" s="60" t="inlineStr">
        <is>
          <t>COIN</t>
        </is>
      </c>
      <c r="B116" s="103" t="inlineStr">
        <is>
          <t>—</t>
        </is>
      </c>
      <c r="C116" s="104" t="inlineStr">
        <is>
          <t>B 由迴避改為中性｜數位資產</t>
        </is>
      </c>
      <c r="D116" s="23" t="inlineStr">
        <is>
          <t>數位資產金融與礦業轉HPC</t>
        </is>
      </c>
      <c r="E116" s="91" t="n">
        <v>51</v>
      </c>
      <c r="F116" s="61" t="n">
        <v>173.99</v>
      </c>
      <c r="G116" s="61" t="n">
        <v>164.51</v>
      </c>
      <c r="H116" s="61" t="n">
        <v>172.28</v>
      </c>
      <c r="I116" s="24">
        <f>F116/G116-1</f>
        <v>0.05762567625068393</v>
      </c>
      <c r="J116" s="24">
        <f>F116/H116-1</f>
        <v>0.009925702345019882</v>
      </c>
      <c r="K116" s="62" t="n">
        <v>8779082</v>
      </c>
      <c r="L116" s="62" t="n">
        <v>10290900</v>
      </c>
      <c r="M116" s="63">
        <f>K116/L116</f>
        <v>0.8530917606817674</v>
      </c>
    </row>
    <row r="117">
      <c r="A117" s="41" t="inlineStr">
        <is>
          <t>COMP</t>
        </is>
      </c>
      <c r="B117" s="37" t="inlineStr">
        <is>
          <t>—</t>
        </is>
      </c>
      <c r="C117" s="37" t="inlineStr">
        <is>
          <t>—</t>
        </is>
      </c>
      <c r="D117" s="6" t="inlineStr">
        <is>
          <t>地產開發與服務</t>
        </is>
      </c>
      <c r="E117" s="76" t="n">
        <v>86</v>
      </c>
      <c r="F117" s="42" t="n">
        <v>10.48</v>
      </c>
      <c r="G117" s="42" t="n">
        <v>10.33</v>
      </c>
      <c r="H117" s="42" t="n">
        <v>10.13</v>
      </c>
      <c r="I117" s="11">
        <f>F117/G117-1</f>
        <v>0.014520813165537216</v>
      </c>
      <c r="J117" s="11">
        <f>F117/H117-1</f>
        <v>0.03455083909180656</v>
      </c>
      <c r="K117" s="13" t="n">
        <v>14494792</v>
      </c>
      <c r="L117" s="13" t="n">
        <v>11432150</v>
      </c>
      <c r="M117" s="43">
        <f>K117/L117</f>
        <v>1.2678972896611749</v>
      </c>
    </row>
    <row r="118">
      <c r="A118" s="41" t="inlineStr">
        <is>
          <t>COP</t>
        </is>
      </c>
      <c r="B118" s="37" t="inlineStr">
        <is>
          <t>—</t>
        </is>
      </c>
      <c r="C118" s="37" t="inlineStr">
        <is>
          <t>—</t>
        </is>
      </c>
      <c r="D118" s="6" t="inlineStr">
        <is>
          <t>頁岩E&amp;P勘探生產</t>
        </is>
      </c>
      <c r="E118" s="76" t="n">
        <v>44</v>
      </c>
      <c r="F118" s="42" t="n">
        <v>133.2</v>
      </c>
      <c r="G118" s="42" t="n">
        <v>132.54</v>
      </c>
      <c r="H118" s="42" t="n">
        <v>137.04</v>
      </c>
      <c r="I118" s="11">
        <f>F118/G118-1</f>
        <v>0.004979628791308199</v>
      </c>
      <c r="J118" s="11">
        <f>F118/H118-1</f>
        <v>-0.028021015761821366</v>
      </c>
      <c r="K118" s="13" t="n">
        <v>6165056</v>
      </c>
      <c r="L118" s="13" t="n">
        <v>6090950</v>
      </c>
      <c r="M118" s="43">
        <f>K118/L118</f>
        <v>1.0121665750006157</v>
      </c>
    </row>
    <row r="119">
      <c r="A119" s="41" t="inlineStr">
        <is>
          <t>COR</t>
        </is>
      </c>
      <c r="B119" s="37" t="inlineStr">
        <is>
          <t>—</t>
        </is>
      </c>
      <c r="C119" s="37" t="inlineStr">
        <is>
          <t>—</t>
        </is>
      </c>
      <c r="D119" s="6" t="inlineStr">
        <is>
          <t>藥品分銷與藥房</t>
        </is>
      </c>
      <c r="E119" s="76" t="n">
        <v>109</v>
      </c>
      <c r="F119" s="42" t="n">
        <v>309.3</v>
      </c>
      <c r="G119" s="42" t="n">
        <v>318.5</v>
      </c>
      <c r="H119" s="42" t="n">
        <v>320.95</v>
      </c>
      <c r="I119" s="11">
        <f>F119/G119-1</f>
        <v>-0.028885400313971688</v>
      </c>
      <c r="J119" s="11">
        <f>F119/H119-1</f>
        <v>-0.036298488861193245</v>
      </c>
      <c r="K119" s="13" t="n">
        <v>716955</v>
      </c>
      <c r="L119" s="13" t="n">
        <v>1079900</v>
      </c>
      <c r="M119" s="43">
        <f>K119/L119</f>
        <v>0.6639086952495602</v>
      </c>
    </row>
    <row r="120">
      <c r="A120" s="41" t="inlineStr">
        <is>
          <t>COST</t>
        </is>
      </c>
      <c r="B120" s="37" t="inlineStr">
        <is>
          <t>—</t>
        </is>
      </c>
      <c r="C120" s="37" t="inlineStr">
        <is>
          <t>—</t>
        </is>
      </c>
      <c r="D120" s="6" t="inlineStr">
        <is>
          <t>大賣場與超巿</t>
        </is>
      </c>
      <c r="E120" s="76" t="n">
        <v>48</v>
      </c>
      <c r="F120" s="42" t="n">
        <v>893.9299999999999</v>
      </c>
      <c r="G120" s="42" t="n">
        <v>893.74</v>
      </c>
      <c r="H120" s="42" t="n">
        <v>902.38</v>
      </c>
      <c r="I120" s="11">
        <f>F120/G120-1</f>
        <v>0.00021258979121441257</v>
      </c>
      <c r="J120" s="11">
        <f>F120/H120-1</f>
        <v>-0.009364125977969429</v>
      </c>
      <c r="K120" s="13" t="n">
        <v>1518519</v>
      </c>
      <c r="L120" s="13" t="n">
        <v>2086550</v>
      </c>
      <c r="M120" s="43">
        <f>K120/L120</f>
        <v>0.7277654501449762</v>
      </c>
    </row>
    <row r="121">
      <c r="A121" s="41" t="inlineStr">
        <is>
          <t>CRCL</t>
        </is>
      </c>
      <c r="B121" s="37" t="inlineStr">
        <is>
          <t>—</t>
        </is>
      </c>
      <c r="C121" s="37" t="inlineStr">
        <is>
          <t>—</t>
        </is>
      </c>
      <c r="D121" s="6" t="inlineStr">
        <is>
          <t>數位資產金融與礦業轉HPC</t>
        </is>
      </c>
      <c r="E121" s="76" t="n">
        <v>51</v>
      </c>
      <c r="F121" s="42" t="n">
        <v>85.06</v>
      </c>
      <c r="G121" s="42" t="n">
        <v>80.45</v>
      </c>
      <c r="H121" s="42" t="n">
        <v>90.31999999999999</v>
      </c>
      <c r="I121" s="11">
        <f>F121/G121-1</f>
        <v>0.057302672467371085</v>
      </c>
      <c r="J121" s="11">
        <f>F121/H121-1</f>
        <v>-0.05823737821080588</v>
      </c>
      <c r="K121" s="13" t="n">
        <v>12446313</v>
      </c>
      <c r="L121" s="13" t="n">
        <v>16115350</v>
      </c>
      <c r="M121" s="43">
        <f>K121/L121</f>
        <v>0.7723265706298653</v>
      </c>
    </row>
    <row r="122">
      <c r="A122" s="41" t="inlineStr">
        <is>
          <t>CRDO</t>
        </is>
      </c>
      <c r="B122" s="37" t="inlineStr">
        <is>
          <t>—</t>
        </is>
      </c>
      <c r="C122" s="37" t="inlineStr">
        <is>
          <t>—</t>
        </is>
      </c>
      <c r="D122" s="6" t="inlineStr">
        <is>
          <t>光通訊/CPO</t>
        </is>
      </c>
      <c r="E122" s="76" t="n">
        <v>22</v>
      </c>
      <c r="F122" s="42" t="n">
        <v>168.26</v>
      </c>
      <c r="G122" s="42" t="n">
        <v>161.49</v>
      </c>
      <c r="H122" s="42" t="n">
        <v>160.31</v>
      </c>
      <c r="I122" s="11">
        <f>F122/G122-1</f>
        <v>0.041922100439655496</v>
      </c>
      <c r="J122" s="11">
        <f>F122/H122-1</f>
        <v>0.04959141663027866</v>
      </c>
      <c r="K122" s="13" t="n">
        <v>7642273</v>
      </c>
      <c r="L122" s="13" t="n">
        <v>6192050</v>
      </c>
      <c r="M122" s="43">
        <f>K122/L122</f>
        <v>1.2342072496184624</v>
      </c>
    </row>
    <row r="123">
      <c r="A123" s="41" t="inlineStr">
        <is>
          <t>CRH</t>
        </is>
      </c>
      <c r="B123" s="37" t="inlineStr">
        <is>
          <t>—</t>
        </is>
      </c>
      <c r="C123" s="37" t="inlineStr">
        <is>
          <t>—</t>
        </is>
      </c>
      <c r="D123" s="6" t="inlineStr">
        <is>
          <t>包裝與建材</t>
        </is>
      </c>
      <c r="E123" s="76" t="n">
        <v>60</v>
      </c>
      <c r="F123" s="42" t="n">
        <v>86.70999999999999</v>
      </c>
      <c r="G123" s="42" t="n">
        <v>86.7</v>
      </c>
      <c r="H123" s="42" t="n">
        <v>87.66</v>
      </c>
      <c r="I123" s="11">
        <f>F123/G123-1</f>
        <v>0.00011534025374837498</v>
      </c>
      <c r="J123" s="11">
        <f>F123/H123-1</f>
        <v>-0.010837326032397954</v>
      </c>
      <c r="K123" s="13" t="n">
        <v>3968020</v>
      </c>
      <c r="L123" s="13" t="n">
        <v>4340400</v>
      </c>
      <c r="M123" s="43">
        <f>K123/L123</f>
        <v>0.9142060639572389</v>
      </c>
    </row>
    <row r="124">
      <c r="A124" s="41" t="inlineStr">
        <is>
          <t>CRM</t>
        </is>
      </c>
      <c r="B124" s="37" t="inlineStr">
        <is>
          <t>—</t>
        </is>
      </c>
      <c r="C124" s="37" t="inlineStr">
        <is>
          <t>—</t>
        </is>
      </c>
      <c r="D124" s="6" t="inlineStr">
        <is>
          <t>企業軟體/SaaS</t>
        </is>
      </c>
      <c r="E124" s="76" t="n">
        <v>50</v>
      </c>
      <c r="F124" s="42" t="n">
        <v>243.01</v>
      </c>
      <c r="G124" s="42" t="n">
        <v>250.54</v>
      </c>
      <c r="H124" s="42" t="n">
        <v>243</v>
      </c>
      <c r="I124" s="11">
        <f>F124/G124-1</f>
        <v>-0.030055081024985997</v>
      </c>
      <c r="J124" s="11">
        <f>F124/H124-1</f>
        <v>4.115226337453315e-05</v>
      </c>
      <c r="K124" s="13" t="n">
        <v>12499578</v>
      </c>
      <c r="L124" s="13" t="n">
        <v>12408700</v>
      </c>
      <c r="M124" s="43">
        <f>K124/L124</f>
        <v>1.0073237325424904</v>
      </c>
    </row>
    <row r="125">
      <c r="A125" s="41" t="inlineStr">
        <is>
          <t>CRSP</t>
        </is>
      </c>
      <c r="B125" s="37" t="inlineStr">
        <is>
          <t>—</t>
        </is>
      </c>
      <c r="C125" s="37" t="inlineStr">
        <is>
          <t>—</t>
        </is>
      </c>
      <c r="D125" s="6" t="inlineStr">
        <is>
          <t>基因治療與基因編輯</t>
        </is>
      </c>
      <c r="E125" s="76" t="n">
        <v>32</v>
      </c>
      <c r="F125" s="42" t="n">
        <v>57.37</v>
      </c>
      <c r="G125" s="42" t="n">
        <v>52.21</v>
      </c>
      <c r="H125" s="42" t="n">
        <v>52.26</v>
      </c>
      <c r="I125" s="11">
        <f>F125/G125-1</f>
        <v>0.09883164144799839</v>
      </c>
      <c r="J125" s="11">
        <f>F125/H125-1</f>
        <v>0.09778032912361279</v>
      </c>
      <c r="K125" s="13" t="n">
        <v>2647140</v>
      </c>
      <c r="L125" s="13" t="n">
        <v>1323450</v>
      </c>
      <c r="M125" s="43">
        <f>K125/L125</f>
        <v>2.000181344213986</v>
      </c>
    </row>
    <row r="126">
      <c r="A126" s="41" t="inlineStr">
        <is>
          <t>CRVS</t>
        </is>
      </c>
      <c r="B126" s="37" t="inlineStr">
        <is>
          <t>—</t>
        </is>
      </c>
      <c r="C126" s="37" t="inlineStr">
        <is>
          <t>—</t>
        </is>
      </c>
      <c r="D126" s="6" t="inlineStr">
        <is>
          <t>腫瘤與細胞治療</t>
        </is>
      </c>
      <c r="E126" s="76" t="n">
        <v>30</v>
      </c>
      <c r="F126" s="42" t="n">
        <v>12.54</v>
      </c>
      <c r="G126" s="42" t="n">
        <v>12.23</v>
      </c>
      <c r="H126" s="42" t="n">
        <v>12.94</v>
      </c>
      <c r="I126" s="11">
        <f>F126/G126-1</f>
        <v>0.025347506132461062</v>
      </c>
      <c r="J126" s="11">
        <f>F126/H126-1</f>
        <v>-0.03091190108191655</v>
      </c>
      <c r="K126" s="13" t="n">
        <v>1304068</v>
      </c>
      <c r="L126" s="13" t="n">
        <v>814900</v>
      </c>
      <c r="M126" s="43">
        <f>K126/L126</f>
        <v>1.6002797889311573</v>
      </c>
    </row>
    <row r="127">
      <c r="A127" s="41" t="inlineStr">
        <is>
          <t>CRWD</t>
        </is>
      </c>
      <c r="B127" s="37" t="inlineStr">
        <is>
          <t>—</t>
        </is>
      </c>
      <c r="C127" s="37" t="inlineStr">
        <is>
          <t>—</t>
        </is>
      </c>
      <c r="D127" s="6" t="inlineStr">
        <is>
          <t>網絡安全</t>
        </is>
      </c>
      <c r="E127" s="76" t="n">
        <v>5</v>
      </c>
      <c r="F127" s="42" t="n">
        <v>245.72</v>
      </c>
      <c r="G127" s="42" t="n">
        <v>241.36</v>
      </c>
      <c r="H127" s="42" t="n">
        <v>208.86</v>
      </c>
      <c r="I127" s="11">
        <f>F127/G127-1</f>
        <v>0.018064302287040146</v>
      </c>
      <c r="J127" s="11">
        <f>F127/H127-1</f>
        <v>0.17648185387340787</v>
      </c>
      <c r="K127" s="13" t="n">
        <v>10564926</v>
      </c>
      <c r="L127" s="13" t="n">
        <v>11255000</v>
      </c>
      <c r="M127" s="43">
        <f>K127/L127</f>
        <v>0.938687338960462</v>
      </c>
    </row>
    <row r="128">
      <c r="A128" s="41" t="inlineStr">
        <is>
          <t>CRWV</t>
        </is>
      </c>
      <c r="B128" s="37" t="inlineStr">
        <is>
          <t>—</t>
        </is>
      </c>
      <c r="C128" s="37" t="inlineStr">
        <is>
          <t>—</t>
        </is>
      </c>
      <c r="D128" s="6" t="inlineStr">
        <is>
          <t>雲端基建/IaaS/Neocloud</t>
        </is>
      </c>
      <c r="E128" s="76" t="n">
        <v>31</v>
      </c>
      <c r="F128" s="42" t="n">
        <v>79.87</v>
      </c>
      <c r="G128" s="42" t="n">
        <v>83.34999999999999</v>
      </c>
      <c r="H128" s="42" t="n">
        <v>89.12</v>
      </c>
      <c r="I128" s="11">
        <f>F128/G128-1</f>
        <v>-0.04175164967006584</v>
      </c>
      <c r="J128" s="11">
        <f>F128/H128-1</f>
        <v>-0.10379263913824055</v>
      </c>
      <c r="K128" s="13" t="n">
        <v>73314829</v>
      </c>
      <c r="L128" s="13" t="n">
        <v>18793000</v>
      </c>
      <c r="M128" s="43">
        <f>K128/L128</f>
        <v>3.901177512903741</v>
      </c>
    </row>
    <row r="129">
      <c r="A129" s="41" t="inlineStr">
        <is>
          <t>CSX</t>
        </is>
      </c>
      <c r="B129" s="37" t="inlineStr">
        <is>
          <t>—</t>
        </is>
      </c>
      <c r="C129" s="37" t="inlineStr">
        <is>
          <t>—</t>
        </is>
      </c>
      <c r="D129" s="6" t="inlineStr">
        <is>
          <t>鐵路運輸</t>
        </is>
      </c>
      <c r="E129" s="76" t="n">
        <v>73</v>
      </c>
      <c r="F129" s="42" t="n">
        <v>47.895</v>
      </c>
      <c r="G129" s="42" t="n">
        <v>47.9</v>
      </c>
      <c r="H129" s="42" t="n">
        <v>49.04</v>
      </c>
      <c r="I129" s="11">
        <f>F129/G129-1</f>
        <v>-0.00010438413361157917</v>
      </c>
      <c r="J129" s="11">
        <f>F129/H129-1</f>
        <v>-0.023348287112561095</v>
      </c>
      <c r="K129" s="13" t="n">
        <v>6826448</v>
      </c>
      <c r="L129" s="13" t="n">
        <v>8716000</v>
      </c>
      <c r="M129" s="43">
        <f>K129/L129</f>
        <v>0.7832088113813676</v>
      </c>
    </row>
    <row r="130">
      <c r="A130" s="41" t="inlineStr">
        <is>
          <t>CTAS</t>
        </is>
      </c>
      <c r="B130" s="37" t="inlineStr">
        <is>
          <t>—</t>
        </is>
      </c>
      <c r="C130" s="37" t="inlineStr">
        <is>
          <t>—</t>
        </is>
      </c>
      <c r="D130" s="6" t="inlineStr">
        <is>
          <t>人力與商業服務</t>
        </is>
      </c>
      <c r="E130" s="76" t="n">
        <v>36</v>
      </c>
      <c r="F130" s="42" t="n">
        <v>197.99</v>
      </c>
      <c r="G130" s="42" t="n">
        <v>199.46</v>
      </c>
      <c r="H130" s="42" t="n">
        <v>198.44</v>
      </c>
      <c r="I130" s="11">
        <f>F130/G130-1</f>
        <v>-0.0073698987265616855</v>
      </c>
      <c r="J130" s="11">
        <f>F130/H130-1</f>
        <v>-0.002267687966135856</v>
      </c>
      <c r="K130" s="13" t="n">
        <v>1151975</v>
      </c>
      <c r="L130" s="13" t="n">
        <v>1729050</v>
      </c>
      <c r="M130" s="43">
        <f>K130/L130</f>
        <v>0.6662473612677482</v>
      </c>
    </row>
    <row r="131">
      <c r="A131" s="41" t="inlineStr">
        <is>
          <t>CTSH</t>
        </is>
      </c>
      <c r="B131" s="37" t="inlineStr">
        <is>
          <t>—</t>
        </is>
      </c>
      <c r="C131" s="37" t="inlineStr">
        <is>
          <t>—</t>
        </is>
      </c>
      <c r="D131" s="6" t="inlineStr">
        <is>
          <t>IT服務與系統整合</t>
        </is>
      </c>
      <c r="E131" s="76" t="n">
        <v>43</v>
      </c>
      <c r="F131" s="42" t="n">
        <v>61.9</v>
      </c>
      <c r="G131" s="42" t="n">
        <v>61.85</v>
      </c>
      <c r="H131" s="42" t="n">
        <v>58.32</v>
      </c>
      <c r="I131" s="11">
        <f>F131/G131-1</f>
        <v>0.0008084074373484462</v>
      </c>
      <c r="J131" s="11">
        <f>F131/H131-1</f>
        <v>0.061385459533607634</v>
      </c>
      <c r="K131" s="13" t="n">
        <v>2666064</v>
      </c>
      <c r="L131" s="13" t="n">
        <v>5809000</v>
      </c>
      <c r="M131" s="43">
        <f>K131/L131</f>
        <v>0.4589540368393872</v>
      </c>
    </row>
    <row r="132">
      <c r="A132" s="41" t="inlineStr">
        <is>
          <t>CTVA</t>
        </is>
      </c>
      <c r="B132" s="37" t="inlineStr">
        <is>
          <t>—</t>
        </is>
      </c>
      <c r="C132" s="37" t="inlineStr">
        <is>
          <t>—</t>
        </is>
      </c>
      <c r="D132" s="6" t="inlineStr">
        <is>
          <t>農產品與農業投入</t>
        </is>
      </c>
      <c r="E132" s="76" t="n">
        <v>70</v>
      </c>
      <c r="F132" s="42" t="n">
        <v>81.52</v>
      </c>
      <c r="G132" s="42" t="n">
        <v>81.01000000000001</v>
      </c>
      <c r="H132" s="42" t="n">
        <v>84.48999999999999</v>
      </c>
      <c r="I132" s="11">
        <f>F132/G132-1</f>
        <v>0.006295519071719324</v>
      </c>
      <c r="J132" s="11">
        <f>F132/H132-1</f>
        <v>-0.03515208900461597</v>
      </c>
      <c r="K132" s="13" t="n">
        <v>3406751</v>
      </c>
      <c r="L132" s="13" t="n">
        <v>4639450</v>
      </c>
      <c r="M132" s="43">
        <f>K132/L132</f>
        <v>0.7343006175300951</v>
      </c>
    </row>
    <row r="133">
      <c r="A133" s="41" t="inlineStr">
        <is>
          <t>CVS</t>
        </is>
      </c>
      <c r="B133" s="37" t="inlineStr">
        <is>
          <t>—</t>
        </is>
      </c>
      <c r="C133" s="37" t="inlineStr">
        <is>
          <t>—</t>
        </is>
      </c>
      <c r="D133" s="6" t="inlineStr">
        <is>
          <t>藥品分銷與藥房</t>
        </is>
      </c>
      <c r="E133" s="76" t="n">
        <v>109</v>
      </c>
      <c r="F133" s="42" t="n">
        <v>90.29000000000001</v>
      </c>
      <c r="G133" s="42" t="n">
        <v>91.72</v>
      </c>
      <c r="H133" s="42" t="n">
        <v>95.29000000000001</v>
      </c>
      <c r="I133" s="11">
        <f>F133/G133-1</f>
        <v>-0.01559092891408631</v>
      </c>
      <c r="J133" s="11">
        <f>F133/H133-1</f>
        <v>-0.0524714030853185</v>
      </c>
      <c r="K133" s="13" t="n">
        <v>5048372</v>
      </c>
      <c r="L133" s="13" t="n">
        <v>5201800</v>
      </c>
      <c r="M133" s="43">
        <f>K133/L133</f>
        <v>0.9705048252527971</v>
      </c>
    </row>
    <row r="134">
      <c r="A134" s="60" t="inlineStr">
        <is>
          <t>CVX</t>
        </is>
      </c>
      <c r="B134" s="103" t="inlineStr">
        <is>
          <t>—</t>
        </is>
      </c>
      <c r="C134" s="104" t="inlineStr">
        <is>
          <t>A 結構性迴避｜綜合油氣</t>
        </is>
      </c>
      <c r="D134" s="23" t="inlineStr">
        <is>
          <t>綜合油氣巨頭</t>
        </is>
      </c>
      <c r="E134" s="91" t="n">
        <v>45</v>
      </c>
      <c r="F134" s="61" t="n">
        <v>211.585</v>
      </c>
      <c r="G134" s="61" t="n">
        <v>211.54</v>
      </c>
      <c r="H134" s="61" t="n">
        <v>212.76</v>
      </c>
      <c r="I134" s="24">
        <f>F134/G134-1</f>
        <v>0.00021272572563124648</v>
      </c>
      <c r="J134" s="24">
        <f>F134/H134-1</f>
        <v>-0.00552265463432966</v>
      </c>
      <c r="K134" s="62" t="n">
        <v>5455593</v>
      </c>
      <c r="L134" s="62" t="n">
        <v>8078700</v>
      </c>
      <c r="M134" s="63">
        <f>K134/L134</f>
        <v>0.6753058041516581</v>
      </c>
    </row>
    <row r="135">
      <c r="A135" s="41" t="inlineStr">
        <is>
          <t>CWST</t>
        </is>
      </c>
      <c r="B135" s="37" t="inlineStr">
        <is>
          <t>—</t>
        </is>
      </c>
      <c r="C135" s="37" t="inlineStr">
        <is>
          <t>—</t>
        </is>
      </c>
      <c r="D135" s="6" t="inlineStr">
        <is>
          <t>廢物管理與環境服務</t>
        </is>
      </c>
      <c r="E135" s="76" t="n">
        <v>91</v>
      </c>
      <c r="F135" s="42" t="n">
        <v>88.73</v>
      </c>
      <c r="G135" s="42" t="n">
        <v>90.06</v>
      </c>
      <c r="H135" s="42" t="n">
        <v>89.94</v>
      </c>
      <c r="I135" s="11">
        <f>F135/G135-1</f>
        <v>-0.014767932489451407</v>
      </c>
      <c r="J135" s="11">
        <f>F135/H135-1</f>
        <v>-0.01345341338670214</v>
      </c>
      <c r="K135" s="13" t="n">
        <v>293730</v>
      </c>
      <c r="L135" s="13" t="n">
        <v>429250</v>
      </c>
      <c r="M135" s="43">
        <f>K135/L135</f>
        <v>0.684286546301689</v>
      </c>
    </row>
    <row r="136">
      <c r="A136" s="41" t="inlineStr">
        <is>
          <t>CWT</t>
        </is>
      </c>
      <c r="B136" s="37" t="inlineStr">
        <is>
          <t>—</t>
        </is>
      </c>
      <c r="C136" s="37" t="inlineStr">
        <is>
          <t>—</t>
        </is>
      </c>
      <c r="D136" s="6" t="inlineStr">
        <is>
          <t>水務公用</t>
        </is>
      </c>
      <c r="E136" s="76" t="n">
        <v>39</v>
      </c>
      <c r="F136" s="42" t="n">
        <v>47.85</v>
      </c>
      <c r="G136" s="42" t="n">
        <v>48.05</v>
      </c>
      <c r="H136" s="42" t="n">
        <v>48.86</v>
      </c>
      <c r="I136" s="11">
        <f>F136/G136-1</f>
        <v>-0.004162330905306932</v>
      </c>
      <c r="J136" s="11">
        <f>F136/H136-1</f>
        <v>-0.020671305771592263</v>
      </c>
      <c r="K136" s="13" t="n">
        <v>247917</v>
      </c>
      <c r="L136" s="13" t="n">
        <v>401150</v>
      </c>
      <c r="M136" s="43">
        <f>K136/L136</f>
        <v>0.6180157048485604</v>
      </c>
    </row>
    <row r="137">
      <c r="A137" s="41" t="inlineStr">
        <is>
          <t>D</t>
        </is>
      </c>
      <c r="B137" s="37" t="inlineStr">
        <is>
          <t>—</t>
        </is>
      </c>
      <c r="C137" s="37" t="inlineStr">
        <is>
          <t>—</t>
        </is>
      </c>
      <c r="D137" s="6" t="inlineStr">
        <is>
          <t>受監管電力公用</t>
        </is>
      </c>
      <c r="E137" s="76" t="n">
        <v>56</v>
      </c>
      <c r="F137" s="42" t="n">
        <v>64.29000000000001</v>
      </c>
      <c r="G137" s="42" t="n">
        <v>63.51</v>
      </c>
      <c r="H137" s="42" t="n">
        <v>65.05</v>
      </c>
      <c r="I137" s="11">
        <f>F137/G137-1</f>
        <v>0.012281530467643131</v>
      </c>
      <c r="J137" s="11">
        <f>F137/H137-1</f>
        <v>-0.011683320522674734</v>
      </c>
      <c r="K137" s="13" t="n">
        <v>1828147</v>
      </c>
      <c r="L137" s="13" t="n">
        <v>4436250</v>
      </c>
      <c r="M137" s="43">
        <f>K137/L137</f>
        <v>0.41209287123133276</v>
      </c>
    </row>
    <row r="138">
      <c r="A138" s="41" t="inlineStr">
        <is>
          <t>DAL</t>
        </is>
      </c>
      <c r="B138" s="37" t="inlineStr">
        <is>
          <t>—</t>
        </is>
      </c>
      <c r="C138" s="37" t="inlineStr">
        <is>
          <t>—</t>
        </is>
      </c>
      <c r="D138" s="6" t="inlineStr">
        <is>
          <t>航空公司</t>
        </is>
      </c>
      <c r="E138" s="76" t="n">
        <v>33</v>
      </c>
      <c r="F138" s="42" t="n">
        <v>79.435</v>
      </c>
      <c r="G138" s="42" t="n">
        <v>77.87</v>
      </c>
      <c r="H138" s="42" t="n">
        <v>78.23999999999999</v>
      </c>
      <c r="I138" s="11">
        <f>F138/G138-1</f>
        <v>0.020097598561705343</v>
      </c>
      <c r="J138" s="11">
        <f>F138/H138-1</f>
        <v>0.015273517382413226</v>
      </c>
      <c r="K138" s="13" t="n">
        <v>4537471</v>
      </c>
      <c r="L138" s="13" t="n">
        <v>5332900</v>
      </c>
      <c r="M138" s="43">
        <f>K138/L138</f>
        <v>0.8508449436516717</v>
      </c>
    </row>
    <row r="139">
      <c r="A139" s="41" t="inlineStr">
        <is>
          <t>DDOG</t>
        </is>
      </c>
      <c r="B139" s="37" t="inlineStr">
        <is>
          <t>—</t>
        </is>
      </c>
      <c r="C139" s="37" t="inlineStr">
        <is>
          <t>—</t>
        </is>
      </c>
      <c r="D139" s="6" t="inlineStr">
        <is>
          <t>資料/分析平台</t>
        </is>
      </c>
      <c r="E139" s="76" t="n">
        <v>4</v>
      </c>
      <c r="F139" s="42" t="n">
        <v>235.97</v>
      </c>
      <c r="G139" s="42" t="n">
        <v>230.79</v>
      </c>
      <c r="H139" s="42" t="n">
        <v>221.72</v>
      </c>
      <c r="I139" s="11">
        <f>F139/G139-1</f>
        <v>0.022444646648468236</v>
      </c>
      <c r="J139" s="11">
        <f>F139/H139-1</f>
        <v>0.06427025076673276</v>
      </c>
      <c r="K139" s="13" t="n">
        <v>2019290</v>
      </c>
      <c r="L139" s="13" t="n">
        <v>3300850</v>
      </c>
      <c r="M139" s="43">
        <f>K139/L139</f>
        <v>0.611748489025554</v>
      </c>
    </row>
    <row r="140">
      <c r="A140" s="41" t="inlineStr">
        <is>
          <t>DE</t>
        </is>
      </c>
      <c r="B140" s="37" t="inlineStr">
        <is>
          <t>—</t>
        </is>
      </c>
      <c r="C140" s="37" t="inlineStr">
        <is>
          <t>—</t>
        </is>
      </c>
      <c r="D140" s="6" t="inlineStr">
        <is>
          <t>機械與重工</t>
        </is>
      </c>
      <c r="E140" s="76" t="n">
        <v>38</v>
      </c>
      <c r="F140" s="42" t="n">
        <v>685.7</v>
      </c>
      <c r="G140" s="42" t="n">
        <v>669.47</v>
      </c>
      <c r="H140" s="42" t="n">
        <v>677.9400000000001</v>
      </c>
      <c r="I140" s="11">
        <f>F140/G140-1</f>
        <v>0.024243057941356616</v>
      </c>
      <c r="J140" s="11">
        <f>F140/H140-1</f>
        <v>0.011446440687966408</v>
      </c>
      <c r="K140" s="13" t="n">
        <v>962589</v>
      </c>
      <c r="L140" s="13" t="n">
        <v>1217900</v>
      </c>
      <c r="M140" s="43">
        <f>K140/L140</f>
        <v>0.7903678462927991</v>
      </c>
    </row>
    <row r="141">
      <c r="A141" s="41" t="inlineStr">
        <is>
          <t>DECK</t>
        </is>
      </c>
      <c r="B141" s="37" t="inlineStr">
        <is>
          <t>—</t>
        </is>
      </c>
      <c r="C141" s="37" t="inlineStr">
        <is>
          <t>—</t>
        </is>
      </c>
      <c r="D141" s="6" t="inlineStr">
        <is>
          <t>服裝與奢侈品</t>
        </is>
      </c>
      <c r="E141" s="76" t="n">
        <v>41</v>
      </c>
      <c r="F141" s="42" t="n">
        <v>79.75</v>
      </c>
      <c r="G141" s="42" t="n">
        <v>77.95999999999999</v>
      </c>
      <c r="H141" s="42" t="n">
        <v>79.88</v>
      </c>
      <c r="I141" s="11">
        <f>F141/G141-1</f>
        <v>0.022960492560287316</v>
      </c>
      <c r="J141" s="11">
        <f>F141/H141-1</f>
        <v>-0.0016274411617425155</v>
      </c>
      <c r="K141" s="13" t="n">
        <v>2872963</v>
      </c>
      <c r="L141" s="13" t="n">
        <v>2937700</v>
      </c>
      <c r="M141" s="43">
        <f>K141/L141</f>
        <v>0.9779633727065391</v>
      </c>
    </row>
    <row r="142">
      <c r="A142" s="41" t="inlineStr">
        <is>
          <t>DELL</t>
        </is>
      </c>
      <c r="B142" s="37" t="inlineStr">
        <is>
          <t>—</t>
        </is>
      </c>
      <c r="C142" s="37" t="inlineStr">
        <is>
          <t>—</t>
        </is>
      </c>
      <c r="D142" s="6" t="inlineStr">
        <is>
          <t>電子硬件與EMS/連接器</t>
        </is>
      </c>
      <c r="E142" s="76" t="n">
        <v>3</v>
      </c>
      <c r="F142" s="42" t="n">
        <v>588.49</v>
      </c>
      <c r="G142" s="42" t="n">
        <v>563.29</v>
      </c>
      <c r="H142" s="42" t="n">
        <v>506.62</v>
      </c>
      <c r="I142" s="11">
        <f>F142/G142-1</f>
        <v>0.044737169131353394</v>
      </c>
      <c r="J142" s="11">
        <f>F142/H142-1</f>
        <v>0.16160041056413088</v>
      </c>
      <c r="K142" s="13" t="n">
        <v>8358546</v>
      </c>
      <c r="L142" s="13" t="n">
        <v>7185100</v>
      </c>
      <c r="M142" s="43">
        <f>K142/L142</f>
        <v>1.1633165857120986</v>
      </c>
    </row>
    <row r="143">
      <c r="A143" s="41" t="inlineStr">
        <is>
          <t>DEO</t>
        </is>
      </c>
      <c r="B143" s="37" t="inlineStr">
        <is>
          <t>—</t>
        </is>
      </c>
      <c r="C143" s="37" t="inlineStr">
        <is>
          <t>—</t>
        </is>
      </c>
      <c r="D143" s="6" t="inlineStr">
        <is>
          <t>酒精飲品</t>
        </is>
      </c>
      <c r="E143" s="76" t="n">
        <v>53</v>
      </c>
      <c r="F143" s="42" t="n">
        <v>86.70999999999999</v>
      </c>
      <c r="G143" s="42" t="n">
        <v>86.95</v>
      </c>
      <c r="H143" s="42" t="n">
        <v>86.31</v>
      </c>
      <c r="I143" s="11">
        <f>F143/G143-1</f>
        <v>-0.0027602070155262615</v>
      </c>
      <c r="J143" s="11">
        <f>F143/H143-1</f>
        <v>0.004634457189201635</v>
      </c>
      <c r="K143" s="13" t="n">
        <v>1456288</v>
      </c>
      <c r="L143" s="13" t="n">
        <v>904350</v>
      </c>
      <c r="M143" s="43">
        <f>K143/L143</f>
        <v>1.6103145905899265</v>
      </c>
    </row>
    <row r="144">
      <c r="A144" s="60" t="inlineStr">
        <is>
          <t>DHI</t>
        </is>
      </c>
      <c r="B144" s="103" t="inlineStr">
        <is>
          <t>—</t>
        </is>
      </c>
      <c r="C144" s="104" t="inlineStr">
        <is>
          <t>B 由迴避改為中性｜住宅建商</t>
        </is>
      </c>
      <c r="D144" s="23" t="inlineStr">
        <is>
          <t>住宅建築商</t>
        </is>
      </c>
      <c r="E144" s="91" t="n">
        <v>17</v>
      </c>
      <c r="F144" s="61" t="n">
        <v>140.38</v>
      </c>
      <c r="G144" s="61" t="n">
        <v>138.32</v>
      </c>
      <c r="H144" s="61" t="n">
        <v>135.57</v>
      </c>
      <c r="I144" s="24">
        <f>F144/G144-1</f>
        <v>0.014893001735106992</v>
      </c>
      <c r="J144" s="24">
        <f>F144/H144-1</f>
        <v>0.035479825920188945</v>
      </c>
      <c r="K144" s="62" t="n">
        <v>2586522</v>
      </c>
      <c r="L144" s="62" t="n">
        <v>1928200</v>
      </c>
      <c r="M144" s="63">
        <f>K144/L144</f>
        <v>1.341417902707188</v>
      </c>
    </row>
    <row r="145">
      <c r="A145" s="74" t="inlineStr">
        <is>
          <t>DHR</t>
        </is>
      </c>
      <c r="B145" s="21" t="inlineStr">
        <is>
          <t>②</t>
        </is>
      </c>
      <c r="C145" s="99" t="inlineStr">
        <is>
          <t>—</t>
        </is>
      </c>
      <c r="D145" s="16" t="inlineStr">
        <is>
          <t>診斷與生命科學工具</t>
        </is>
      </c>
      <c r="E145" s="68" t="n">
        <v>1</v>
      </c>
      <c r="F145" s="100" t="n">
        <v>212.51</v>
      </c>
      <c r="G145" s="100" t="n">
        <v>208.36</v>
      </c>
      <c r="H145" s="100" t="n">
        <v>200.53</v>
      </c>
      <c r="I145" s="17">
        <f>F145/G145-1</f>
        <v>0.01991745056632732</v>
      </c>
      <c r="J145" s="17">
        <f>F145/H145-1</f>
        <v>0.0597416845359795</v>
      </c>
      <c r="K145" s="101" t="n">
        <v>5375812</v>
      </c>
      <c r="L145" s="101" t="n">
        <v>3085150</v>
      </c>
      <c r="M145" s="102">
        <f>K145/L145</f>
        <v>1.7424799442490642</v>
      </c>
    </row>
    <row r="146">
      <c r="A146" s="74" t="inlineStr">
        <is>
          <t>DINO</t>
        </is>
      </c>
      <c r="B146" s="21" t="inlineStr">
        <is>
          <t>①</t>
        </is>
      </c>
      <c r="C146" s="99" t="inlineStr">
        <is>
          <t>—</t>
        </is>
      </c>
      <c r="D146" s="16" t="inlineStr">
        <is>
          <t>煉油與成品油</t>
        </is>
      </c>
      <c r="E146" s="68" t="n">
        <v>2</v>
      </c>
      <c r="F146" s="100" t="n">
        <v>116.58</v>
      </c>
      <c r="G146" s="100" t="n">
        <v>113.97</v>
      </c>
      <c r="H146" s="100" t="n">
        <v>107.72</v>
      </c>
      <c r="I146" s="17">
        <f>F146/G146-1</f>
        <v>0.022900763358778553</v>
      </c>
      <c r="J146" s="17">
        <f>F146/H146-1</f>
        <v>0.08225027849981426</v>
      </c>
      <c r="K146" s="101" t="n">
        <v>2043292</v>
      </c>
      <c r="L146" s="101" t="n">
        <v>2268100</v>
      </c>
      <c r="M146" s="102">
        <f>K146/L146</f>
        <v>0.900882677130638</v>
      </c>
    </row>
    <row r="147">
      <c r="A147" s="41" t="inlineStr">
        <is>
          <t>DIS</t>
        </is>
      </c>
      <c r="B147" s="37" t="inlineStr">
        <is>
          <t>—</t>
        </is>
      </c>
      <c r="C147" s="37" t="inlineStr">
        <is>
          <t>—</t>
        </is>
      </c>
      <c r="D147" s="6" t="inlineStr">
        <is>
          <t>串流影音</t>
        </is>
      </c>
      <c r="E147" s="76" t="n">
        <v>89</v>
      </c>
      <c r="F147" s="42" t="n">
        <v>105.33</v>
      </c>
      <c r="G147" s="42" t="n">
        <v>106.99</v>
      </c>
      <c r="H147" s="42" t="n">
        <v>105.82</v>
      </c>
      <c r="I147" s="11">
        <f>F147/G147-1</f>
        <v>-0.015515468735395777</v>
      </c>
      <c r="J147" s="11">
        <f>F147/H147-1</f>
        <v>-0.004630504630504628</v>
      </c>
      <c r="K147" s="13" t="n">
        <v>6209512</v>
      </c>
      <c r="L147" s="13" t="n">
        <v>7475350</v>
      </c>
      <c r="M147" s="43">
        <f>K147/L147</f>
        <v>0.8306650524724595</v>
      </c>
    </row>
    <row r="148">
      <c r="A148" s="41" t="inlineStr">
        <is>
          <t>DKNG</t>
        </is>
      </c>
      <c r="B148" s="37" t="inlineStr">
        <is>
          <t>—</t>
        </is>
      </c>
      <c r="C148" s="37" t="inlineStr">
        <is>
          <t>—</t>
        </is>
      </c>
      <c r="D148" s="6" t="inlineStr">
        <is>
          <t>博彩與線上博彩</t>
        </is>
      </c>
      <c r="E148" s="76" t="n">
        <v>107</v>
      </c>
      <c r="F148" s="42" t="n">
        <v>22.46</v>
      </c>
      <c r="G148" s="42" t="n">
        <v>24.33</v>
      </c>
      <c r="H148" s="42" t="n">
        <v>23.71</v>
      </c>
      <c r="I148" s="11">
        <f>F148/G148-1</f>
        <v>-0.07685984381422106</v>
      </c>
      <c r="J148" s="11">
        <f>F148/H148-1</f>
        <v>-0.052720371151412926</v>
      </c>
      <c r="K148" s="13" t="n">
        <v>14987780</v>
      </c>
      <c r="L148" s="13" t="n">
        <v>8334600</v>
      </c>
      <c r="M148" s="43">
        <f>K148/L148</f>
        <v>1.7982602644398051</v>
      </c>
    </row>
    <row r="149">
      <c r="A149" s="41" t="inlineStr">
        <is>
          <t>DLR</t>
        </is>
      </c>
      <c r="B149" s="37" t="inlineStr">
        <is>
          <t>—</t>
        </is>
      </c>
      <c r="C149" s="37" t="inlineStr">
        <is>
          <t>—</t>
        </is>
      </c>
      <c r="D149" s="6" t="inlineStr">
        <is>
          <t>資料中心REIT</t>
        </is>
      </c>
      <c r="E149" s="76" t="n">
        <v>12</v>
      </c>
      <c r="F149" s="42" t="n">
        <v>184.32</v>
      </c>
      <c r="G149" s="42" t="n">
        <v>181.07</v>
      </c>
      <c r="H149" s="42" t="n">
        <v>185.37</v>
      </c>
      <c r="I149" s="11">
        <f>F149/G149-1</f>
        <v>0.017948859557077368</v>
      </c>
      <c r="J149" s="11">
        <f>F149/H149-1</f>
        <v>-0.005664346981712365</v>
      </c>
      <c r="K149" s="13" t="n">
        <v>680033</v>
      </c>
      <c r="L149" s="13" t="n">
        <v>1719650</v>
      </c>
      <c r="M149" s="43">
        <f>K149/L149</f>
        <v>0.39544849242578434</v>
      </c>
    </row>
    <row r="150">
      <c r="A150" s="41" t="inlineStr">
        <is>
          <t>DNLI</t>
        </is>
      </c>
      <c r="B150" s="37" t="inlineStr">
        <is>
          <t>—</t>
        </is>
      </c>
      <c r="C150" s="37" t="inlineStr">
        <is>
          <t>—</t>
        </is>
      </c>
      <c r="D150" s="6" t="inlineStr">
        <is>
          <t>臨床期中小型生技</t>
        </is>
      </c>
      <c r="E150" s="76" t="n">
        <v>108</v>
      </c>
      <c r="F150" s="42" t="n">
        <v>20.12</v>
      </c>
      <c r="G150" s="42" t="n">
        <v>20.06</v>
      </c>
      <c r="H150" s="42" t="n">
        <v>21.4</v>
      </c>
      <c r="I150" s="11">
        <f>F150/G150-1</f>
        <v>0.0029910269192423566</v>
      </c>
      <c r="J150" s="11">
        <f>F150/H150-1</f>
        <v>-0.05981308411214947</v>
      </c>
      <c r="K150" s="13" t="n">
        <v>1055245</v>
      </c>
      <c r="L150" s="13" t="n">
        <v>1135400</v>
      </c>
      <c r="M150" s="43">
        <f>K150/L150</f>
        <v>0.929403734366743</v>
      </c>
    </row>
    <row r="151">
      <c r="A151" s="41" t="inlineStr">
        <is>
          <t>DNN</t>
        </is>
      </c>
      <c r="B151" s="37" t="inlineStr">
        <is>
          <t>—</t>
        </is>
      </c>
      <c r="C151" s="37" t="inlineStr">
        <is>
          <t>—</t>
        </is>
      </c>
      <c r="D151" s="6" t="inlineStr">
        <is>
          <t>鈾與核燃料</t>
        </is>
      </c>
      <c r="E151" s="76" t="n">
        <v>96</v>
      </c>
      <c r="F151" s="42" t="n">
        <v>2.8907</v>
      </c>
      <c r="G151" s="42" t="n">
        <v>2.82</v>
      </c>
      <c r="H151" s="42" t="n">
        <v>3.23</v>
      </c>
      <c r="I151" s="11">
        <f>F151/G151-1</f>
        <v>0.02507092198581562</v>
      </c>
      <c r="J151" s="11">
        <f>F151/H151-1</f>
        <v>-0.10504643962848303</v>
      </c>
      <c r="K151" s="13" t="n">
        <v>14975046</v>
      </c>
      <c r="L151" s="13" t="n">
        <v>25124400</v>
      </c>
      <c r="M151" s="43">
        <f>K151/L151</f>
        <v>0.5960359650379711</v>
      </c>
    </row>
    <row r="152">
      <c r="A152" s="41" t="inlineStr">
        <is>
          <t>DOC</t>
        </is>
      </c>
      <c r="B152" s="37" t="inlineStr">
        <is>
          <t>—</t>
        </is>
      </c>
      <c r="C152" s="37" t="inlineStr">
        <is>
          <t>—</t>
        </is>
      </c>
      <c r="D152" s="6" t="inlineStr">
        <is>
          <t>醫療與長者住宅REIT</t>
        </is>
      </c>
      <c r="E152" s="76" t="n">
        <v>81</v>
      </c>
      <c r="F152" s="42" t="n">
        <v>20.5</v>
      </c>
      <c r="G152" s="42" t="n">
        <v>20.35</v>
      </c>
      <c r="H152" s="42" t="n">
        <v>20.37</v>
      </c>
      <c r="I152" s="11">
        <f>F152/G152-1</f>
        <v>0.0073710073710073765</v>
      </c>
      <c r="J152" s="11">
        <f>F152/H152-1</f>
        <v>0.006381934216985741</v>
      </c>
      <c r="K152" s="13" t="n">
        <v>5091582</v>
      </c>
      <c r="L152" s="13" t="n">
        <v>4117350</v>
      </c>
      <c r="M152" s="43">
        <f>K152/L152</f>
        <v>1.2366162701737768</v>
      </c>
    </row>
    <row r="153">
      <c r="A153" s="41" t="inlineStr">
        <is>
          <t>DOCS</t>
        </is>
      </c>
      <c r="B153" s="37" t="inlineStr">
        <is>
          <t>—</t>
        </is>
      </c>
      <c r="C153" s="37" t="inlineStr">
        <is>
          <t>—</t>
        </is>
      </c>
      <c r="D153" s="6" t="inlineStr">
        <is>
          <t>數位醫療與遠距醫療</t>
        </is>
      </c>
      <c r="E153" s="76" t="n">
        <v>55</v>
      </c>
      <c r="F153" s="42" t="n">
        <v>26.57</v>
      </c>
      <c r="G153" s="42" t="n">
        <v>25.94</v>
      </c>
      <c r="H153" s="42" t="n">
        <v>24.71</v>
      </c>
      <c r="I153" s="11">
        <f>F153/G153-1</f>
        <v>0.02428681572860447</v>
      </c>
      <c r="J153" s="11">
        <f>F153/H153-1</f>
        <v>0.07527316875758805</v>
      </c>
      <c r="K153" s="13" t="n">
        <v>1631792</v>
      </c>
      <c r="L153" s="13" t="n">
        <v>2541500</v>
      </c>
      <c r="M153" s="43">
        <f>K153/L153</f>
        <v>0.6420586267951996</v>
      </c>
    </row>
    <row r="154">
      <c r="A154" s="41" t="inlineStr">
        <is>
          <t>DOW</t>
        </is>
      </c>
      <c r="B154" s="37" t="inlineStr">
        <is>
          <t>—</t>
        </is>
      </c>
      <c r="C154" s="37" t="inlineStr">
        <is>
          <t>—</t>
        </is>
      </c>
      <c r="D154" s="6" t="inlineStr">
        <is>
          <t>基礎化工與化肥</t>
        </is>
      </c>
      <c r="E154" s="76" t="n">
        <v>37</v>
      </c>
      <c r="F154" s="42" t="n">
        <v>29.49</v>
      </c>
      <c r="G154" s="42" t="n">
        <v>30.08</v>
      </c>
      <c r="H154" s="42" t="n">
        <v>29.64</v>
      </c>
      <c r="I154" s="11">
        <f>F154/G154-1</f>
        <v>-0.019614361702127603</v>
      </c>
      <c r="J154" s="11">
        <f>F154/H154-1</f>
        <v>-0.005060728744939347</v>
      </c>
      <c r="K154" s="13" t="n">
        <v>5884643</v>
      </c>
      <c r="L154" s="13" t="n">
        <v>8650450</v>
      </c>
      <c r="M154" s="43">
        <f>K154/L154</f>
        <v>0.6802701593558717</v>
      </c>
    </row>
    <row r="155">
      <c r="A155" s="41" t="inlineStr">
        <is>
          <t>DRI</t>
        </is>
      </c>
      <c r="B155" s="37" t="inlineStr">
        <is>
          <t>—</t>
        </is>
      </c>
      <c r="C155" s="37" t="inlineStr">
        <is>
          <t>—</t>
        </is>
      </c>
      <c r="D155" s="6" t="inlineStr">
        <is>
          <t>餐飲連鎖</t>
        </is>
      </c>
      <c r="E155" s="76" t="n">
        <v>106</v>
      </c>
      <c r="F155" s="42" t="n">
        <v>206.79</v>
      </c>
      <c r="G155" s="42" t="n">
        <v>208.08</v>
      </c>
      <c r="H155" s="42" t="n">
        <v>207.53</v>
      </c>
      <c r="I155" s="11">
        <f>F155/G155-1</f>
        <v>-0.006199538638985147</v>
      </c>
      <c r="J155" s="11">
        <f>F155/H155-1</f>
        <v>-0.0035657495301884</v>
      </c>
      <c r="K155" s="13" t="n">
        <v>665757</v>
      </c>
      <c r="L155" s="13" t="n">
        <v>983250</v>
      </c>
      <c r="M155" s="43">
        <f>K155/L155</f>
        <v>0.6770983981693364</v>
      </c>
    </row>
    <row r="156">
      <c r="A156" s="41" t="inlineStr">
        <is>
          <t>DTIL</t>
        </is>
      </c>
      <c r="B156" s="37" t="inlineStr">
        <is>
          <t>—</t>
        </is>
      </c>
      <c r="C156" s="37" t="inlineStr">
        <is>
          <t>—</t>
        </is>
      </c>
      <c r="D156" s="6" t="inlineStr">
        <is>
          <t>臨床期中小型生技</t>
        </is>
      </c>
      <c r="E156" s="76" t="n">
        <v>108</v>
      </c>
      <c r="F156" s="42" t="n">
        <v>6.68</v>
      </c>
      <c r="G156" s="42" t="n">
        <v>6.63</v>
      </c>
      <c r="H156" s="42" t="n">
        <v>7.24</v>
      </c>
      <c r="I156" s="11">
        <f>F156/G156-1</f>
        <v>0.007541478129713397</v>
      </c>
      <c r="J156" s="11">
        <f>F156/H156-1</f>
        <v>-0.07734806629834257</v>
      </c>
      <c r="K156" s="13" t="n">
        <v>336471</v>
      </c>
      <c r="L156" s="13" t="n">
        <v>249500</v>
      </c>
      <c r="M156" s="43">
        <f>K156/L156</f>
        <v>1.3485811623246493</v>
      </c>
    </row>
    <row r="157">
      <c r="A157" s="41" t="inlineStr">
        <is>
          <t>DUK</t>
        </is>
      </c>
      <c r="B157" s="37" t="inlineStr">
        <is>
          <t>—</t>
        </is>
      </c>
      <c r="C157" s="37" t="inlineStr">
        <is>
          <t>—</t>
        </is>
      </c>
      <c r="D157" s="6" t="inlineStr">
        <is>
          <t>受監管電力公用</t>
        </is>
      </c>
      <c r="E157" s="76" t="n">
        <v>56</v>
      </c>
      <c r="F157" s="42" t="n">
        <v>118.56</v>
      </c>
      <c r="G157" s="42" t="n">
        <v>117.76</v>
      </c>
      <c r="H157" s="42" t="n">
        <v>119.37</v>
      </c>
      <c r="I157" s="11">
        <f>F157/G157-1</f>
        <v>0.006793478260869623</v>
      </c>
      <c r="J157" s="11">
        <f>F157/H157-1</f>
        <v>-0.006785624528776069</v>
      </c>
      <c r="K157" s="13" t="n">
        <v>2844059</v>
      </c>
      <c r="L157" s="13" t="n">
        <v>3388150</v>
      </c>
      <c r="M157" s="43">
        <f>K157/L157</f>
        <v>0.8394135442645692</v>
      </c>
    </row>
    <row r="158">
      <c r="A158" s="41" t="inlineStr">
        <is>
          <t>DVN</t>
        </is>
      </c>
      <c r="B158" s="37" t="inlineStr">
        <is>
          <t>—</t>
        </is>
      </c>
      <c r="C158" s="37" t="inlineStr">
        <is>
          <t>—</t>
        </is>
      </c>
      <c r="D158" s="6" t="inlineStr">
        <is>
          <t>頁岩E&amp;P勘探生產</t>
        </is>
      </c>
      <c r="E158" s="76" t="n">
        <v>44</v>
      </c>
      <c r="F158" s="42" t="n">
        <v>48.72</v>
      </c>
      <c r="G158" s="42" t="n">
        <v>48.44</v>
      </c>
      <c r="H158" s="42" t="n">
        <v>50.02</v>
      </c>
      <c r="I158" s="11">
        <f>F158/G158-1</f>
        <v>0.005780346820809301</v>
      </c>
      <c r="J158" s="11">
        <f>F158/H158-1</f>
        <v>-0.025989604158336732</v>
      </c>
      <c r="K158" s="13" t="n">
        <v>7366978</v>
      </c>
      <c r="L158" s="13" t="n">
        <v>10321150</v>
      </c>
      <c r="M158" s="43">
        <f>K158/L158</f>
        <v>0.7137749184926099</v>
      </c>
    </row>
    <row r="159">
      <c r="A159" s="41" t="inlineStr">
        <is>
          <t>EBAY</t>
        </is>
      </c>
      <c r="B159" s="37" t="inlineStr">
        <is>
          <t>—</t>
        </is>
      </c>
      <c r="C159" s="37" t="inlineStr">
        <is>
          <t>—</t>
        </is>
      </c>
      <c r="D159" s="6" t="inlineStr">
        <is>
          <t>電商平台</t>
        </is>
      </c>
      <c r="E159" s="76" t="n">
        <v>35</v>
      </c>
      <c r="F159" s="42" t="n">
        <v>112.93</v>
      </c>
      <c r="G159" s="42" t="n">
        <v>109.17</v>
      </c>
      <c r="H159" s="42" t="n">
        <v>105.03</v>
      </c>
      <c r="I159" s="11">
        <f>F159/G159-1</f>
        <v>0.03444169643674999</v>
      </c>
      <c r="J159" s="11">
        <f>F159/H159-1</f>
        <v>0.0752166047795868</v>
      </c>
      <c r="K159" s="13" t="n">
        <v>4423836</v>
      </c>
      <c r="L159" s="13" t="n">
        <v>3883950</v>
      </c>
      <c r="M159" s="43">
        <f>K159/L159</f>
        <v>1.1390043641138532</v>
      </c>
    </row>
    <row r="160">
      <c r="A160" s="41" t="inlineStr">
        <is>
          <t>ECL</t>
        </is>
      </c>
      <c r="B160" s="37" t="inlineStr">
        <is>
          <t>—</t>
        </is>
      </c>
      <c r="C160" s="37" t="inlineStr">
        <is>
          <t>—</t>
        </is>
      </c>
      <c r="D160" s="6" t="inlineStr">
        <is>
          <t>特種化工</t>
        </is>
      </c>
      <c r="E160" s="76" t="n">
        <v>61</v>
      </c>
      <c r="F160" s="42" t="n">
        <v>271.76</v>
      </c>
      <c r="G160" s="42" t="n">
        <v>274.08</v>
      </c>
      <c r="H160" s="42" t="n">
        <v>271.6</v>
      </c>
      <c r="I160" s="11">
        <f>F160/G160-1</f>
        <v>-0.008464681844716826</v>
      </c>
      <c r="J160" s="11">
        <f>F160/H160-1</f>
        <v>0.0005891016200292309</v>
      </c>
      <c r="K160" s="13" t="n">
        <v>627610</v>
      </c>
      <c r="L160" s="13" t="n">
        <v>1369900</v>
      </c>
      <c r="M160" s="43">
        <f>K160/L160</f>
        <v>0.4581429301408862</v>
      </c>
    </row>
    <row r="161">
      <c r="A161" s="41" t="inlineStr">
        <is>
          <t>EE</t>
        </is>
      </c>
      <c r="B161" s="37" t="inlineStr">
        <is>
          <t>—</t>
        </is>
      </c>
      <c r="C161" s="37" t="inlineStr">
        <is>
          <t>—</t>
        </is>
      </c>
      <c r="D161" s="6" t="inlineStr">
        <is>
          <t>LNG液化天然氣</t>
        </is>
      </c>
      <c r="E161" s="76" t="n">
        <v>92</v>
      </c>
      <c r="F161" s="42" t="n">
        <v>36.55</v>
      </c>
      <c r="G161" s="42" t="n">
        <v>37.71</v>
      </c>
      <c r="H161" s="42" t="n">
        <v>38.61</v>
      </c>
      <c r="I161" s="11">
        <f>F161/G161-1</f>
        <v>-0.030761071333863743</v>
      </c>
      <c r="J161" s="11">
        <f>F161/H161-1</f>
        <v>-0.05335405335405341</v>
      </c>
      <c r="K161" s="13" t="n">
        <v>438631</v>
      </c>
      <c r="L161" s="13" t="n">
        <v>383050</v>
      </c>
      <c r="M161" s="43">
        <f>K161/L161</f>
        <v>1.1451011617282338</v>
      </c>
    </row>
    <row r="162">
      <c r="A162" s="41" t="inlineStr">
        <is>
          <t>EGP</t>
        </is>
      </c>
      <c r="B162" s="37" t="inlineStr">
        <is>
          <t>—</t>
        </is>
      </c>
      <c r="C162" s="37" t="inlineStr">
        <is>
          <t>—</t>
        </is>
      </c>
      <c r="D162" s="6" t="inlineStr">
        <is>
          <t>工業與物流REIT</t>
        </is>
      </c>
      <c r="E162" s="76" t="n">
        <v>11</v>
      </c>
      <c r="F162" s="42" t="n">
        <v>201.62</v>
      </c>
      <c r="G162" s="42" t="n">
        <v>197.87</v>
      </c>
      <c r="H162" s="42" t="n">
        <v>196.7</v>
      </c>
      <c r="I162" s="11">
        <f>F162/G162-1</f>
        <v>0.018951837064739463</v>
      </c>
      <c r="J162" s="11">
        <f>F162/H162-1</f>
        <v>0.025012709710218628</v>
      </c>
      <c r="K162" s="13" t="n">
        <v>471945</v>
      </c>
      <c r="L162" s="13" t="n">
        <v>348200</v>
      </c>
      <c r="M162" s="43">
        <f>K162/L162</f>
        <v>1.3553848363009764</v>
      </c>
    </row>
    <row r="163">
      <c r="A163" s="41" t="inlineStr">
        <is>
          <t>EHC</t>
        </is>
      </c>
      <c r="B163" s="37" t="inlineStr">
        <is>
          <t>—</t>
        </is>
      </c>
      <c r="C163" s="37" t="inlineStr">
        <is>
          <t>—</t>
        </is>
      </c>
      <c r="D163" s="6" t="inlineStr">
        <is>
          <t>醫院與醫療服務</t>
        </is>
      </c>
      <c r="E163" s="76" t="n">
        <v>20</v>
      </c>
      <c r="F163" s="42" t="n">
        <v>123.14</v>
      </c>
      <c r="G163" s="42" t="n">
        <v>123.91</v>
      </c>
      <c r="H163" s="42" t="n">
        <v>121.04</v>
      </c>
      <c r="I163" s="11">
        <f>F163/G163-1</f>
        <v>-0.006214187716891306</v>
      </c>
      <c r="J163" s="11">
        <f>F163/H163-1</f>
        <v>0.01734963648380705</v>
      </c>
      <c r="K163" s="13" t="n">
        <v>566840</v>
      </c>
      <c r="L163" s="13" t="n">
        <v>753800</v>
      </c>
      <c r="M163" s="43">
        <f>K163/L163</f>
        <v>0.7519766516317326</v>
      </c>
    </row>
    <row r="164">
      <c r="A164" s="41" t="inlineStr">
        <is>
          <t>EL</t>
        </is>
      </c>
      <c r="B164" s="37" t="inlineStr">
        <is>
          <t>—</t>
        </is>
      </c>
      <c r="C164" s="37" t="inlineStr">
        <is>
          <t>—</t>
        </is>
      </c>
      <c r="D164" s="6" t="inlineStr">
        <is>
          <t>家庭與個人護理</t>
        </is>
      </c>
      <c r="E164" s="76" t="n">
        <v>26</v>
      </c>
      <c r="F164" s="42" t="n">
        <v>93.84</v>
      </c>
      <c r="G164" s="42" t="n">
        <v>95.59999999999999</v>
      </c>
      <c r="H164" s="42" t="n">
        <v>96.47</v>
      </c>
      <c r="I164" s="11">
        <f>F164/G164-1</f>
        <v>-0.018410041841004143</v>
      </c>
      <c r="J164" s="11">
        <f>F164/H164-1</f>
        <v>-0.027262361355861908</v>
      </c>
      <c r="K164" s="13" t="n">
        <v>1712595</v>
      </c>
      <c r="L164" s="13" t="n">
        <v>3200400</v>
      </c>
      <c r="M164" s="43">
        <f>K164/L164</f>
        <v>0.5351190476190476</v>
      </c>
    </row>
    <row r="165">
      <c r="A165" s="41" t="inlineStr">
        <is>
          <t>ELV</t>
        </is>
      </c>
      <c r="B165" s="37" t="inlineStr">
        <is>
          <t>—</t>
        </is>
      </c>
      <c r="C165" s="37" t="inlineStr">
        <is>
          <t>—</t>
        </is>
      </c>
      <c r="D165" s="6" t="inlineStr">
        <is>
          <t>醫療保險與管理式醫療</t>
        </is>
      </c>
      <c r="E165" s="76" t="n">
        <v>93</v>
      </c>
      <c r="F165" s="42" t="n">
        <v>414.24</v>
      </c>
      <c r="G165" s="42" t="n">
        <v>412.56</v>
      </c>
      <c r="H165" s="42" t="n">
        <v>416.54</v>
      </c>
      <c r="I165" s="11">
        <f>F165/G165-1</f>
        <v>0.004072134962187279</v>
      </c>
      <c r="J165" s="11">
        <f>F165/H165-1</f>
        <v>-0.005521678590291512</v>
      </c>
      <c r="K165" s="13" t="n">
        <v>966741</v>
      </c>
      <c r="L165" s="13" t="n">
        <v>1109400</v>
      </c>
      <c r="M165" s="43">
        <f>K165/L165</f>
        <v>0.8714088696592753</v>
      </c>
    </row>
    <row r="166">
      <c r="A166" s="41" t="inlineStr">
        <is>
          <t>EME</t>
        </is>
      </c>
      <c r="B166" s="37" t="inlineStr">
        <is>
          <t>—</t>
        </is>
      </c>
      <c r="C166" s="37" t="inlineStr">
        <is>
          <t>—</t>
        </is>
      </c>
      <c r="D166" s="6" t="inlineStr">
        <is>
          <t>工程建設/EPC</t>
        </is>
      </c>
      <c r="E166" s="76" t="n">
        <v>67</v>
      </c>
      <c r="F166" s="42" t="n">
        <v>729.25</v>
      </c>
      <c r="G166" s="42" t="n">
        <v>739.46</v>
      </c>
      <c r="H166" s="42" t="n">
        <v>748.33</v>
      </c>
      <c r="I166" s="11">
        <f>F166/G166-1</f>
        <v>-0.013807372947826857</v>
      </c>
      <c r="J166" s="11">
        <f>F166/H166-1</f>
        <v>-0.025496772814132873</v>
      </c>
      <c r="K166" s="13" t="n">
        <v>314503</v>
      </c>
      <c r="L166" s="13" t="n">
        <v>332400</v>
      </c>
      <c r="M166" s="43">
        <f>K166/L166</f>
        <v>0.9461582430806258</v>
      </c>
    </row>
    <row r="167">
      <c r="A167" s="41" t="inlineStr">
        <is>
          <t>EMR</t>
        </is>
      </c>
      <c r="B167" s="37" t="inlineStr">
        <is>
          <t>—</t>
        </is>
      </c>
      <c r="C167" s="37" t="inlineStr">
        <is>
          <t>—</t>
        </is>
      </c>
      <c r="D167" s="6" t="inlineStr">
        <is>
          <t>電氣設備與電網</t>
        </is>
      </c>
      <c r="E167" s="76" t="n">
        <v>21</v>
      </c>
      <c r="F167" s="42" t="n">
        <v>147.41</v>
      </c>
      <c r="G167" s="42" t="n">
        <v>145.83</v>
      </c>
      <c r="H167" s="42" t="n">
        <v>148.37</v>
      </c>
      <c r="I167" s="11">
        <f>F167/G167-1</f>
        <v>0.010834533360762455</v>
      </c>
      <c r="J167" s="11">
        <f>F167/H167-1</f>
        <v>-0.006470310709712268</v>
      </c>
      <c r="K167" s="13" t="n">
        <v>1549511</v>
      </c>
      <c r="L167" s="13" t="n">
        <v>2052300</v>
      </c>
      <c r="M167" s="43">
        <f>K167/L167</f>
        <v>0.755011937825854</v>
      </c>
    </row>
    <row r="168">
      <c r="A168" s="41" t="inlineStr">
        <is>
          <t>ENPH</t>
        </is>
      </c>
      <c r="B168" s="37" t="inlineStr">
        <is>
          <t>—</t>
        </is>
      </c>
      <c r="C168" s="37" t="inlineStr">
        <is>
          <t>—</t>
        </is>
      </c>
      <c r="D168" s="6" t="inlineStr">
        <is>
          <t>再生能源與太陽能</t>
        </is>
      </c>
      <c r="E168" s="76" t="n">
        <v>71</v>
      </c>
      <c r="F168" s="42" t="n">
        <v>36.01</v>
      </c>
      <c r="G168" s="42" t="n">
        <v>35.56</v>
      </c>
      <c r="H168" s="42" t="n">
        <v>36.86</v>
      </c>
      <c r="I168" s="11">
        <f>F168/G168-1</f>
        <v>0.012654668166478977</v>
      </c>
      <c r="J168" s="11">
        <f>F168/H168-1</f>
        <v>-0.023060227889310947</v>
      </c>
      <c r="K168" s="13" t="n">
        <v>3473487</v>
      </c>
      <c r="L168" s="13" t="n">
        <v>4020400</v>
      </c>
      <c r="M168" s="43">
        <f>K168/L168</f>
        <v>0.8639655258183265</v>
      </c>
    </row>
    <row r="169">
      <c r="A169" s="41" t="inlineStr">
        <is>
          <t>EOG</t>
        </is>
      </c>
      <c r="B169" s="37" t="inlineStr">
        <is>
          <t>—</t>
        </is>
      </c>
      <c r="C169" s="37" t="inlineStr">
        <is>
          <t>—</t>
        </is>
      </c>
      <c r="D169" s="6" t="inlineStr">
        <is>
          <t>頁岩E&amp;P勘探生產</t>
        </is>
      </c>
      <c r="E169" s="76" t="n">
        <v>44</v>
      </c>
      <c r="F169" s="42" t="n">
        <v>145.27</v>
      </c>
      <c r="G169" s="42" t="n">
        <v>144.93</v>
      </c>
      <c r="H169" s="42" t="n">
        <v>147.46</v>
      </c>
      <c r="I169" s="11">
        <f>F169/G169-1</f>
        <v>0.0023459601186779366</v>
      </c>
      <c r="J169" s="11">
        <f>F169/H169-1</f>
        <v>-0.014851485148514865</v>
      </c>
      <c r="K169" s="13" t="n">
        <v>1766123</v>
      </c>
      <c r="L169" s="13" t="n">
        <v>2993150</v>
      </c>
      <c r="M169" s="43">
        <f>K169/L169</f>
        <v>0.590054958822645</v>
      </c>
    </row>
    <row r="170">
      <c r="A170" s="41" t="inlineStr">
        <is>
          <t>EPAM</t>
        </is>
      </c>
      <c r="B170" s="37" t="inlineStr">
        <is>
          <t>—</t>
        </is>
      </c>
      <c r="C170" s="37" t="inlineStr">
        <is>
          <t>—</t>
        </is>
      </c>
      <c r="D170" s="6" t="inlineStr">
        <is>
          <t>IT服務與系統整合</t>
        </is>
      </c>
      <c r="E170" s="76" t="n">
        <v>43</v>
      </c>
      <c r="F170" s="42" t="n">
        <v>117.12</v>
      </c>
      <c r="G170" s="42" t="n">
        <v>117.17</v>
      </c>
      <c r="H170" s="42" t="n">
        <v>114.52</v>
      </c>
      <c r="I170" s="11">
        <f>F170/G170-1</f>
        <v>-0.0004267303917384613</v>
      </c>
      <c r="J170" s="11">
        <f>F170/H170-1</f>
        <v>0.02270345791128192</v>
      </c>
      <c r="K170" s="13" t="n">
        <v>484520</v>
      </c>
      <c r="L170" s="13" t="n">
        <v>1115350</v>
      </c>
      <c r="M170" s="43">
        <f>K170/L170</f>
        <v>0.43441072309140627</v>
      </c>
    </row>
    <row r="171">
      <c r="A171" s="41" t="inlineStr">
        <is>
          <t>EPD</t>
        </is>
      </c>
      <c r="B171" s="37" t="inlineStr">
        <is>
          <t>—</t>
        </is>
      </c>
      <c r="C171" s="37" t="inlineStr">
        <is>
          <t>—</t>
        </is>
      </c>
      <c r="D171" s="6" t="inlineStr">
        <is>
          <t>中游與管道</t>
        </is>
      </c>
      <c r="E171" s="76" t="n">
        <v>52</v>
      </c>
      <c r="F171" s="42" t="n">
        <v>38.44</v>
      </c>
      <c r="G171" s="42" t="n">
        <v>38.09</v>
      </c>
      <c r="H171" s="42" t="n">
        <v>39.33</v>
      </c>
      <c r="I171" s="11">
        <f>F171/G171-1</f>
        <v>0.00918876345497499</v>
      </c>
      <c r="J171" s="11">
        <f>F171/H171-1</f>
        <v>-0.022629036359013477</v>
      </c>
      <c r="K171" s="13" t="n">
        <v>1831846</v>
      </c>
      <c r="L171" s="13" t="n">
        <v>2284600</v>
      </c>
      <c r="M171" s="43">
        <f>K171/L171</f>
        <v>0.801823513963057</v>
      </c>
    </row>
    <row r="172">
      <c r="A172" s="41" t="inlineStr">
        <is>
          <t>EQH</t>
        </is>
      </c>
      <c r="B172" s="37" t="inlineStr">
        <is>
          <t>—</t>
        </is>
      </c>
      <c r="C172" s="37" t="inlineStr">
        <is>
          <t>—</t>
        </is>
      </c>
      <c r="D172" s="6" t="inlineStr">
        <is>
          <t>壽險與年金</t>
        </is>
      </c>
      <c r="E172" s="76" t="n">
        <v>34</v>
      </c>
      <c r="F172" s="42" t="n">
        <v>54.03</v>
      </c>
      <c r="G172" s="42" t="n">
        <v>53.88</v>
      </c>
      <c r="H172" s="42" t="n">
        <v>52.6</v>
      </c>
      <c r="I172" s="11">
        <f>F172/G172-1</f>
        <v>0.0027839643652560753</v>
      </c>
      <c r="J172" s="11">
        <f>F172/H172-1</f>
        <v>0.027186311787072315</v>
      </c>
      <c r="K172" s="13" t="n">
        <v>2052137</v>
      </c>
      <c r="L172" s="13" t="n">
        <v>2356350</v>
      </c>
      <c r="M172" s="43">
        <f>K172/L172</f>
        <v>0.8708965136758121</v>
      </c>
    </row>
    <row r="173">
      <c r="A173" s="41" t="inlineStr">
        <is>
          <t>EQIX</t>
        </is>
      </c>
      <c r="B173" s="37" t="inlineStr">
        <is>
          <t>—</t>
        </is>
      </c>
      <c r="C173" s="37" t="inlineStr">
        <is>
          <t>—</t>
        </is>
      </c>
      <c r="D173" s="6" t="inlineStr">
        <is>
          <t>資料中心REIT</t>
        </is>
      </c>
      <c r="E173" s="76" t="n">
        <v>12</v>
      </c>
      <c r="F173" s="42" t="n">
        <v>1026.51</v>
      </c>
      <c r="G173" s="42" t="n">
        <v>1016.16</v>
      </c>
      <c r="H173" s="42" t="n">
        <v>1023.81</v>
      </c>
      <c r="I173" s="11">
        <f>F173/G173-1</f>
        <v>0.010185403873405718</v>
      </c>
      <c r="J173" s="11">
        <f>F173/H173-1</f>
        <v>0.0026372080757173233</v>
      </c>
      <c r="K173" s="13" t="n">
        <v>194724</v>
      </c>
      <c r="L173" s="13" t="n">
        <v>508600</v>
      </c>
      <c r="M173" s="43">
        <f>K173/L173</f>
        <v>0.382862760519072</v>
      </c>
    </row>
    <row r="174">
      <c r="A174" s="41" t="inlineStr">
        <is>
          <t>ET</t>
        </is>
      </c>
      <c r="B174" s="37" t="inlineStr">
        <is>
          <t>—</t>
        </is>
      </c>
      <c r="C174" s="37" t="inlineStr">
        <is>
          <t>—</t>
        </is>
      </c>
      <c r="D174" s="6" t="inlineStr">
        <is>
          <t>中游與管道</t>
        </is>
      </c>
      <c r="E174" s="76" t="n">
        <v>52</v>
      </c>
      <c r="F174" s="42" t="n">
        <v>21.06</v>
      </c>
      <c r="G174" s="42" t="n">
        <v>21.11</v>
      </c>
      <c r="H174" s="42" t="n">
        <v>21.73</v>
      </c>
      <c r="I174" s="11">
        <f>F174/G174-1</f>
        <v>-0.002368545712932324</v>
      </c>
      <c r="J174" s="11">
        <f>F174/H174-1</f>
        <v>-0.030832949838932477</v>
      </c>
      <c r="K174" s="13" t="n">
        <v>6641570</v>
      </c>
      <c r="L174" s="13" t="n">
        <v>7416100</v>
      </c>
      <c r="M174" s="43">
        <f>K174/L174</f>
        <v>0.8955610091557558</v>
      </c>
    </row>
    <row r="175">
      <c r="A175" s="74" t="inlineStr">
        <is>
          <t>ETN</t>
        </is>
      </c>
      <c r="B175" s="21" t="inlineStr">
        <is>
          <t>⑥</t>
        </is>
      </c>
      <c r="C175" s="99" t="inlineStr">
        <is>
          <t>—</t>
        </is>
      </c>
      <c r="D175" s="16" t="inlineStr">
        <is>
          <t>電氣設備與電網</t>
        </is>
      </c>
      <c r="E175" s="68" t="n">
        <v>21</v>
      </c>
      <c r="F175" s="100" t="n">
        <v>409.37</v>
      </c>
      <c r="G175" s="100" t="n">
        <v>397.8</v>
      </c>
      <c r="H175" s="100" t="n">
        <v>409.15</v>
      </c>
      <c r="I175" s="17">
        <f>F175/G175-1</f>
        <v>0.029084967320261335</v>
      </c>
      <c r="J175" s="17">
        <f>F175/H175-1</f>
        <v>0.0005377001099842182</v>
      </c>
      <c r="K175" s="101" t="n">
        <v>2155777</v>
      </c>
      <c r="L175" s="101" t="n">
        <v>1762250</v>
      </c>
      <c r="M175" s="102">
        <f>K175/L175</f>
        <v>1.2233094055894453</v>
      </c>
    </row>
    <row r="176">
      <c r="A176" s="41" t="inlineStr">
        <is>
          <t>EVR</t>
        </is>
      </c>
      <c r="B176" s="37" t="inlineStr">
        <is>
          <t>—</t>
        </is>
      </c>
      <c r="C176" s="37" t="inlineStr">
        <is>
          <t>—</t>
        </is>
      </c>
      <c r="D176" s="6" t="inlineStr">
        <is>
          <t>投行與資本巿場</t>
        </is>
      </c>
      <c r="E176" s="76" t="n">
        <v>98</v>
      </c>
      <c r="F176" s="42" t="n">
        <v>263.5</v>
      </c>
      <c r="G176" s="42" t="n">
        <v>261.83</v>
      </c>
      <c r="H176" s="42" t="n">
        <v>283.62</v>
      </c>
      <c r="I176" s="11">
        <f>F176/G176-1</f>
        <v>0.0063781843180690245</v>
      </c>
      <c r="J176" s="11">
        <f>F176/H176-1</f>
        <v>-0.07093999012763563</v>
      </c>
      <c r="K176" s="13" t="n">
        <v>317111</v>
      </c>
      <c r="L176" s="13" t="n">
        <v>436150</v>
      </c>
      <c r="M176" s="43">
        <f>K176/L176</f>
        <v>0.7270686690358822</v>
      </c>
    </row>
    <row r="177">
      <c r="A177" s="41" t="inlineStr">
        <is>
          <t>EXR</t>
        </is>
      </c>
      <c r="B177" s="37" t="inlineStr">
        <is>
          <t>—</t>
        </is>
      </c>
      <c r="C177" s="37" t="inlineStr">
        <is>
          <t>—</t>
        </is>
      </c>
      <c r="D177" s="6" t="inlineStr">
        <is>
          <t>特殊型REIT（自存倉/賭場/廣告牌）</t>
        </is>
      </c>
      <c r="E177" s="76" t="n">
        <v>49</v>
      </c>
      <c r="F177" s="42" t="n">
        <v>139.01</v>
      </c>
      <c r="G177" s="42" t="n">
        <v>136.43</v>
      </c>
      <c r="H177" s="42" t="n">
        <v>136.45</v>
      </c>
      <c r="I177" s="11">
        <f>F177/G177-1</f>
        <v>0.018910796745583713</v>
      </c>
      <c r="J177" s="11">
        <f>F177/H177-1</f>
        <v>0.01876145108098215</v>
      </c>
      <c r="K177" s="13" t="n">
        <v>787171</v>
      </c>
      <c r="L177" s="13" t="n">
        <v>1004300</v>
      </c>
      <c r="M177" s="43">
        <f>K177/L177</f>
        <v>0.7838006571741511</v>
      </c>
    </row>
    <row r="178">
      <c r="A178" s="41" t="inlineStr">
        <is>
          <t>F</t>
        </is>
      </c>
      <c r="B178" s="37" t="inlineStr">
        <is>
          <t>—</t>
        </is>
      </c>
      <c r="C178" s="37" t="inlineStr">
        <is>
          <t>—</t>
        </is>
      </c>
      <c r="D178" s="6" t="inlineStr">
        <is>
          <t>傳統汽車與零部件</t>
        </is>
      </c>
      <c r="E178" s="76" t="n">
        <v>84</v>
      </c>
      <c r="F178" s="42" t="n">
        <v>13.6</v>
      </c>
      <c r="G178" s="42" t="n">
        <v>13.35</v>
      </c>
      <c r="H178" s="42" t="n">
        <v>13.88</v>
      </c>
      <c r="I178" s="11">
        <f>F178/G178-1</f>
        <v>0.01872659176029967</v>
      </c>
      <c r="J178" s="11">
        <f>F178/H178-1</f>
        <v>-0.02017291066282434</v>
      </c>
      <c r="K178" s="13" t="n">
        <v>38679046</v>
      </c>
      <c r="L178" s="13" t="n">
        <v>43153450</v>
      </c>
      <c r="M178" s="43">
        <f>K178/L178</f>
        <v>0.896314106983335</v>
      </c>
    </row>
    <row r="179">
      <c r="A179" s="41" t="inlineStr">
        <is>
          <t>FANG</t>
        </is>
      </c>
      <c r="B179" s="37" t="inlineStr">
        <is>
          <t>—</t>
        </is>
      </c>
      <c r="C179" s="37" t="inlineStr">
        <is>
          <t>—</t>
        </is>
      </c>
      <c r="D179" s="6" t="inlineStr">
        <is>
          <t>頁岩E&amp;P勘探生產</t>
        </is>
      </c>
      <c r="E179" s="76" t="n">
        <v>44</v>
      </c>
      <c r="F179" s="42" t="n">
        <v>196.93</v>
      </c>
      <c r="G179" s="42" t="n">
        <v>194.54</v>
      </c>
      <c r="H179" s="42" t="n">
        <v>205.39</v>
      </c>
      <c r="I179" s="11">
        <f>F179/G179-1</f>
        <v>0.012285391179192029</v>
      </c>
      <c r="J179" s="11">
        <f>F179/H179-1</f>
        <v>-0.041189931350114284</v>
      </c>
      <c r="K179" s="13" t="n">
        <v>3720955</v>
      </c>
      <c r="L179" s="13" t="n">
        <v>1932700</v>
      </c>
      <c r="M179" s="43">
        <f>K179/L179</f>
        <v>1.9252625860195582</v>
      </c>
    </row>
    <row r="180">
      <c r="A180" s="41" t="inlineStr">
        <is>
          <t>FATE</t>
        </is>
      </c>
      <c r="B180" s="37" t="inlineStr">
        <is>
          <t>—</t>
        </is>
      </c>
      <c r="C180" s="37" t="inlineStr">
        <is>
          <t>—</t>
        </is>
      </c>
      <c r="D180" s="6" t="inlineStr">
        <is>
          <t>腫瘤與細胞治療</t>
        </is>
      </c>
      <c r="E180" s="76" t="n">
        <v>30</v>
      </c>
      <c r="F180" s="42" t="n">
        <v>2.53</v>
      </c>
      <c r="G180" s="42" t="n">
        <v>2.44</v>
      </c>
      <c r="H180" s="42" t="n">
        <v>2.33</v>
      </c>
      <c r="I180" s="11">
        <f>F180/G180-1</f>
        <v>0.03688524590163933</v>
      </c>
      <c r="J180" s="11">
        <f>F180/H180-1</f>
        <v>0.0858369098712446</v>
      </c>
      <c r="K180" s="13" t="n">
        <v>5003549</v>
      </c>
      <c r="L180" s="13" t="n">
        <v>1044450</v>
      </c>
      <c r="M180" s="43">
        <f>K180/L180</f>
        <v>4.790606539326919</v>
      </c>
    </row>
    <row r="181">
      <c r="A181" s="41" t="inlineStr">
        <is>
          <t>FCX</t>
        </is>
      </c>
      <c r="B181" s="37" t="inlineStr">
        <is>
          <t>—</t>
        </is>
      </c>
      <c r="C181" s="37" t="inlineStr">
        <is>
          <t>—</t>
        </is>
      </c>
      <c r="D181" s="6" t="inlineStr">
        <is>
          <t>銅與基本金屬</t>
        </is>
      </c>
      <c r="E181" s="76" t="n">
        <v>25</v>
      </c>
      <c r="F181" s="42" t="n">
        <v>70.83499999999999</v>
      </c>
      <c r="G181" s="42" t="n">
        <v>69.23999999999999</v>
      </c>
      <c r="H181" s="42" t="n">
        <v>71.20999999999999</v>
      </c>
      <c r="I181" s="11">
        <f>F181/G181-1</f>
        <v>0.02303581744656258</v>
      </c>
      <c r="J181" s="11">
        <f>F181/H181-1</f>
        <v>-0.0052661143097879615</v>
      </c>
      <c r="K181" s="13" t="n">
        <v>8779034</v>
      </c>
      <c r="L181" s="13" t="n">
        <v>14564300</v>
      </c>
      <c r="M181" s="43">
        <f>K181/L181</f>
        <v>0.6027776137541797</v>
      </c>
    </row>
    <row r="182">
      <c r="A182" s="60" t="inlineStr">
        <is>
          <t>FDX</t>
        </is>
      </c>
      <c r="B182" s="103" t="inlineStr">
        <is>
          <t>—</t>
        </is>
      </c>
      <c r="C182" s="104" t="inlineStr">
        <is>
          <t>A 結構性迴避｜貨運物流</t>
        </is>
      </c>
      <c r="D182" s="23" t="inlineStr">
        <is>
          <t>貨運與物流</t>
        </is>
      </c>
      <c r="E182" s="91" t="n">
        <v>88</v>
      </c>
      <c r="F182" s="61" t="n">
        <v>305.94</v>
      </c>
      <c r="G182" s="61" t="n">
        <v>301.72</v>
      </c>
      <c r="H182" s="61" t="n">
        <v>311.8</v>
      </c>
      <c r="I182" s="24">
        <f>F182/G182-1</f>
        <v>0.013986477528834529</v>
      </c>
      <c r="J182" s="24">
        <f>F182/H182-1</f>
        <v>-0.01879409878127014</v>
      </c>
      <c r="K182" s="62" t="n">
        <v>674165</v>
      </c>
      <c r="L182" s="62" t="n">
        <v>1323200</v>
      </c>
      <c r="M182" s="63">
        <f>K182/L182</f>
        <v>0.5094959189842805</v>
      </c>
    </row>
    <row r="183">
      <c r="A183" s="41" t="inlineStr">
        <is>
          <t>FLEX</t>
        </is>
      </c>
      <c r="B183" s="37" t="inlineStr">
        <is>
          <t>—</t>
        </is>
      </c>
      <c r="C183" s="37" t="inlineStr">
        <is>
          <t>—</t>
        </is>
      </c>
      <c r="D183" s="6" t="inlineStr">
        <is>
          <t>電子硬件與EMS/連接器</t>
        </is>
      </c>
      <c r="E183" s="76" t="n">
        <v>3</v>
      </c>
      <c r="F183" s="42" t="n">
        <v>109.05</v>
      </c>
      <c r="G183" s="42" t="n">
        <v>107.9</v>
      </c>
      <c r="H183" s="42" t="n">
        <v>108.01</v>
      </c>
      <c r="I183" s="11">
        <f>F183/G183-1</f>
        <v>0.01065801668211308</v>
      </c>
      <c r="J183" s="11">
        <f>F183/H183-1</f>
        <v>0.009628738079807242</v>
      </c>
      <c r="K183" s="13" t="n">
        <v>2558791</v>
      </c>
      <c r="L183" s="13" t="n">
        <v>2825300</v>
      </c>
      <c r="M183" s="43">
        <f>K183/L183</f>
        <v>0.9056705482603618</v>
      </c>
    </row>
    <row r="184">
      <c r="A184" s="41" t="inlineStr">
        <is>
          <t>FLR</t>
        </is>
      </c>
      <c r="B184" s="37" t="inlineStr">
        <is>
          <t>—</t>
        </is>
      </c>
      <c r="C184" s="37" t="inlineStr">
        <is>
          <t>—</t>
        </is>
      </c>
      <c r="D184" s="6" t="inlineStr">
        <is>
          <t>工程建設/EPC</t>
        </is>
      </c>
      <c r="E184" s="76" t="n">
        <v>67</v>
      </c>
      <c r="F184" s="42" t="n">
        <v>54.96</v>
      </c>
      <c r="G184" s="42" t="n">
        <v>52.99</v>
      </c>
      <c r="H184" s="42" t="n">
        <v>53.55</v>
      </c>
      <c r="I184" s="11">
        <f>F184/G184-1</f>
        <v>0.03717682581619175</v>
      </c>
      <c r="J184" s="11">
        <f>F184/H184-1</f>
        <v>0.026330532212885283</v>
      </c>
      <c r="K184" s="13" t="n">
        <v>2360165</v>
      </c>
      <c r="L184" s="13" t="n">
        <v>2022800</v>
      </c>
      <c r="M184" s="43">
        <f>K184/L184</f>
        <v>1.166781194384022</v>
      </c>
    </row>
    <row r="185">
      <c r="A185" s="41" t="inlineStr">
        <is>
          <t>FLUT</t>
        </is>
      </c>
      <c r="B185" s="37" t="inlineStr">
        <is>
          <t>—</t>
        </is>
      </c>
      <c r="C185" s="37" t="inlineStr">
        <is>
          <t>—</t>
        </is>
      </c>
      <c r="D185" s="6" t="inlineStr">
        <is>
          <t>博彩與線上博彩</t>
        </is>
      </c>
      <c r="E185" s="76" t="n">
        <v>107</v>
      </c>
      <c r="F185" s="42" t="n">
        <v>92.47</v>
      </c>
      <c r="G185" s="42" t="n">
        <v>97.56</v>
      </c>
      <c r="H185" s="42" t="n">
        <v>98.68000000000001</v>
      </c>
      <c r="I185" s="11">
        <f>F185/G185-1</f>
        <v>-0.05217302173021732</v>
      </c>
      <c r="J185" s="11">
        <f>F185/H185-1</f>
        <v>-0.06293068504256194</v>
      </c>
      <c r="K185" s="13" t="n">
        <v>3337679</v>
      </c>
      <c r="L185" s="13" t="n">
        <v>2000350</v>
      </c>
      <c r="M185" s="43">
        <f>K185/L185</f>
        <v>1.6685475041867672</v>
      </c>
    </row>
    <row r="186">
      <c r="A186" s="41" t="inlineStr">
        <is>
          <t>FR</t>
        </is>
      </c>
      <c r="B186" s="37" t="inlineStr">
        <is>
          <t>—</t>
        </is>
      </c>
      <c r="C186" s="37" t="inlineStr">
        <is>
          <t>—</t>
        </is>
      </c>
      <c r="D186" s="6" t="inlineStr">
        <is>
          <t>工業與物流REIT</t>
        </is>
      </c>
      <c r="E186" s="76" t="n">
        <v>11</v>
      </c>
      <c r="F186" s="42" t="n">
        <v>62.39</v>
      </c>
      <c r="G186" s="42" t="n">
        <v>61.41</v>
      </c>
      <c r="H186" s="42" t="n">
        <v>60.78</v>
      </c>
      <c r="I186" s="11">
        <f>F186/G186-1</f>
        <v>0.01595831297834227</v>
      </c>
      <c r="J186" s="11">
        <f>F186/H186-1</f>
        <v>0.026488976637051742</v>
      </c>
      <c r="K186" s="13" t="n">
        <v>766764</v>
      </c>
      <c r="L186" s="13" t="n">
        <v>736050</v>
      </c>
      <c r="M186" s="43">
        <f>K186/L186</f>
        <v>1.0417281434685144</v>
      </c>
    </row>
    <row r="187">
      <c r="A187" s="41" t="inlineStr">
        <is>
          <t>FRT</t>
        </is>
      </c>
      <c r="B187" s="37" t="inlineStr">
        <is>
          <t>—</t>
        </is>
      </c>
      <c r="C187" s="37" t="inlineStr">
        <is>
          <t>—</t>
        </is>
      </c>
      <c r="D187" s="6" t="inlineStr">
        <is>
          <t>零售與購物中心REIT</t>
        </is>
      </c>
      <c r="E187" s="76" t="n">
        <v>101</v>
      </c>
      <c r="F187" s="42" t="n">
        <v>111.76</v>
      </c>
      <c r="G187" s="42" t="n">
        <v>112.42</v>
      </c>
      <c r="H187" s="42" t="n">
        <v>114.84</v>
      </c>
      <c r="I187" s="11">
        <f>F187/G187-1</f>
        <v>-0.005870841487279788</v>
      </c>
      <c r="J187" s="11">
        <f>F187/H187-1</f>
        <v>-0.026819923371647514</v>
      </c>
      <c r="K187" s="13" t="n">
        <v>678669</v>
      </c>
      <c r="L187" s="13" t="n">
        <v>576750</v>
      </c>
      <c r="M187" s="43">
        <f>K187/L187</f>
        <v>1.1767126137841353</v>
      </c>
    </row>
    <row r="188">
      <c r="A188" s="60" t="inlineStr">
        <is>
          <t>FSLR</t>
        </is>
      </c>
      <c r="B188" s="103" t="inlineStr">
        <is>
          <t>—</t>
        </is>
      </c>
      <c r="C188" s="104" t="inlineStr">
        <is>
          <t>B 由迴避改為中性｜再生能源</t>
        </is>
      </c>
      <c r="D188" s="23" t="inlineStr">
        <is>
          <t>再生能源與太陽能</t>
        </is>
      </c>
      <c r="E188" s="91" t="n">
        <v>71</v>
      </c>
      <c r="F188" s="61" t="n">
        <v>201.2</v>
      </c>
      <c r="G188" s="61" t="n">
        <v>191.07</v>
      </c>
      <c r="H188" s="61" t="n">
        <v>207.17</v>
      </c>
      <c r="I188" s="24">
        <f>F188/G188-1</f>
        <v>0.053017218820327505</v>
      </c>
      <c r="J188" s="24">
        <f>F188/H188-1</f>
        <v>-0.02881691364579808</v>
      </c>
      <c r="K188" s="62" t="n">
        <v>2260188</v>
      </c>
      <c r="L188" s="62" t="n">
        <v>1638700</v>
      </c>
      <c r="M188" s="63">
        <f>K188/L188</f>
        <v>1.3792567278940624</v>
      </c>
    </row>
    <row r="189">
      <c r="A189" s="41" t="inlineStr">
        <is>
          <t>FTNT</t>
        </is>
      </c>
      <c r="B189" s="37" t="inlineStr">
        <is>
          <t>—</t>
        </is>
      </c>
      <c r="C189" s="37" t="inlineStr">
        <is>
          <t>—</t>
        </is>
      </c>
      <c r="D189" s="6" t="inlineStr">
        <is>
          <t>網絡安全</t>
        </is>
      </c>
      <c r="E189" s="76" t="n">
        <v>5</v>
      </c>
      <c r="F189" s="42" t="n">
        <v>172.5</v>
      </c>
      <c r="G189" s="42" t="n">
        <v>171.77</v>
      </c>
      <c r="H189" s="42" t="n">
        <v>158.85</v>
      </c>
      <c r="I189" s="11">
        <f>F189/G189-1</f>
        <v>0.004249869010886531</v>
      </c>
      <c r="J189" s="11">
        <f>F189/H189-1</f>
        <v>0.08593012275731837</v>
      </c>
      <c r="K189" s="13" t="n">
        <v>3619376</v>
      </c>
      <c r="L189" s="13" t="n">
        <v>3856450</v>
      </c>
      <c r="M189" s="43">
        <f>K189/L189</f>
        <v>0.9385253276977531</v>
      </c>
    </row>
    <row r="190">
      <c r="A190" s="41" t="inlineStr">
        <is>
          <t>FWONK</t>
        </is>
      </c>
      <c r="B190" s="37" t="inlineStr">
        <is>
          <t>—</t>
        </is>
      </c>
      <c r="C190" s="37" t="inlineStr">
        <is>
          <t>—</t>
        </is>
      </c>
      <c r="D190" s="6" t="inlineStr">
        <is>
          <t>傳媒與娛樂內容</t>
        </is>
      </c>
      <c r="E190" s="76" t="n">
        <v>68</v>
      </c>
      <c r="F190" s="42" t="n">
        <v>94.2</v>
      </c>
      <c r="G190" s="42" t="n">
        <v>95.36</v>
      </c>
      <c r="H190" s="42" t="n">
        <v>95.44</v>
      </c>
      <c r="I190" s="11">
        <f>F190/G190-1</f>
        <v>-0.01216442953020136</v>
      </c>
      <c r="J190" s="11">
        <f>F190/H190-1</f>
        <v>-0.012992455993294127</v>
      </c>
      <c r="K190" s="13" t="n">
        <v>1218560</v>
      </c>
      <c r="L190" s="13" t="n">
        <v>1793900</v>
      </c>
      <c r="M190" s="43">
        <f>K190/L190</f>
        <v>0.679279781481688</v>
      </c>
    </row>
    <row r="191">
      <c r="A191" s="41" t="inlineStr">
        <is>
          <t>GD</t>
        </is>
      </c>
      <c r="B191" s="37" t="inlineStr">
        <is>
          <t>—</t>
        </is>
      </c>
      <c r="C191" s="37" t="inlineStr">
        <is>
          <t>—</t>
        </is>
      </c>
      <c r="D191" s="6" t="inlineStr">
        <is>
          <t>航太與國防</t>
        </is>
      </c>
      <c r="E191" s="76" t="n">
        <v>72</v>
      </c>
      <c r="F191" s="42" t="n">
        <v>355.93</v>
      </c>
      <c r="G191" s="42" t="n">
        <v>360</v>
      </c>
      <c r="H191" s="42" t="n">
        <v>354.25</v>
      </c>
      <c r="I191" s="11">
        <f>F191/G191-1</f>
        <v>-0.011305555555555569</v>
      </c>
      <c r="J191" s="11">
        <f>F191/H191-1</f>
        <v>0.004742413549752911</v>
      </c>
      <c r="K191" s="13" t="n">
        <v>891302</v>
      </c>
      <c r="L191" s="13" t="n">
        <v>955800</v>
      </c>
      <c r="M191" s="43">
        <f>K191/L191</f>
        <v>0.9325193555137058</v>
      </c>
    </row>
    <row r="192">
      <c r="A192" s="74" t="inlineStr">
        <is>
          <t>GEV</t>
        </is>
      </c>
      <c r="B192" s="21" t="inlineStr">
        <is>
          <t>⑥</t>
        </is>
      </c>
      <c r="C192" s="99" t="inlineStr">
        <is>
          <t>—</t>
        </is>
      </c>
      <c r="D192" s="16" t="inlineStr">
        <is>
          <t>電氣設備與電網</t>
        </is>
      </c>
      <c r="E192" s="68" t="n">
        <v>21</v>
      </c>
      <c r="F192" s="100" t="n">
        <v>925.3200000000001</v>
      </c>
      <c r="G192" s="100" t="n">
        <v>925.09</v>
      </c>
      <c r="H192" s="100" t="n">
        <v>923.91</v>
      </c>
      <c r="I192" s="17">
        <f>F192/G192-1</f>
        <v>0.0002486244581607622</v>
      </c>
      <c r="J192" s="17">
        <f>F192/H192-1</f>
        <v>0.0015261226742866452</v>
      </c>
      <c r="K192" s="101" t="n">
        <v>2789734</v>
      </c>
      <c r="L192" s="101" t="n">
        <v>1958000</v>
      </c>
      <c r="M192" s="102">
        <f>K192/L192</f>
        <v>1.4247875383043922</v>
      </c>
    </row>
    <row r="193">
      <c r="A193" s="41" t="inlineStr">
        <is>
          <t>GFS</t>
        </is>
      </c>
      <c r="B193" s="37" t="inlineStr">
        <is>
          <t>—</t>
        </is>
      </c>
      <c r="C193" s="37" t="inlineStr">
        <is>
          <t>—</t>
        </is>
      </c>
      <c r="D193" s="6" t="inlineStr">
        <is>
          <t>晶圓代工/IDM</t>
        </is>
      </c>
      <c r="E193" s="76" t="n">
        <v>9</v>
      </c>
      <c r="F193" s="42" t="n">
        <v>45.84</v>
      </c>
      <c r="G193" s="42" t="n">
        <v>43.03</v>
      </c>
      <c r="H193" s="42" t="n">
        <v>45.96</v>
      </c>
      <c r="I193" s="11">
        <f>F193/G193-1</f>
        <v>0.06530327678363945</v>
      </c>
      <c r="J193" s="11">
        <f>F193/H193-1</f>
        <v>-0.0026109660574411553</v>
      </c>
      <c r="K193" s="13" t="n">
        <v>5724978</v>
      </c>
      <c r="L193" s="13" t="n">
        <v>3555450</v>
      </c>
      <c r="M193" s="43">
        <f>K193/L193</f>
        <v>1.6101978652491247</v>
      </c>
    </row>
    <row r="194">
      <c r="A194" s="41" t="inlineStr">
        <is>
          <t>GILD</t>
        </is>
      </c>
      <c r="B194" s="37" t="inlineStr">
        <is>
          <t>—</t>
        </is>
      </c>
      <c r="C194" s="37" t="inlineStr">
        <is>
          <t>—</t>
        </is>
      </c>
      <c r="D194" s="6" t="inlineStr">
        <is>
          <t>大型生物科技</t>
        </is>
      </c>
      <c r="E194" s="76" t="n">
        <v>19</v>
      </c>
      <c r="F194" s="42" t="n">
        <v>150.87</v>
      </c>
      <c r="G194" s="42" t="n">
        <v>147.68</v>
      </c>
      <c r="H194" s="42" t="n">
        <v>144.81</v>
      </c>
      <c r="I194" s="11">
        <f>F194/G194-1</f>
        <v>0.02160075839653297</v>
      </c>
      <c r="J194" s="11">
        <f>F194/H194-1</f>
        <v>0.04184793867826819</v>
      </c>
      <c r="K194" s="13" t="n">
        <v>4380425</v>
      </c>
      <c r="L194" s="13" t="n">
        <v>5101350</v>
      </c>
      <c r="M194" s="43">
        <f>K194/L194</f>
        <v>0.8586795652131298</v>
      </c>
    </row>
    <row r="195">
      <c r="A195" s="41" t="inlineStr">
        <is>
          <t>GIS</t>
        </is>
      </c>
      <c r="B195" s="37" t="inlineStr">
        <is>
          <t>—</t>
        </is>
      </c>
      <c r="C195" s="37" t="inlineStr">
        <is>
          <t>—</t>
        </is>
      </c>
      <c r="D195" s="6" t="inlineStr">
        <is>
          <t>食品加工</t>
        </is>
      </c>
      <c r="E195" s="76" t="n">
        <v>46</v>
      </c>
      <c r="F195" s="42" t="n">
        <v>36.665</v>
      </c>
      <c r="G195" s="42" t="n">
        <v>36.81</v>
      </c>
      <c r="H195" s="42" t="n">
        <v>35.96</v>
      </c>
      <c r="I195" s="11">
        <f>F195/G195-1</f>
        <v>-0.003939146970931895</v>
      </c>
      <c r="J195" s="11">
        <f>F195/H195-1</f>
        <v>0.01960511679644039</v>
      </c>
      <c r="K195" s="13" t="n">
        <v>3915690</v>
      </c>
      <c r="L195" s="13" t="n">
        <v>8411400</v>
      </c>
      <c r="M195" s="43">
        <f>K195/L195</f>
        <v>0.46552179185391257</v>
      </c>
    </row>
    <row r="196">
      <c r="A196" s="41" t="inlineStr">
        <is>
          <t>GLNG</t>
        </is>
      </c>
      <c r="B196" s="37" t="inlineStr">
        <is>
          <t>—</t>
        </is>
      </c>
      <c r="C196" s="37" t="inlineStr">
        <is>
          <t>—</t>
        </is>
      </c>
      <c r="D196" s="6" t="inlineStr">
        <is>
          <t>LNG液化天然氣</t>
        </is>
      </c>
      <c r="E196" s="76" t="n">
        <v>92</v>
      </c>
      <c r="F196" s="42" t="n">
        <v>50.79</v>
      </c>
      <c r="G196" s="42" t="n">
        <v>50.36</v>
      </c>
      <c r="H196" s="42" t="n">
        <v>52.69</v>
      </c>
      <c r="I196" s="11">
        <f>F196/G196-1</f>
        <v>0.008538522637013601</v>
      </c>
      <c r="J196" s="11">
        <f>F196/H196-1</f>
        <v>-0.036059973429493186</v>
      </c>
      <c r="K196" s="13" t="n">
        <v>977509</v>
      </c>
      <c r="L196" s="13" t="n">
        <v>1149500</v>
      </c>
      <c r="M196" s="43">
        <f>K196/L196</f>
        <v>0.8503775554588952</v>
      </c>
    </row>
    <row r="197">
      <c r="A197" s="41" t="inlineStr">
        <is>
          <t>GLPI</t>
        </is>
      </c>
      <c r="B197" s="37" t="inlineStr">
        <is>
          <t>—</t>
        </is>
      </c>
      <c r="C197" s="37" t="inlineStr">
        <is>
          <t>—</t>
        </is>
      </c>
      <c r="D197" s="6" t="inlineStr">
        <is>
          <t>特殊型REIT（自存倉/賭場/廣告牌）</t>
        </is>
      </c>
      <c r="E197" s="76" t="n">
        <v>49</v>
      </c>
      <c r="F197" s="42" t="n">
        <v>40.1</v>
      </c>
      <c r="G197" s="42" t="n">
        <v>40.35</v>
      </c>
      <c r="H197" s="42" t="n">
        <v>40.98</v>
      </c>
      <c r="I197" s="11">
        <f>F197/G197-1</f>
        <v>-0.006195786864931829</v>
      </c>
      <c r="J197" s="11">
        <f>F197/H197-1</f>
        <v>-0.02147388970229369</v>
      </c>
      <c r="K197" s="13" t="n">
        <v>1615681</v>
      </c>
      <c r="L197" s="13" t="n">
        <v>3586250</v>
      </c>
      <c r="M197" s="43">
        <f>K197/L197</f>
        <v>0.45052101777622866</v>
      </c>
    </row>
    <row r="198">
      <c r="A198" s="41" t="inlineStr">
        <is>
          <t>GM</t>
        </is>
      </c>
      <c r="B198" s="37" t="inlineStr">
        <is>
          <t>—</t>
        </is>
      </c>
      <c r="C198" s="37" t="inlineStr">
        <is>
          <t>—</t>
        </is>
      </c>
      <c r="D198" s="6" t="inlineStr">
        <is>
          <t>傳統汽車與零部件</t>
        </is>
      </c>
      <c r="E198" s="76" t="n">
        <v>84</v>
      </c>
      <c r="F198" s="42" t="n">
        <v>86.59999999999999</v>
      </c>
      <c r="G198" s="42" t="n">
        <v>84.29000000000001</v>
      </c>
      <c r="H198" s="42" t="n">
        <v>86.12</v>
      </c>
      <c r="I198" s="11">
        <f>F198/G198-1</f>
        <v>0.02740538616680488</v>
      </c>
      <c r="J198" s="11">
        <f>F198/H198-1</f>
        <v>0.005573618207152631</v>
      </c>
      <c r="K198" s="13" t="n">
        <v>5222122</v>
      </c>
      <c r="L198" s="13" t="n">
        <v>5722700</v>
      </c>
      <c r="M198" s="43">
        <f>K198/L198</f>
        <v>0.912527653030912</v>
      </c>
    </row>
    <row r="199">
      <c r="A199" s="41" t="inlineStr">
        <is>
          <t>GOLD</t>
        </is>
      </c>
      <c r="B199" s="37" t="inlineStr">
        <is>
          <t>—</t>
        </is>
      </c>
      <c r="C199" s="37" t="inlineStr">
        <is>
          <t>—</t>
        </is>
      </c>
      <c r="D199" s="6" t="inlineStr">
        <is>
          <t>黃金與貴金屬礦</t>
        </is>
      </c>
      <c r="E199" s="76" t="n">
        <v>28</v>
      </c>
      <c r="F199" s="42" t="n">
        <v>46.905</v>
      </c>
      <c r="G199" s="42" t="n">
        <v>46.82</v>
      </c>
      <c r="H199" s="42" t="n">
        <v>45.88</v>
      </c>
      <c r="I199" s="11">
        <f>F199/G199-1</f>
        <v>0.0018154634771465616</v>
      </c>
      <c r="J199" s="11">
        <f>F199/H199-1</f>
        <v>0.02234088927637301</v>
      </c>
      <c r="K199" s="13" t="n">
        <v>417275</v>
      </c>
      <c r="L199" s="13" t="n">
        <v>583450</v>
      </c>
      <c r="M199" s="43">
        <f>K199/L199</f>
        <v>0.7151855343217071</v>
      </c>
    </row>
    <row r="200">
      <c r="A200" s="41" t="inlineStr">
        <is>
          <t>GOOGL</t>
        </is>
      </c>
      <c r="B200" s="37" t="inlineStr">
        <is>
          <t>—</t>
        </is>
      </c>
      <c r="C200" s="37" t="inlineStr">
        <is>
          <t>—</t>
        </is>
      </c>
      <c r="D200" s="6" t="inlineStr">
        <is>
          <t>大型網絡平台與數位廣告、雲端基建/IaaS/Neocloud</t>
        </is>
      </c>
      <c r="E200" s="76" t="n">
        <v>7</v>
      </c>
      <c r="F200" s="42" t="n">
        <v>347.38</v>
      </c>
      <c r="G200" s="42" t="n">
        <v>342.87</v>
      </c>
      <c r="H200" s="42" t="n">
        <v>332.6</v>
      </c>
      <c r="I200" s="11">
        <f>F200/G200-1</f>
        <v>0.013153673403913935</v>
      </c>
      <c r="J200" s="11">
        <f>F200/H200-1</f>
        <v>0.04443776307877312</v>
      </c>
      <c r="K200" s="13" t="n">
        <v>13942298</v>
      </c>
      <c r="L200" s="13" t="n">
        <v>23052550</v>
      </c>
      <c r="M200" s="43">
        <f>K200/L200</f>
        <v>0.6048050215702818</v>
      </c>
    </row>
    <row r="201">
      <c r="A201" s="41" t="inlineStr">
        <is>
          <t>GPN</t>
        </is>
      </c>
      <c r="B201" s="37" t="inlineStr">
        <is>
          <t>—</t>
        </is>
      </c>
      <c r="C201" s="37" t="inlineStr">
        <is>
          <t>—</t>
        </is>
      </c>
      <c r="D201" s="6" t="inlineStr">
        <is>
          <t>支付與收單</t>
        </is>
      </c>
      <c r="E201" s="76" t="n">
        <v>58</v>
      </c>
      <c r="F201" s="42" t="n">
        <v>85.39</v>
      </c>
      <c r="G201" s="42" t="n">
        <v>86.48999999999999</v>
      </c>
      <c r="H201" s="42" t="n">
        <v>88.55</v>
      </c>
      <c r="I201" s="11">
        <f>F201/G201-1</f>
        <v>-0.012718233321771244</v>
      </c>
      <c r="J201" s="11">
        <f>F201/H201-1</f>
        <v>-0.035686053077357394</v>
      </c>
      <c r="K201" s="13" t="n">
        <v>1224046</v>
      </c>
      <c r="L201" s="13" t="n">
        <v>2404350</v>
      </c>
      <c r="M201" s="43">
        <f>K201/L201</f>
        <v>0.5090964293884002</v>
      </c>
    </row>
    <row r="202">
      <c r="A202" s="60" t="inlineStr">
        <is>
          <t>GS</t>
        </is>
      </c>
      <c r="B202" s="103" t="inlineStr">
        <is>
          <t>—</t>
        </is>
      </c>
      <c r="C202" s="104" t="inlineStr">
        <is>
          <t>A 結構性迴避｜投行</t>
        </is>
      </c>
      <c r="D202" s="23" t="inlineStr">
        <is>
          <t>投行與資本巿場</t>
        </is>
      </c>
      <c r="E202" s="91" t="n">
        <v>98</v>
      </c>
      <c r="F202" s="61" t="n">
        <v>951.15</v>
      </c>
      <c r="G202" s="61" t="n">
        <v>937.98</v>
      </c>
      <c r="H202" s="61" t="n">
        <v>1019.77</v>
      </c>
      <c r="I202" s="24">
        <f>F202/G202-1</f>
        <v>0.014040811104714335</v>
      </c>
      <c r="J202" s="24">
        <f>F202/H202-1</f>
        <v>-0.06728968296772797</v>
      </c>
      <c r="K202" s="62" t="n">
        <v>2592863</v>
      </c>
      <c r="L202" s="62" t="n">
        <v>1800900</v>
      </c>
      <c r="M202" s="63">
        <f>K202/L202</f>
        <v>1.4397595646621133</v>
      </c>
    </row>
    <row r="203">
      <c r="A203" s="60" t="inlineStr">
        <is>
          <t>HAL</t>
        </is>
      </c>
      <c r="B203" s="103" t="inlineStr">
        <is>
          <t>—</t>
        </is>
      </c>
      <c r="C203" s="104" t="inlineStr">
        <is>
          <t>A 結構性迴避｜油田服務</t>
        </is>
      </c>
      <c r="D203" s="23" t="inlineStr">
        <is>
          <t>油田服務</t>
        </is>
      </c>
      <c r="E203" s="91" t="n">
        <v>103</v>
      </c>
      <c r="F203" s="61" t="n">
        <v>34.03</v>
      </c>
      <c r="G203" s="61" t="n">
        <v>34.51</v>
      </c>
      <c r="H203" s="61" t="n">
        <v>36.07</v>
      </c>
      <c r="I203" s="24">
        <f>F203/G203-1</f>
        <v>-0.01390901188061422</v>
      </c>
      <c r="J203" s="24">
        <f>F203/H203-1</f>
        <v>-0.056556695314665895</v>
      </c>
      <c r="K203" s="62" t="n">
        <v>11076403</v>
      </c>
      <c r="L203" s="62" t="n">
        <v>10010150</v>
      </c>
      <c r="M203" s="63">
        <f>K203/L203</f>
        <v>1.106517185057167</v>
      </c>
    </row>
    <row r="204">
      <c r="A204" s="41" t="inlineStr">
        <is>
          <t>HBM</t>
        </is>
      </c>
      <c r="B204" s="37" t="inlineStr">
        <is>
          <t>—</t>
        </is>
      </c>
      <c r="C204" s="37" t="inlineStr">
        <is>
          <t>—</t>
        </is>
      </c>
      <c r="D204" s="6" t="inlineStr">
        <is>
          <t>銅與基本金屬</t>
        </is>
      </c>
      <c r="E204" s="76" t="n">
        <v>25</v>
      </c>
      <c r="F204" s="42" t="n">
        <v>26.44</v>
      </c>
      <c r="G204" s="42" t="n">
        <v>25.26</v>
      </c>
      <c r="H204" s="42" t="n">
        <v>26.65</v>
      </c>
      <c r="I204" s="11">
        <f>F204/G204-1</f>
        <v>0.046714172604908955</v>
      </c>
      <c r="J204" s="11">
        <f>F204/H204-1</f>
        <v>-0.00787992495309553</v>
      </c>
      <c r="K204" s="13" t="n">
        <v>2278592</v>
      </c>
      <c r="L204" s="13" t="n">
        <v>3685100</v>
      </c>
      <c r="M204" s="43">
        <f>K204/L204</f>
        <v>0.6183256899405715</v>
      </c>
    </row>
    <row r="205">
      <c r="A205" s="74" t="inlineStr">
        <is>
          <t>HCA</t>
        </is>
      </c>
      <c r="B205" s="21" t="inlineStr">
        <is>
          <t>⑦</t>
        </is>
      </c>
      <c r="C205" s="99" t="inlineStr">
        <is>
          <t>—</t>
        </is>
      </c>
      <c r="D205" s="16" t="inlineStr">
        <is>
          <t>醫院與醫療服務</t>
        </is>
      </c>
      <c r="E205" s="68" t="n">
        <v>20</v>
      </c>
      <c r="F205" s="100" t="n">
        <v>429.15</v>
      </c>
      <c r="G205" s="100" t="n">
        <v>430.43</v>
      </c>
      <c r="H205" s="100" t="n">
        <v>421.21</v>
      </c>
      <c r="I205" s="17">
        <f>F205/G205-1</f>
        <v>-0.002973770415630961</v>
      </c>
      <c r="J205" s="17">
        <f>F205/H205-1</f>
        <v>0.018850454642577397</v>
      </c>
      <c r="K205" s="101" t="n">
        <v>858794</v>
      </c>
      <c r="L205" s="101" t="n">
        <v>1319750</v>
      </c>
      <c r="M205" s="102">
        <f>K205/L205</f>
        <v>0.6507247584769843</v>
      </c>
    </row>
    <row r="206">
      <c r="A206" s="41" t="inlineStr">
        <is>
          <t>HCC</t>
        </is>
      </c>
      <c r="B206" s="37" t="inlineStr">
        <is>
          <t>—</t>
        </is>
      </c>
      <c r="C206" s="37" t="inlineStr">
        <is>
          <t>—</t>
        </is>
      </c>
      <c r="D206" s="6" t="inlineStr">
        <is>
          <t>煤炭</t>
        </is>
      </c>
      <c r="E206" s="76" t="n">
        <v>111</v>
      </c>
      <c r="F206" s="42" t="n">
        <v>91.88</v>
      </c>
      <c r="G206" s="42" t="n">
        <v>92.72</v>
      </c>
      <c r="H206" s="42" t="n">
        <v>101.65</v>
      </c>
      <c r="I206" s="11">
        <f>F206/G206-1</f>
        <v>-0.009059534081104492</v>
      </c>
      <c r="J206" s="11">
        <f>F206/H206-1</f>
        <v>-0.09611411706837192</v>
      </c>
      <c r="K206" s="13" t="n">
        <v>451116</v>
      </c>
      <c r="L206" s="13" t="n">
        <v>554800</v>
      </c>
      <c r="M206" s="43">
        <f>K206/L206</f>
        <v>0.8131146359048306</v>
      </c>
    </row>
    <row r="207">
      <c r="A207" s="41" t="inlineStr">
        <is>
          <t>HD</t>
        </is>
      </c>
      <c r="B207" s="37" t="inlineStr">
        <is>
          <t>—</t>
        </is>
      </c>
      <c r="C207" s="37" t="inlineStr">
        <is>
          <t>—</t>
        </is>
      </c>
      <c r="D207" s="6" t="inlineStr">
        <is>
          <t>專門零售</t>
        </is>
      </c>
      <c r="E207" s="76" t="n">
        <v>62</v>
      </c>
      <c r="F207" s="42" t="n">
        <v>302.5</v>
      </c>
      <c r="G207" s="42" t="n">
        <v>302.47</v>
      </c>
      <c r="H207" s="42" t="n">
        <v>305.69</v>
      </c>
      <c r="I207" s="11">
        <f>F207/G207-1</f>
        <v>9.918339008807564e-05</v>
      </c>
      <c r="J207" s="11">
        <f>F207/H207-1</f>
        <v>-0.010435408420295111</v>
      </c>
      <c r="K207" s="13" t="n">
        <v>3136734</v>
      </c>
      <c r="L207" s="13" t="n">
        <v>3614850</v>
      </c>
      <c r="M207" s="43">
        <f>K207/L207</f>
        <v>0.8677355906884103</v>
      </c>
    </row>
    <row r="208">
      <c r="A208" s="41" t="inlineStr">
        <is>
          <t>HIMS</t>
        </is>
      </c>
      <c r="B208" s="37" t="inlineStr">
        <is>
          <t>—</t>
        </is>
      </c>
      <c r="C208" s="37" t="inlineStr">
        <is>
          <t>—</t>
        </is>
      </c>
      <c r="D208" s="6" t="inlineStr">
        <is>
          <t>數位醫療與遠距醫療</t>
        </is>
      </c>
      <c r="E208" s="76" t="n">
        <v>55</v>
      </c>
      <c r="F208" s="42" t="n">
        <v>27.895</v>
      </c>
      <c r="G208" s="42" t="n">
        <v>28</v>
      </c>
      <c r="H208" s="42" t="n">
        <v>27.44</v>
      </c>
      <c r="I208" s="11">
        <f>F208/G208-1</f>
        <v>-0.003750000000000031</v>
      </c>
      <c r="J208" s="11">
        <f>F208/H208-1</f>
        <v>0.01658163265306123</v>
      </c>
      <c r="K208" s="13" t="n">
        <v>7586454</v>
      </c>
      <c r="L208" s="13" t="n">
        <v>9091600</v>
      </c>
      <c r="M208" s="43">
        <f>K208/L208</f>
        <v>0.8344465220643231</v>
      </c>
    </row>
    <row r="209">
      <c r="A209" s="41" t="inlineStr">
        <is>
          <t>HIW</t>
        </is>
      </c>
      <c r="B209" s="37" t="inlineStr">
        <is>
          <t>—</t>
        </is>
      </c>
      <c r="C209" s="37" t="inlineStr">
        <is>
          <t>—</t>
        </is>
      </c>
      <c r="D209" s="6" t="inlineStr">
        <is>
          <t>辦公樓REIT</t>
        </is>
      </c>
      <c r="E209" s="76" t="n">
        <v>29</v>
      </c>
      <c r="F209" s="42" t="n">
        <v>30.79</v>
      </c>
      <c r="G209" s="42" t="n">
        <v>30.7</v>
      </c>
      <c r="H209" s="42" t="n">
        <v>30.44</v>
      </c>
      <c r="I209" s="11">
        <f>F209/G209-1</f>
        <v>0.002931596091205302</v>
      </c>
      <c r="J209" s="11">
        <f>F209/H209-1</f>
        <v>0.011498028909329827</v>
      </c>
      <c r="K209" s="13" t="n">
        <v>602706</v>
      </c>
      <c r="L209" s="13" t="n">
        <v>1080000</v>
      </c>
      <c r="M209" s="43">
        <f>K209/L209</f>
        <v>0.5580611111111111</v>
      </c>
    </row>
    <row r="210">
      <c r="A210" s="41" t="inlineStr">
        <is>
          <t>HL</t>
        </is>
      </c>
      <c r="B210" s="37" t="inlineStr">
        <is>
          <t>—</t>
        </is>
      </c>
      <c r="C210" s="37" t="inlineStr">
        <is>
          <t>—</t>
        </is>
      </c>
      <c r="D210" s="6" t="inlineStr">
        <is>
          <t>白銀礦</t>
        </is>
      </c>
      <c r="E210" s="76" t="n">
        <v>59</v>
      </c>
      <c r="F210" s="42" t="n">
        <v>18.955</v>
      </c>
      <c r="G210" s="42" t="n">
        <v>17.99</v>
      </c>
      <c r="H210" s="42" t="n">
        <v>20.02</v>
      </c>
      <c r="I210" s="11">
        <f>F210/G210-1</f>
        <v>0.053640911617565346</v>
      </c>
      <c r="J210" s="11">
        <f>F210/H210-1</f>
        <v>-0.05319680319680331</v>
      </c>
      <c r="K210" s="13" t="n">
        <v>59813886</v>
      </c>
      <c r="L210" s="13" t="n">
        <v>29982850</v>
      </c>
      <c r="M210" s="43">
        <f>K210/L210</f>
        <v>1.9949366387785017</v>
      </c>
    </row>
    <row r="211">
      <c r="A211" s="41" t="inlineStr">
        <is>
          <t>HLT</t>
        </is>
      </c>
      <c r="B211" s="37" t="inlineStr">
        <is>
          <t>—</t>
        </is>
      </c>
      <c r="C211" s="37" t="inlineStr">
        <is>
          <t>—</t>
        </is>
      </c>
      <c r="D211" s="6" t="inlineStr">
        <is>
          <t>酒店與郵輪</t>
        </is>
      </c>
      <c r="E211" s="76" t="n">
        <v>85</v>
      </c>
      <c r="F211" s="42" t="n">
        <v>302.66</v>
      </c>
      <c r="G211" s="42" t="n">
        <v>305.63</v>
      </c>
      <c r="H211" s="42" t="n">
        <v>306.24</v>
      </c>
      <c r="I211" s="11">
        <f>F211/G211-1</f>
        <v>-0.009717632431371137</v>
      </c>
      <c r="J211" s="11">
        <f>F211/H211-1</f>
        <v>-0.01169017763845348</v>
      </c>
      <c r="K211" s="13" t="n">
        <v>798914</v>
      </c>
      <c r="L211" s="13" t="n">
        <v>1650050</v>
      </c>
      <c r="M211" s="43">
        <f>K211/L211</f>
        <v>0.4841756310414836</v>
      </c>
    </row>
    <row r="212">
      <c r="A212" s="41" t="inlineStr">
        <is>
          <t>HON</t>
        </is>
      </c>
      <c r="B212" s="37" t="inlineStr">
        <is>
          <t>—</t>
        </is>
      </c>
      <c r="C212" s="37" t="inlineStr">
        <is>
          <t>—</t>
        </is>
      </c>
      <c r="D212" s="6" t="inlineStr">
        <is>
          <t>機械與重工</t>
        </is>
      </c>
      <c r="E212" s="76" t="n">
        <v>38</v>
      </c>
      <c r="F212" s="42" t="n">
        <v>206.49</v>
      </c>
      <c r="G212" s="42" t="n">
        <v>207.66</v>
      </c>
      <c r="H212" s="42" t="n">
        <v>202.18</v>
      </c>
      <c r="I212" s="11">
        <f>F212/G212-1</f>
        <v>-0.005634209765963516</v>
      </c>
      <c r="J212" s="11">
        <f>F212/H212-1</f>
        <v>0.021317637748540896</v>
      </c>
      <c r="K212" s="13" t="n">
        <v>1563153</v>
      </c>
      <c r="L212" s="13" t="n">
        <v>2588400</v>
      </c>
      <c r="M212" s="43">
        <f>K212/L212</f>
        <v>0.603907046824293</v>
      </c>
    </row>
    <row r="213">
      <c r="A213" s="60" t="inlineStr">
        <is>
          <t>HOOD</t>
        </is>
      </c>
      <c r="B213" s="103" t="inlineStr">
        <is>
          <t>—</t>
        </is>
      </c>
      <c r="C213" s="104" t="inlineStr">
        <is>
          <t>B 由迴避改為中性｜數位資產</t>
        </is>
      </c>
      <c r="D213" s="23" t="inlineStr">
        <is>
          <t>數位資產金融與礦業轉HPC</t>
        </is>
      </c>
      <c r="E213" s="91" t="n">
        <v>51</v>
      </c>
      <c r="F213" s="61" t="n">
        <v>109.81</v>
      </c>
      <c r="G213" s="61" t="n">
        <v>104.42</v>
      </c>
      <c r="H213" s="61" t="n">
        <v>113.33</v>
      </c>
      <c r="I213" s="24">
        <f>F213/G213-1</f>
        <v>0.05161846389580549</v>
      </c>
      <c r="J213" s="24">
        <f>F213/H213-1</f>
        <v>-0.031059737051089664</v>
      </c>
      <c r="K213" s="62" t="n">
        <v>20094312</v>
      </c>
      <c r="L213" s="62" t="n">
        <v>22391850</v>
      </c>
      <c r="M213" s="63">
        <f>K213/L213</f>
        <v>0.897394007194582</v>
      </c>
    </row>
    <row r="214">
      <c r="A214" s="41" t="inlineStr">
        <is>
          <t>HRB</t>
        </is>
      </c>
      <c r="B214" s="37" t="inlineStr">
        <is>
          <t>—</t>
        </is>
      </c>
      <c r="C214" s="37" t="inlineStr">
        <is>
          <t>—</t>
        </is>
      </c>
      <c r="D214" s="6" t="inlineStr">
        <is>
          <t>教育與消費服務</t>
        </is>
      </c>
      <c r="E214" s="76" t="n">
        <v>74</v>
      </c>
      <c r="F214" s="42" t="n">
        <v>44.8</v>
      </c>
      <c r="G214" s="42" t="n">
        <v>45.11</v>
      </c>
      <c r="H214" s="42" t="n">
        <v>44.88</v>
      </c>
      <c r="I214" s="11">
        <f>F214/G214-1</f>
        <v>-0.006872090445577572</v>
      </c>
      <c r="J214" s="11">
        <f>F214/H214-1</f>
        <v>-0.0017825311942960553</v>
      </c>
      <c r="K214" s="13" t="n">
        <v>1520872</v>
      </c>
      <c r="L214" s="13" t="n">
        <v>1526750</v>
      </c>
      <c r="M214" s="43">
        <f>K214/L214</f>
        <v>0.9961499918126739</v>
      </c>
    </row>
    <row r="215">
      <c r="A215" s="41" t="inlineStr">
        <is>
          <t>HSY</t>
        </is>
      </c>
      <c r="B215" s="37" t="inlineStr">
        <is>
          <t>—</t>
        </is>
      </c>
      <c r="C215" s="37" t="inlineStr">
        <is>
          <t>—</t>
        </is>
      </c>
      <c r="D215" s="6" t="inlineStr">
        <is>
          <t>食品加工</t>
        </is>
      </c>
      <c r="E215" s="76" t="n">
        <v>46</v>
      </c>
      <c r="F215" s="42" t="n">
        <v>168.32</v>
      </c>
      <c r="G215" s="42" t="n">
        <v>170.79</v>
      </c>
      <c r="H215" s="42" t="n">
        <v>174.34</v>
      </c>
      <c r="I215" s="11">
        <f>F215/G215-1</f>
        <v>-0.014462205047133914</v>
      </c>
      <c r="J215" s="11">
        <f>F215/H215-1</f>
        <v>-0.034530228289549214</v>
      </c>
      <c r="K215" s="13" t="n">
        <v>1147489</v>
      </c>
      <c r="L215" s="13" t="n">
        <v>1121650</v>
      </c>
      <c r="M215" s="43">
        <f>K215/L215</f>
        <v>1.0230365978692106</v>
      </c>
    </row>
    <row r="216">
      <c r="A216" s="41" t="inlineStr">
        <is>
          <t>HTO</t>
        </is>
      </c>
      <c r="B216" s="37" t="inlineStr">
        <is>
          <t>—</t>
        </is>
      </c>
      <c r="C216" s="37" t="inlineStr">
        <is>
          <t>—</t>
        </is>
      </c>
      <c r="D216" s="6" t="inlineStr">
        <is>
          <t>水務公用</t>
        </is>
      </c>
      <c r="E216" s="76" t="n">
        <v>39</v>
      </c>
      <c r="F216" s="42" t="n">
        <v>63.07</v>
      </c>
      <c r="G216" s="42" t="n">
        <v>63.14</v>
      </c>
      <c r="H216" s="42" t="n">
        <v>63.03</v>
      </c>
      <c r="I216" s="11">
        <f>F216/G216-1</f>
        <v>-0.0011086474501108556</v>
      </c>
      <c r="J216" s="11">
        <f>F216/H216-1</f>
        <v>0.0006346184356655904</v>
      </c>
      <c r="K216" s="13" t="n">
        <v>186422</v>
      </c>
      <c r="L216" s="13" t="n">
        <v>360000</v>
      </c>
      <c r="M216" s="43">
        <f>K216/L216</f>
        <v>0.5178388888888888</v>
      </c>
    </row>
    <row r="217">
      <c r="A217" s="41" t="inlineStr">
        <is>
          <t>HUBB</t>
        </is>
      </c>
      <c r="B217" s="37" t="inlineStr">
        <is>
          <t>—</t>
        </is>
      </c>
      <c r="C217" s="37" t="inlineStr">
        <is>
          <t>—</t>
        </is>
      </c>
      <c r="D217" s="6" t="inlineStr">
        <is>
          <t>電氣設備與電網</t>
        </is>
      </c>
      <c r="E217" s="76" t="n">
        <v>21</v>
      </c>
      <c r="F217" s="42" t="n">
        <v>443.23</v>
      </c>
      <c r="G217" s="42" t="n">
        <v>439.07</v>
      </c>
      <c r="H217" s="42" t="n">
        <v>452.41</v>
      </c>
      <c r="I217" s="11">
        <f>F217/G217-1</f>
        <v>0.00947457125287543</v>
      </c>
      <c r="J217" s="11">
        <f>F217/H217-1</f>
        <v>-0.020291328662054298</v>
      </c>
      <c r="K217" s="13" t="n">
        <v>655401</v>
      </c>
      <c r="L217" s="13" t="n">
        <v>447771.5</v>
      </c>
      <c r="M217" s="43">
        <f>K217/L217</f>
        <v>1.4636952106152357</v>
      </c>
    </row>
    <row r="218">
      <c r="A218" s="41" t="inlineStr">
        <is>
          <t>HUM</t>
        </is>
      </c>
      <c r="B218" s="37" t="inlineStr">
        <is>
          <t>—</t>
        </is>
      </c>
      <c r="C218" s="37" t="inlineStr">
        <is>
          <t>—</t>
        </is>
      </c>
      <c r="D218" s="6" t="inlineStr">
        <is>
          <t>醫療保險與管理式醫療</t>
        </is>
      </c>
      <c r="E218" s="76" t="n">
        <v>93</v>
      </c>
      <c r="F218" s="42" t="n">
        <v>384.76</v>
      </c>
      <c r="G218" s="42" t="n">
        <v>384.72</v>
      </c>
      <c r="H218" s="42" t="n">
        <v>400.73</v>
      </c>
      <c r="I218" s="11">
        <f>F218/G218-1</f>
        <v>0.00010397171969223074</v>
      </c>
      <c r="J218" s="11">
        <f>F218/H218-1</f>
        <v>-0.03985226960796551</v>
      </c>
      <c r="K218" s="13" t="n">
        <v>621686</v>
      </c>
      <c r="L218" s="13" t="n">
        <v>938500</v>
      </c>
      <c r="M218" s="43">
        <f>K218/L218</f>
        <v>0.662425146510389</v>
      </c>
    </row>
    <row r="219">
      <c r="A219" s="41" t="inlineStr">
        <is>
          <t>IBM</t>
        </is>
      </c>
      <c r="B219" s="37" t="inlineStr">
        <is>
          <t>—</t>
        </is>
      </c>
      <c r="C219" s="37" t="inlineStr">
        <is>
          <t>—</t>
        </is>
      </c>
      <c r="D219" s="6" t="inlineStr">
        <is>
          <t>IT服務與系統整合</t>
        </is>
      </c>
      <c r="E219" s="76" t="n">
        <v>43</v>
      </c>
      <c r="F219" s="42" t="n">
        <v>237.75</v>
      </c>
      <c r="G219" s="42" t="n">
        <v>237.49</v>
      </c>
      <c r="H219" s="42" t="n">
        <v>234.02</v>
      </c>
      <c r="I219" s="11">
        <f>F219/G219-1</f>
        <v>0.0010947829382288443</v>
      </c>
      <c r="J219" s="11">
        <f>F219/H219-1</f>
        <v>0.015938808648833458</v>
      </c>
      <c r="K219" s="13" t="n">
        <v>4215712</v>
      </c>
      <c r="L219" s="13" t="n">
        <v>4719450</v>
      </c>
      <c r="M219" s="43">
        <f>K219/L219</f>
        <v>0.893263409931242</v>
      </c>
    </row>
    <row r="220">
      <c r="A220" s="41" t="inlineStr">
        <is>
          <t>ICE</t>
        </is>
      </c>
      <c r="B220" s="37" t="inlineStr">
        <is>
          <t>—</t>
        </is>
      </c>
      <c r="C220" s="37" t="inlineStr">
        <is>
          <t>—</t>
        </is>
      </c>
      <c r="D220" s="6" t="inlineStr">
        <is>
          <t>交易所與金融數據</t>
        </is>
      </c>
      <c r="E220" s="76" t="n">
        <v>90</v>
      </c>
      <c r="F220" s="42" t="n">
        <v>153.29</v>
      </c>
      <c r="G220" s="42" t="n">
        <v>154.1</v>
      </c>
      <c r="H220" s="42" t="n">
        <v>155.81</v>
      </c>
      <c r="I220" s="11">
        <f>F220/G220-1</f>
        <v>-0.005256327060350396</v>
      </c>
      <c r="J220" s="11">
        <f>F220/H220-1</f>
        <v>-0.016173544701880593</v>
      </c>
      <c r="K220" s="13" t="n">
        <v>2006070</v>
      </c>
      <c r="L220" s="13" t="n">
        <v>3151800</v>
      </c>
      <c r="M220" s="43">
        <f>K220/L220</f>
        <v>0.6364839139539311</v>
      </c>
    </row>
    <row r="221">
      <c r="A221" s="41" t="inlineStr">
        <is>
          <t>ILMN</t>
        </is>
      </c>
      <c r="B221" s="37" t="inlineStr">
        <is>
          <t>—</t>
        </is>
      </c>
      <c r="C221" s="37" t="inlineStr">
        <is>
          <t>—</t>
        </is>
      </c>
      <c r="D221" s="6" t="inlineStr">
        <is>
          <t>診斷與生命科學工具</t>
        </is>
      </c>
      <c r="E221" s="76" t="n">
        <v>1</v>
      </c>
      <c r="F221" s="42" t="n">
        <v>245.13</v>
      </c>
      <c r="G221" s="42" t="n">
        <v>228.93</v>
      </c>
      <c r="H221" s="42" t="n">
        <v>201.27</v>
      </c>
      <c r="I221" s="11">
        <f>F221/G221-1</f>
        <v>0.07076398899226843</v>
      </c>
      <c r="J221" s="11">
        <f>F221/H221-1</f>
        <v>0.21791623192726184</v>
      </c>
      <c r="K221" s="13" t="n">
        <v>2998864</v>
      </c>
      <c r="L221" s="13" t="n">
        <v>1917400</v>
      </c>
      <c r="M221" s="43">
        <f>K221/L221</f>
        <v>1.5640262855950766</v>
      </c>
    </row>
    <row r="222">
      <c r="A222" s="41" t="inlineStr">
        <is>
          <t>INFY</t>
        </is>
      </c>
      <c r="B222" s="37" t="inlineStr">
        <is>
          <t>—</t>
        </is>
      </c>
      <c r="C222" s="37" t="inlineStr">
        <is>
          <t>—</t>
        </is>
      </c>
      <c r="D222" s="6" t="inlineStr">
        <is>
          <t>IT服務與系統整合</t>
        </is>
      </c>
      <c r="E222" s="76" t="n">
        <v>43</v>
      </c>
      <c r="F222" s="42" t="n">
        <v>11.08</v>
      </c>
      <c r="G222" s="42" t="n">
        <v>11.08</v>
      </c>
      <c r="H222" s="42" t="n">
        <v>10.91</v>
      </c>
      <c r="I222" s="11">
        <f>F222/G222-1</f>
        <v>0.0</v>
      </c>
      <c r="J222" s="11">
        <f>F222/H222-1</f>
        <v>0.015582034830430747</v>
      </c>
      <c r="K222" s="13" t="n">
        <v>7431333</v>
      </c>
      <c r="L222" s="13" t="n">
        <v>15973100</v>
      </c>
      <c r="M222" s="43">
        <f>K222/L222</f>
        <v>0.46524049808740947</v>
      </c>
    </row>
    <row r="223">
      <c r="A223" s="41" t="inlineStr">
        <is>
          <t>INGR</t>
        </is>
      </c>
      <c r="B223" s="37" t="inlineStr">
        <is>
          <t>—</t>
        </is>
      </c>
      <c r="C223" s="37" t="inlineStr">
        <is>
          <t>—</t>
        </is>
      </c>
      <c r="D223" s="6" t="inlineStr">
        <is>
          <t>農產品與農業投入</t>
        </is>
      </c>
      <c r="E223" s="76" t="n">
        <v>70</v>
      </c>
      <c r="F223" s="42" t="n">
        <v>99.06</v>
      </c>
      <c r="G223" s="42" t="n">
        <v>98.48</v>
      </c>
      <c r="H223" s="42" t="n">
        <v>101.13</v>
      </c>
      <c r="I223" s="11">
        <f>F223/G223-1</f>
        <v>0.005889520714865926</v>
      </c>
      <c r="J223" s="11">
        <f>F223/H223-1</f>
        <v>-0.02046870364876885</v>
      </c>
      <c r="K223" s="13" t="n">
        <v>628063</v>
      </c>
      <c r="L223" s="13" t="n">
        <v>570000</v>
      </c>
      <c r="M223" s="43">
        <f>K223/L223</f>
        <v>1.1018649122807018</v>
      </c>
    </row>
    <row r="224">
      <c r="A224" s="41" t="inlineStr">
        <is>
          <t>INTC</t>
        </is>
      </c>
      <c r="B224" s="37" t="inlineStr">
        <is>
          <t>—</t>
        </is>
      </c>
      <c r="C224" s="37" t="inlineStr">
        <is>
          <t>—</t>
        </is>
      </c>
      <c r="D224" s="6" t="inlineStr">
        <is>
          <t>晶圓代工/IDM</t>
        </is>
      </c>
      <c r="E224" s="76" t="n">
        <v>9</v>
      </c>
      <c r="F224" s="42" t="n">
        <v>108.75</v>
      </c>
      <c r="G224" s="42" t="n">
        <v>101.05</v>
      </c>
      <c r="H224" s="42" t="n">
        <v>100.32</v>
      </c>
      <c r="I224" s="11">
        <f>F224/G224-1</f>
        <v>0.07619990103908969</v>
      </c>
      <c r="J224" s="11">
        <f>F224/H224-1</f>
        <v>0.08403110047846907</v>
      </c>
      <c r="K224" s="13" t="n">
        <v>126683854</v>
      </c>
      <c r="L224" s="13" t="n">
        <v>89330250</v>
      </c>
      <c r="M224" s="43">
        <f>K224/L224</f>
        <v>1.4181517906868055</v>
      </c>
    </row>
    <row r="225">
      <c r="A225" s="41" t="inlineStr">
        <is>
          <t>INVH</t>
        </is>
      </c>
      <c r="B225" s="37" t="inlineStr">
        <is>
          <t>—</t>
        </is>
      </c>
      <c r="C225" s="37" t="inlineStr">
        <is>
          <t>—</t>
        </is>
      </c>
      <c r="D225" s="6" t="inlineStr">
        <is>
          <t>住宅公寓REIT</t>
        </is>
      </c>
      <c r="E225" s="76" t="n">
        <v>99</v>
      </c>
      <c r="F225" s="42" t="n">
        <v>27.145</v>
      </c>
      <c r="G225" s="42" t="n">
        <v>27.21</v>
      </c>
      <c r="H225" s="42" t="n">
        <v>27.56</v>
      </c>
      <c r="I225" s="11">
        <f>F225/G225-1</f>
        <v>-0.002388827636898294</v>
      </c>
      <c r="J225" s="11">
        <f>F225/H225-1</f>
        <v>-0.015058055152394778</v>
      </c>
      <c r="K225" s="13" t="n">
        <v>3340012</v>
      </c>
      <c r="L225" s="13" t="n">
        <v>4003900</v>
      </c>
      <c r="M225" s="43">
        <f>K225/L225</f>
        <v>0.8341896650765503</v>
      </c>
    </row>
    <row r="226">
      <c r="A226" s="60" t="inlineStr">
        <is>
          <t>IONQ</t>
        </is>
      </c>
      <c r="B226" s="103" t="inlineStr">
        <is>
          <t>—</t>
        </is>
      </c>
      <c r="C226" s="104" t="inlineStr">
        <is>
          <t>B 由迴避改為中性｜量子運算</t>
        </is>
      </c>
      <c r="D226" s="23" t="inlineStr">
        <is>
          <t>量子運算</t>
        </is>
      </c>
      <c r="E226" s="91" t="n">
        <v>15</v>
      </c>
      <c r="F226" s="61" t="n">
        <v>40.365</v>
      </c>
      <c r="G226" s="61" t="n">
        <v>36.84</v>
      </c>
      <c r="H226" s="61" t="n">
        <v>36.84</v>
      </c>
      <c r="I226" s="24">
        <f>F226/G226-1</f>
        <v>0.09568403908794787</v>
      </c>
      <c r="J226" s="24">
        <f>F226/H226-1</f>
        <v>0.09568403908794787</v>
      </c>
      <c r="K226" s="62" t="n">
        <v>19994776</v>
      </c>
      <c r="L226" s="62" t="n">
        <v>15609650</v>
      </c>
      <c r="M226" s="63">
        <f>K226/L226</f>
        <v>1.28092404378061</v>
      </c>
    </row>
    <row r="227">
      <c r="A227" s="41" t="inlineStr">
        <is>
          <t>IONS</t>
        </is>
      </c>
      <c r="B227" s="37" t="inlineStr">
        <is>
          <t>—</t>
        </is>
      </c>
      <c r="C227" s="37" t="inlineStr">
        <is>
          <t>—</t>
        </is>
      </c>
      <c r="D227" s="6" t="inlineStr">
        <is>
          <t>臨床期中小型生技</t>
        </is>
      </c>
      <c r="E227" s="76" t="n">
        <v>108</v>
      </c>
      <c r="F227" s="42" t="n">
        <v>46.76</v>
      </c>
      <c r="G227" s="42" t="n">
        <v>44.84</v>
      </c>
      <c r="H227" s="42" t="n">
        <v>55.65</v>
      </c>
      <c r="I227" s="11">
        <f>F227/G227-1</f>
        <v>0.0428189116859945</v>
      </c>
      <c r="J227" s="11">
        <f>F227/H227-1</f>
        <v>-0.15974842767295594</v>
      </c>
      <c r="K227" s="13" t="n">
        <v>3312122</v>
      </c>
      <c r="L227" s="13" t="n">
        <v>2551550</v>
      </c>
      <c r="M227" s="43">
        <f>K227/L227</f>
        <v>1.2980823421057788</v>
      </c>
    </row>
    <row r="228">
      <c r="A228" s="41" t="inlineStr">
        <is>
          <t>IOVA</t>
        </is>
      </c>
      <c r="B228" s="37" t="inlineStr">
        <is>
          <t>—</t>
        </is>
      </c>
      <c r="C228" s="37" t="inlineStr">
        <is>
          <t>—</t>
        </is>
      </c>
      <c r="D228" s="6" t="inlineStr">
        <is>
          <t>腫瘤與細胞治療</t>
        </is>
      </c>
      <c r="E228" s="76" t="n">
        <v>30</v>
      </c>
      <c r="F228" s="42" t="n">
        <v>10.005</v>
      </c>
      <c r="G228" s="42" t="n">
        <v>9.869999999999999</v>
      </c>
      <c r="H228" s="42" t="n">
        <v>8.140000000000001</v>
      </c>
      <c r="I228" s="11">
        <f>F228/G228-1</f>
        <v>0.01367781155015213</v>
      </c>
      <c r="J228" s="11">
        <f>F228/H228-1</f>
        <v>0.22911547911547903</v>
      </c>
      <c r="K228" s="13" t="n">
        <v>22464327</v>
      </c>
      <c r="L228" s="13" t="n">
        <v>12027350</v>
      </c>
      <c r="M228" s="43">
        <f>K228/L228</f>
        <v>1.867770290213555</v>
      </c>
    </row>
    <row r="229">
      <c r="A229" s="41" t="inlineStr">
        <is>
          <t>IP</t>
        </is>
      </c>
      <c r="B229" s="37" t="inlineStr">
        <is>
          <t>—</t>
        </is>
      </c>
      <c r="C229" s="37" t="inlineStr">
        <is>
          <t>—</t>
        </is>
      </c>
      <c r="D229" s="6" t="inlineStr">
        <is>
          <t>包裝與建材</t>
        </is>
      </c>
      <c r="E229" s="76" t="n">
        <v>60</v>
      </c>
      <c r="F229" s="42" t="n">
        <v>35.545</v>
      </c>
      <c r="G229" s="42" t="n">
        <v>34.06</v>
      </c>
      <c r="H229" s="42" t="n">
        <v>34.29</v>
      </c>
      <c r="I229" s="11">
        <f>F229/G229-1</f>
        <v>0.043599530240751694</v>
      </c>
      <c r="J229" s="11">
        <f>F229/H229-1</f>
        <v>0.036599591717701996</v>
      </c>
      <c r="K229" s="13" t="n">
        <v>7627453</v>
      </c>
      <c r="L229" s="13" t="n">
        <v>4146550</v>
      </c>
      <c r="M229" s="43">
        <f>K229/L229</f>
        <v>1.8394696796131724</v>
      </c>
    </row>
    <row r="230">
      <c r="A230" s="41" t="inlineStr">
        <is>
          <t>IREN</t>
        </is>
      </c>
      <c r="B230" s="37" t="inlineStr">
        <is>
          <t>—</t>
        </is>
      </c>
      <c r="C230" s="37" t="inlineStr">
        <is>
          <t>—</t>
        </is>
      </c>
      <c r="D230" s="6" t="inlineStr">
        <is>
          <t>數位資產金融與礦業轉HPC</t>
        </is>
      </c>
      <c r="E230" s="76" t="n">
        <v>51</v>
      </c>
      <c r="F230" s="42" t="n">
        <v>43.505</v>
      </c>
      <c r="G230" s="42" t="n">
        <v>42.62</v>
      </c>
      <c r="H230" s="42" t="n">
        <v>43.64</v>
      </c>
      <c r="I230" s="11">
        <f>F230/G230-1</f>
        <v>0.02076489910839996</v>
      </c>
      <c r="J230" s="11">
        <f>F230/H230-1</f>
        <v>-0.0030934922089825845</v>
      </c>
      <c r="K230" s="13" t="n">
        <v>42828427</v>
      </c>
      <c r="L230" s="13" t="n">
        <v>37881550</v>
      </c>
      <c r="M230" s="43">
        <f>K230/L230</f>
        <v>1.130588030320829</v>
      </c>
    </row>
    <row r="231">
      <c r="A231" s="41" t="inlineStr">
        <is>
          <t>ISRG</t>
        </is>
      </c>
      <c r="B231" s="37" t="inlineStr">
        <is>
          <t>—</t>
        </is>
      </c>
      <c r="C231" s="37" t="inlineStr">
        <is>
          <t>—</t>
        </is>
      </c>
      <c r="D231" s="6" t="inlineStr">
        <is>
          <t>醫療器械</t>
        </is>
      </c>
      <c r="E231" s="76" t="n">
        <v>27</v>
      </c>
      <c r="F231" s="42" t="n">
        <v>383.57</v>
      </c>
      <c r="G231" s="42" t="n">
        <v>382.29</v>
      </c>
      <c r="H231" s="42" t="n">
        <v>360.46</v>
      </c>
      <c r="I231" s="11">
        <f>F231/G231-1</f>
        <v>0.0033482434800804484</v>
      </c>
      <c r="J231" s="11">
        <f>F231/H231-1</f>
        <v>0.06411252288742175</v>
      </c>
      <c r="K231" s="13" t="n">
        <v>1835009</v>
      </c>
      <c r="L231" s="13" t="n">
        <v>2031650</v>
      </c>
      <c r="M231" s="43">
        <f>K231/L231</f>
        <v>0.9032111830285728</v>
      </c>
    </row>
    <row r="232">
      <c r="A232" s="41" t="inlineStr">
        <is>
          <t>J</t>
        </is>
      </c>
      <c r="B232" s="37" t="inlineStr">
        <is>
          <t>—</t>
        </is>
      </c>
      <c r="C232" s="37" t="inlineStr">
        <is>
          <t>—</t>
        </is>
      </c>
      <c r="D232" s="6" t="inlineStr">
        <is>
          <t>工程建設/EPC</t>
        </is>
      </c>
      <c r="E232" s="76" t="n">
        <v>67</v>
      </c>
      <c r="F232" s="42" t="n">
        <v>144.16</v>
      </c>
      <c r="G232" s="42" t="n">
        <v>143.49</v>
      </c>
      <c r="H232" s="42" t="n">
        <v>140.53</v>
      </c>
      <c r="I232" s="11">
        <f>F232/G232-1</f>
        <v>0.004669314934838686</v>
      </c>
      <c r="J232" s="11">
        <f>F232/H232-1</f>
        <v>0.025830783462605922</v>
      </c>
      <c r="K232" s="13" t="n">
        <v>358727</v>
      </c>
      <c r="L232" s="13" t="n">
        <v>731950</v>
      </c>
      <c r="M232" s="43">
        <f>K232/L232</f>
        <v>0.4900976842680511</v>
      </c>
    </row>
    <row r="233">
      <c r="A233" s="41" t="inlineStr">
        <is>
          <t>JBHT</t>
        </is>
      </c>
      <c r="B233" s="37" t="inlineStr">
        <is>
          <t>—</t>
        </is>
      </c>
      <c r="C233" s="37" t="inlineStr">
        <is>
          <t>—</t>
        </is>
      </c>
      <c r="D233" s="6" t="inlineStr">
        <is>
          <t>貨運與物流</t>
        </is>
      </c>
      <c r="E233" s="76" t="n">
        <v>88</v>
      </c>
      <c r="F233" s="42" t="n">
        <v>236.8</v>
      </c>
      <c r="G233" s="42" t="n">
        <v>236.73</v>
      </c>
      <c r="H233" s="42" t="n">
        <v>267.83</v>
      </c>
      <c r="I233" s="11">
        <f>F233/G233-1</f>
        <v>0.00029569551810082473</v>
      </c>
      <c r="J233" s="11">
        <f>F233/H233-1</f>
        <v>-0.11585707351678298</v>
      </c>
      <c r="K233" s="13" t="n">
        <v>1551717</v>
      </c>
      <c r="L233" s="13" t="n">
        <v>802150</v>
      </c>
      <c r="M233" s="43">
        <f>K233/L233</f>
        <v>1.9344474225518917</v>
      </c>
    </row>
    <row r="234">
      <c r="A234" s="41" t="inlineStr">
        <is>
          <t>JBL</t>
        </is>
      </c>
      <c r="B234" s="37" t="inlineStr">
        <is>
          <t>—</t>
        </is>
      </c>
      <c r="C234" s="37" t="inlineStr">
        <is>
          <t>—</t>
        </is>
      </c>
      <c r="D234" s="6" t="inlineStr">
        <is>
          <t>電子硬件與EMS/連接器</t>
        </is>
      </c>
      <c r="E234" s="76" t="n">
        <v>3</v>
      </c>
      <c r="F234" s="42" t="n">
        <v>296.04</v>
      </c>
      <c r="G234" s="42" t="n">
        <v>297.24</v>
      </c>
      <c r="H234" s="42" t="n">
        <v>302.8</v>
      </c>
      <c r="I234" s="11">
        <f>F234/G234-1</f>
        <v>-0.004037141703673752</v>
      </c>
      <c r="J234" s="11">
        <f>F234/H234-1</f>
        <v>-0.02232496697490094</v>
      </c>
      <c r="K234" s="13" t="n">
        <v>674634</v>
      </c>
      <c r="L234" s="13" t="n">
        <v>917950</v>
      </c>
      <c r="M234" s="43">
        <f>K234/L234</f>
        <v>0.7349354540007625</v>
      </c>
    </row>
    <row r="235">
      <c r="A235" s="41" t="inlineStr">
        <is>
          <t>JCI</t>
        </is>
      </c>
      <c r="B235" s="37" t="inlineStr">
        <is>
          <t>—</t>
        </is>
      </c>
      <c r="C235" s="37" t="inlineStr">
        <is>
          <t>—</t>
        </is>
      </c>
      <c r="D235" s="6" t="inlineStr">
        <is>
          <t>樓宇產品與HVAC</t>
        </is>
      </c>
      <c r="E235" s="76" t="n">
        <v>75</v>
      </c>
      <c r="F235" s="42" t="n">
        <v>141.05</v>
      </c>
      <c r="G235" s="42" t="n">
        <v>140.47</v>
      </c>
      <c r="H235" s="42" t="n">
        <v>142.81</v>
      </c>
      <c r="I235" s="11">
        <f>F235/G235-1</f>
        <v>0.004128995515056744</v>
      </c>
      <c r="J235" s="11">
        <f>F235/H235-1</f>
        <v>-0.012324066942090872</v>
      </c>
      <c r="K235" s="13" t="n">
        <v>1855539</v>
      </c>
      <c r="L235" s="13" t="n">
        <v>3034050</v>
      </c>
      <c r="M235" s="43">
        <f>K235/L235</f>
        <v>0.6115716616403817</v>
      </c>
    </row>
    <row r="236">
      <c r="A236" s="41" t="inlineStr">
        <is>
          <t>JEF</t>
        </is>
      </c>
      <c r="B236" s="37" t="inlineStr">
        <is>
          <t>—</t>
        </is>
      </c>
      <c r="C236" s="37" t="inlineStr">
        <is>
          <t>—</t>
        </is>
      </c>
      <c r="D236" s="6" t="inlineStr">
        <is>
          <t>投行與資本巿場</t>
        </is>
      </c>
      <c r="E236" s="76" t="n">
        <v>98</v>
      </c>
      <c r="F236" s="42" t="n">
        <v>47.87</v>
      </c>
      <c r="G236" s="42" t="n">
        <v>47.35</v>
      </c>
      <c r="H236" s="42" t="n">
        <v>53.93</v>
      </c>
      <c r="I236" s="11">
        <f>F236/G236-1</f>
        <v>0.010982048574445624</v>
      </c>
      <c r="J236" s="11">
        <f>F236/H236-1</f>
        <v>-0.11236788429445577</v>
      </c>
      <c r="K236" s="13" t="n">
        <v>2150583</v>
      </c>
      <c r="L236" s="13" t="n">
        <v>1489800</v>
      </c>
      <c r="M236" s="43">
        <f>K236/L236</f>
        <v>1.443538058799839</v>
      </c>
    </row>
    <row r="237">
      <c r="A237" s="41" t="inlineStr">
        <is>
          <t>JLL</t>
        </is>
      </c>
      <c r="B237" s="37" t="inlineStr">
        <is>
          <t>—</t>
        </is>
      </c>
      <c r="C237" s="37" t="inlineStr">
        <is>
          <t>—</t>
        </is>
      </c>
      <c r="D237" s="6" t="inlineStr">
        <is>
          <t>地產開發與服務</t>
        </is>
      </c>
      <c r="E237" s="76" t="n">
        <v>86</v>
      </c>
      <c r="F237" s="42" t="n">
        <v>336.715</v>
      </c>
      <c r="G237" s="42" t="n">
        <v>340.18</v>
      </c>
      <c r="H237" s="42" t="n">
        <v>342.16</v>
      </c>
      <c r="I237" s="11">
        <f>F237/G237-1</f>
        <v>-0.010185783996707665</v>
      </c>
      <c r="J237" s="11">
        <f>F237/H237-1</f>
        <v>-0.01591360766892691</v>
      </c>
      <c r="K237" s="13" t="n">
        <v>172536</v>
      </c>
      <c r="L237" s="13" t="n">
        <v>284000</v>
      </c>
      <c r="M237" s="43">
        <f>K237/L237</f>
        <v>0.6075211267605634</v>
      </c>
    </row>
    <row r="238">
      <c r="A238" s="41" t="inlineStr">
        <is>
          <t>JNJ</t>
        </is>
      </c>
      <c r="B238" s="37" t="inlineStr">
        <is>
          <t>—</t>
        </is>
      </c>
      <c r="C238" s="37" t="inlineStr">
        <is>
          <t>—</t>
        </is>
      </c>
      <c r="D238" s="6" t="inlineStr">
        <is>
          <t>大型藥廠</t>
        </is>
      </c>
      <c r="E238" s="76" t="n">
        <v>18</v>
      </c>
      <c r="F238" s="42" t="n">
        <v>270.27</v>
      </c>
      <c r="G238" s="42" t="n">
        <v>267.28</v>
      </c>
      <c r="H238" s="42" t="n">
        <v>266.35</v>
      </c>
      <c r="I238" s="11">
        <f>F238/G238-1</f>
        <v>0.011186770428015524</v>
      </c>
      <c r="J238" s="11">
        <f>F238/H238-1</f>
        <v>0.014717477003941992</v>
      </c>
      <c r="K238" s="13" t="n">
        <v>4082665</v>
      </c>
      <c r="L238" s="13" t="n">
        <v>5986950</v>
      </c>
      <c r="M238" s="43">
        <f>K238/L238</f>
        <v>0.6819273586717778</v>
      </c>
    </row>
    <row r="239">
      <c r="A239" s="41" t="inlineStr">
        <is>
          <t>JPM</t>
        </is>
      </c>
      <c r="B239" s="37" t="inlineStr">
        <is>
          <t>—</t>
        </is>
      </c>
      <c r="C239" s="37" t="inlineStr">
        <is>
          <t>—</t>
        </is>
      </c>
      <c r="D239" s="6" t="inlineStr">
        <is>
          <t>大型全能銀行</t>
        </is>
      </c>
      <c r="E239" s="76" t="n">
        <v>82</v>
      </c>
      <c r="F239" s="42" t="n">
        <v>349.34</v>
      </c>
      <c r="G239" s="42" t="n">
        <v>348.92</v>
      </c>
      <c r="H239" s="42" t="n">
        <v>353.56</v>
      </c>
      <c r="I239" s="11">
        <f>F239/G239-1</f>
        <v>0.0012037143184682186</v>
      </c>
      <c r="J239" s="11">
        <f>F239/H239-1</f>
        <v>-0.011935739337029183</v>
      </c>
      <c r="K239" s="13" t="n">
        <v>4524738</v>
      </c>
      <c r="L239" s="13" t="n">
        <v>5522800</v>
      </c>
      <c r="M239" s="43">
        <f>K239/L239</f>
        <v>0.8192833345404505</v>
      </c>
    </row>
    <row r="240">
      <c r="A240" s="41" t="inlineStr">
        <is>
          <t>KALU</t>
        </is>
      </c>
      <c r="B240" s="37" t="inlineStr">
        <is>
          <t>—</t>
        </is>
      </c>
      <c r="C240" s="37" t="inlineStr">
        <is>
          <t>—</t>
        </is>
      </c>
      <c r="D240" s="6" t="inlineStr">
        <is>
          <t>鋁業</t>
        </is>
      </c>
      <c r="E240" s="76" t="n">
        <v>66</v>
      </c>
      <c r="F240" s="42" t="n">
        <v>154.96</v>
      </c>
      <c r="G240" s="42" t="n">
        <v>152.38</v>
      </c>
      <c r="H240" s="42" t="n">
        <v>158.42</v>
      </c>
      <c r="I240" s="11">
        <f>F240/G240-1</f>
        <v>0.016931355820974048</v>
      </c>
      <c r="J240" s="11">
        <f>F240/H240-1</f>
        <v>-0.021840676682236992</v>
      </c>
      <c r="K240" s="13" t="n">
        <v>132356</v>
      </c>
      <c r="L240" s="13" t="n">
        <v>198700</v>
      </c>
      <c r="M240" s="43">
        <f>K240/L240</f>
        <v>0.6661097131353799</v>
      </c>
    </row>
    <row r="241">
      <c r="A241" s="41" t="inlineStr">
        <is>
          <t>KDP</t>
        </is>
      </c>
      <c r="B241" s="37" t="inlineStr">
        <is>
          <t>—</t>
        </is>
      </c>
      <c r="C241" s="37" t="inlineStr">
        <is>
          <t>—</t>
        </is>
      </c>
      <c r="D241" s="6" t="inlineStr">
        <is>
          <t>非酒精飲品</t>
        </is>
      </c>
      <c r="E241" s="76" t="n">
        <v>57</v>
      </c>
      <c r="F241" s="42" t="n">
        <v>31.43</v>
      </c>
      <c r="G241" s="42" t="n">
        <v>31.8</v>
      </c>
      <c r="H241" s="42" t="n">
        <v>31.46</v>
      </c>
      <c r="I241" s="11">
        <f>F241/G241-1</f>
        <v>-0.011635220125786216</v>
      </c>
      <c r="J241" s="11">
        <f>F241/H241-1</f>
        <v>-0.0009535918626828455</v>
      </c>
      <c r="K241" s="13" t="n">
        <v>7765079</v>
      </c>
      <c r="L241" s="13" t="n">
        <v>8653700</v>
      </c>
      <c r="M241" s="43">
        <f>K241/L241</f>
        <v>0.897313172400245</v>
      </c>
    </row>
    <row r="242">
      <c r="A242" s="41" t="inlineStr">
        <is>
          <t>KGC</t>
        </is>
      </c>
      <c r="B242" s="37" t="inlineStr">
        <is>
          <t>—</t>
        </is>
      </c>
      <c r="C242" s="37" t="inlineStr">
        <is>
          <t>—</t>
        </is>
      </c>
      <c r="D242" s="6" t="inlineStr">
        <is>
          <t>黃金與貴金屬礦</t>
        </is>
      </c>
      <c r="E242" s="76" t="n">
        <v>28</v>
      </c>
      <c r="F242" s="42" t="n">
        <v>28.47</v>
      </c>
      <c r="G242" s="42" t="n">
        <v>27.82</v>
      </c>
      <c r="H242" s="42" t="n">
        <v>28.93</v>
      </c>
      <c r="I242" s="11">
        <f>F242/G242-1</f>
        <v>0.02336448598130847</v>
      </c>
      <c r="J242" s="11">
        <f>F242/H242-1</f>
        <v>-0.01590044936052548</v>
      </c>
      <c r="K242" s="13" t="n">
        <v>4129801</v>
      </c>
      <c r="L242" s="13" t="n">
        <v>8111450</v>
      </c>
      <c r="M242" s="43">
        <f>K242/L242</f>
        <v>0.5091322759802501</v>
      </c>
    </row>
    <row r="243">
      <c r="A243" s="41" t="inlineStr">
        <is>
          <t>KHC</t>
        </is>
      </c>
      <c r="B243" s="37" t="inlineStr">
        <is>
          <t>—</t>
        </is>
      </c>
      <c r="C243" s="37" t="inlineStr">
        <is>
          <t>—</t>
        </is>
      </c>
      <c r="D243" s="6" t="inlineStr">
        <is>
          <t>食品加工</t>
        </is>
      </c>
      <c r="E243" s="76" t="n">
        <v>46</v>
      </c>
      <c r="F243" s="42" t="n">
        <v>24.745</v>
      </c>
      <c r="G243" s="42" t="n">
        <v>24.73</v>
      </c>
      <c r="H243" s="42" t="n">
        <v>24.39</v>
      </c>
      <c r="I243" s="11">
        <f>F243/G243-1</f>
        <v>0.0006065507480792487</v>
      </c>
      <c r="J243" s="11">
        <f>F243/H243-1</f>
        <v>0.014555145551455428</v>
      </c>
      <c r="K243" s="13" t="n">
        <v>8741841</v>
      </c>
      <c r="L243" s="13" t="n">
        <v>18496300</v>
      </c>
      <c r="M243" s="43">
        <f>K243/L243</f>
        <v>0.47262647124019397</v>
      </c>
    </row>
    <row r="244">
      <c r="A244" s="41" t="inlineStr">
        <is>
          <t>KIM</t>
        </is>
      </c>
      <c r="B244" s="37" t="inlineStr">
        <is>
          <t>—</t>
        </is>
      </c>
      <c r="C244" s="37" t="inlineStr">
        <is>
          <t>—</t>
        </is>
      </c>
      <c r="D244" s="6" t="inlineStr">
        <is>
          <t>零售與購物中心REIT</t>
        </is>
      </c>
      <c r="E244" s="76" t="n">
        <v>101</v>
      </c>
      <c r="F244" s="42" t="n">
        <v>22.575</v>
      </c>
      <c r="G244" s="42" t="n">
        <v>22.59</v>
      </c>
      <c r="H244" s="42" t="n">
        <v>23.29</v>
      </c>
      <c r="I244" s="11">
        <f>F244/G244-1</f>
        <v>-0.0006640106241699861</v>
      </c>
      <c r="J244" s="11">
        <f>F244/H244-1</f>
        <v>-0.03069987118935169</v>
      </c>
      <c r="K244" s="13" t="n">
        <v>3604819</v>
      </c>
      <c r="L244" s="13" t="n">
        <v>5111900</v>
      </c>
      <c r="M244" s="43">
        <f>K244/L244</f>
        <v>0.7051818306304897</v>
      </c>
    </row>
    <row r="245">
      <c r="A245" s="41" t="inlineStr">
        <is>
          <t>KKR</t>
        </is>
      </c>
      <c r="B245" s="37" t="inlineStr">
        <is>
          <t>—</t>
        </is>
      </c>
      <c r="C245" s="37" t="inlineStr">
        <is>
          <t>—</t>
        </is>
      </c>
      <c r="D245" s="6" t="inlineStr">
        <is>
          <t>另類資產與私募信貸</t>
        </is>
      </c>
      <c r="E245" s="76" t="n">
        <v>87</v>
      </c>
      <c r="F245" s="42" t="n">
        <v>98.23</v>
      </c>
      <c r="G245" s="42" t="n">
        <v>96.84</v>
      </c>
      <c r="H245" s="42" t="n">
        <v>100.87</v>
      </c>
      <c r="I245" s="11">
        <f>F245/G245-1</f>
        <v>0.014353572903758716</v>
      </c>
      <c r="J245" s="11">
        <f>F245/H245-1</f>
        <v>-0.026172300981461283</v>
      </c>
      <c r="K245" s="13" t="n">
        <v>2448310</v>
      </c>
      <c r="L245" s="13" t="n">
        <v>3716500</v>
      </c>
      <c r="M245" s="43">
        <f>K245/L245</f>
        <v>0.6587676577424997</v>
      </c>
    </row>
    <row r="246">
      <c r="A246" s="41" t="inlineStr">
        <is>
          <t>KLAC</t>
        </is>
      </c>
      <c r="B246" s="37" t="inlineStr">
        <is>
          <t>—</t>
        </is>
      </c>
      <c r="C246" s="37" t="inlineStr">
        <is>
          <t>—</t>
        </is>
      </c>
      <c r="D246" s="6" t="inlineStr">
        <is>
          <t>半導體設備</t>
        </is>
      </c>
      <c r="E246" s="76" t="n">
        <v>64</v>
      </c>
      <c r="F246" s="42" t="n">
        <v>168.99</v>
      </c>
      <c r="G246" s="42" t="n">
        <v>167.36</v>
      </c>
      <c r="H246" s="42" t="n">
        <v>177.18</v>
      </c>
      <c r="I246" s="11">
        <f>F246/G246-1</f>
        <v>0.009739483747609912</v>
      </c>
      <c r="J246" s="11">
        <f>F246/H246-1</f>
        <v>-0.046224178801219096</v>
      </c>
      <c r="K246" s="13" t="n">
        <v>5855936</v>
      </c>
      <c r="L246" s="13" t="n">
        <v>8901900</v>
      </c>
      <c r="M246" s="43">
        <f>K246/L246</f>
        <v>0.6578299014817062</v>
      </c>
    </row>
    <row r="247">
      <c r="A247" s="41" t="inlineStr">
        <is>
          <t>KMB</t>
        </is>
      </c>
      <c r="B247" s="37" t="inlineStr">
        <is>
          <t>—</t>
        </is>
      </c>
      <c r="C247" s="37" t="inlineStr">
        <is>
          <t>—</t>
        </is>
      </c>
      <c r="D247" s="6" t="inlineStr">
        <is>
          <t>家庭與個人護理</t>
        </is>
      </c>
      <c r="E247" s="76" t="n">
        <v>26</v>
      </c>
      <c r="F247" s="42" t="n">
        <v>98.19</v>
      </c>
      <c r="G247" s="42" t="n">
        <v>98.09999999999999</v>
      </c>
      <c r="H247" s="42" t="n">
        <v>98.48</v>
      </c>
      <c r="I247" s="11">
        <f>F247/G247-1</f>
        <v>0.0009174311926605228</v>
      </c>
      <c r="J247" s="11">
        <f>F247/H247-1</f>
        <v>-0.002944760357433074</v>
      </c>
      <c r="K247" s="13" t="n">
        <v>3007867</v>
      </c>
      <c r="L247" s="13" t="n">
        <v>3646150</v>
      </c>
      <c r="M247" s="43">
        <f>K247/L247</f>
        <v>0.8249432963536881</v>
      </c>
    </row>
    <row r="248">
      <c r="A248" s="41" t="inlineStr">
        <is>
          <t>KMI</t>
        </is>
      </c>
      <c r="B248" s="37" t="inlineStr">
        <is>
          <t>—</t>
        </is>
      </c>
      <c r="C248" s="37" t="inlineStr">
        <is>
          <t>—</t>
        </is>
      </c>
      <c r="D248" s="6" t="inlineStr">
        <is>
          <t>中游與管道</t>
        </is>
      </c>
      <c r="E248" s="76" t="n">
        <v>52</v>
      </c>
      <c r="F248" s="42" t="n">
        <v>31.315</v>
      </c>
      <c r="G248" s="42" t="n">
        <v>30.73</v>
      </c>
      <c r="H248" s="42" t="n">
        <v>30.95</v>
      </c>
      <c r="I248" s="11">
        <f>F248/G248-1</f>
        <v>0.019036771884152426</v>
      </c>
      <c r="J248" s="11">
        <f>F248/H248-1</f>
        <v>0.011793214862681811</v>
      </c>
      <c r="K248" s="13" t="n">
        <v>11892677</v>
      </c>
      <c r="L248" s="13" t="n">
        <v>11951850</v>
      </c>
      <c r="M248" s="43">
        <f>K248/L248</f>
        <v>0.995049050983739</v>
      </c>
    </row>
    <row r="249">
      <c r="A249" s="41" t="inlineStr">
        <is>
          <t>KO</t>
        </is>
      </c>
      <c r="B249" s="37" t="inlineStr">
        <is>
          <t>—</t>
        </is>
      </c>
      <c r="C249" s="37" t="inlineStr">
        <is>
          <t>—</t>
        </is>
      </c>
      <c r="D249" s="6" t="inlineStr">
        <is>
          <t>非酒精飲品</t>
        </is>
      </c>
      <c r="E249" s="76" t="n">
        <v>57</v>
      </c>
      <c r="F249" s="42" t="n">
        <v>88.065</v>
      </c>
      <c r="G249" s="42" t="n">
        <v>87.87</v>
      </c>
      <c r="H249" s="42" t="n">
        <v>87.83</v>
      </c>
      <c r="I249" s="11">
        <f>F249/G249-1</f>
        <v>0.002219187435984926</v>
      </c>
      <c r="J249" s="11">
        <f>F249/H249-1</f>
        <v>0.0026756233633153936</v>
      </c>
      <c r="K249" s="13" t="n">
        <v>7636870</v>
      </c>
      <c r="L249" s="13" t="n">
        <v>14805900</v>
      </c>
      <c r="M249" s="43">
        <f>K249/L249</f>
        <v>0.515799107112705</v>
      </c>
    </row>
    <row r="250">
      <c r="A250" s="41" t="inlineStr">
        <is>
          <t>KR</t>
        </is>
      </c>
      <c r="B250" s="37" t="inlineStr">
        <is>
          <t>—</t>
        </is>
      </c>
      <c r="C250" s="37" t="inlineStr">
        <is>
          <t>—</t>
        </is>
      </c>
      <c r="D250" s="6" t="inlineStr">
        <is>
          <t>大賣場與超巿</t>
        </is>
      </c>
      <c r="E250" s="76" t="n">
        <v>48</v>
      </c>
      <c r="F250" s="42" t="n">
        <v>60.74</v>
      </c>
      <c r="G250" s="42" t="n">
        <v>61.14</v>
      </c>
      <c r="H250" s="42" t="n">
        <v>56.95</v>
      </c>
      <c r="I250" s="11">
        <f>F250/G250-1</f>
        <v>-0.006542361792607143</v>
      </c>
      <c r="J250" s="11">
        <f>F250/H250-1</f>
        <v>0.06654960491659345</v>
      </c>
      <c r="K250" s="13" t="n">
        <v>5583110</v>
      </c>
      <c r="L250" s="13" t="n">
        <v>6579550</v>
      </c>
      <c r="M250" s="43">
        <f>K250/L250</f>
        <v>0.8485549923626996</v>
      </c>
    </row>
    <row r="251">
      <c r="A251" s="41" t="inlineStr">
        <is>
          <t>KTOS</t>
        </is>
      </c>
      <c r="B251" s="37" t="inlineStr">
        <is>
          <t>—</t>
        </is>
      </c>
      <c r="C251" s="37" t="inlineStr">
        <is>
          <t>—</t>
        </is>
      </c>
      <c r="D251" s="6" t="inlineStr">
        <is>
          <t>國防科技與無人機</t>
        </is>
      </c>
      <c r="E251" s="76" t="n">
        <v>13</v>
      </c>
      <c r="F251" s="42" t="n">
        <v>47.65</v>
      </c>
      <c r="G251" s="42" t="n">
        <v>47.59</v>
      </c>
      <c r="H251" s="42" t="n">
        <v>46.98</v>
      </c>
      <c r="I251" s="11">
        <f>F251/G251-1</f>
        <v>0.0012607690691319728</v>
      </c>
      <c r="J251" s="11">
        <f>F251/H251-1</f>
        <v>0.014261387824606286</v>
      </c>
      <c r="K251" s="13" t="n">
        <v>3210711</v>
      </c>
      <c r="L251" s="13" t="n">
        <v>3287550</v>
      </c>
      <c r="M251" s="43">
        <f>K251/L251</f>
        <v>0.9766272756307889</v>
      </c>
    </row>
    <row r="252">
      <c r="A252" s="41" t="inlineStr">
        <is>
          <t>LAMR</t>
        </is>
      </c>
      <c r="B252" s="37" t="inlineStr">
        <is>
          <t>—</t>
        </is>
      </c>
      <c r="C252" s="37" t="inlineStr">
        <is>
          <t>—</t>
        </is>
      </c>
      <c r="D252" s="6" t="inlineStr">
        <is>
          <t>特殊型REIT（自存倉/賭場/廣告牌）</t>
        </is>
      </c>
      <c r="E252" s="76" t="n">
        <v>49</v>
      </c>
      <c r="F252" s="42" t="n">
        <v>146.76</v>
      </c>
      <c r="G252" s="42" t="n">
        <v>147.53</v>
      </c>
      <c r="H252" s="42" t="n">
        <v>147.7</v>
      </c>
      <c r="I252" s="11">
        <f>F252/G252-1</f>
        <v>-0.00521927743509798</v>
      </c>
      <c r="J252" s="11">
        <f>F252/H252-1</f>
        <v>-0.006364251861882164</v>
      </c>
      <c r="K252" s="13" t="n">
        <v>326152</v>
      </c>
      <c r="L252" s="13" t="n">
        <v>455250</v>
      </c>
      <c r="M252" s="43">
        <f>K252/L252</f>
        <v>0.7164239428885227</v>
      </c>
    </row>
    <row r="253">
      <c r="A253" s="41" t="inlineStr">
        <is>
          <t>LAZ</t>
        </is>
      </c>
      <c r="B253" s="37" t="inlineStr">
        <is>
          <t>—</t>
        </is>
      </c>
      <c r="C253" s="37" t="inlineStr">
        <is>
          <t>—</t>
        </is>
      </c>
      <c r="D253" s="6" t="inlineStr">
        <is>
          <t>投行與資本巿場</t>
        </is>
      </c>
      <c r="E253" s="76" t="n">
        <v>98</v>
      </c>
      <c r="F253" s="42" t="n">
        <v>36.06</v>
      </c>
      <c r="G253" s="42" t="n">
        <v>36.61</v>
      </c>
      <c r="H253" s="42" t="n">
        <v>41.87</v>
      </c>
      <c r="I253" s="11">
        <f>F253/G253-1</f>
        <v>-0.015023217700081859</v>
      </c>
      <c r="J253" s="11">
        <f>F253/H253-1</f>
        <v>-0.13876283735371375</v>
      </c>
      <c r="K253" s="13" t="n">
        <v>2643027</v>
      </c>
      <c r="L253" s="13" t="n">
        <v>1179450</v>
      </c>
      <c r="M253" s="43">
        <f>K253/L253</f>
        <v>2.240897876128704</v>
      </c>
    </row>
    <row r="254">
      <c r="A254" s="41" t="inlineStr">
        <is>
          <t>LCID</t>
        </is>
      </c>
      <c r="B254" s="37" t="inlineStr">
        <is>
          <t>—</t>
        </is>
      </c>
      <c r="C254" s="37" t="inlineStr">
        <is>
          <t>—</t>
        </is>
      </c>
      <c r="D254" s="6" t="inlineStr">
        <is>
          <t>電動車與新能源車</t>
        </is>
      </c>
      <c r="E254" s="76" t="n">
        <v>78</v>
      </c>
      <c r="F254" s="42" t="n">
        <v>4.275</v>
      </c>
      <c r="G254" s="42" t="n">
        <v>4.04</v>
      </c>
      <c r="H254" s="42" t="n">
        <v>4.18</v>
      </c>
      <c r="I254" s="11">
        <f>F254/G254-1</f>
        <v>0.05816831683168333</v>
      </c>
      <c r="J254" s="11">
        <f>F254/H254-1</f>
        <v>0.02272727272727293</v>
      </c>
      <c r="K254" s="13" t="n">
        <v>19018775</v>
      </c>
      <c r="L254" s="13" t="n">
        <v>11053850</v>
      </c>
      <c r="M254" s="43">
        <f>K254/L254</f>
        <v>1.7205566386372169</v>
      </c>
    </row>
    <row r="255">
      <c r="A255" s="41" t="inlineStr">
        <is>
          <t>LEA</t>
        </is>
      </c>
      <c r="B255" s="37" t="inlineStr">
        <is>
          <t>—</t>
        </is>
      </c>
      <c r="C255" s="37" t="inlineStr">
        <is>
          <t>—</t>
        </is>
      </c>
      <c r="D255" s="6" t="inlineStr">
        <is>
          <t>傳統汽車與零部件</t>
        </is>
      </c>
      <c r="E255" s="76" t="n">
        <v>84</v>
      </c>
      <c r="F255" s="42" t="n">
        <v>122.66</v>
      </c>
      <c r="G255" s="42" t="n">
        <v>123.19</v>
      </c>
      <c r="H255" s="42" t="n">
        <v>127.84</v>
      </c>
      <c r="I255" s="11">
        <f>F255/G255-1</f>
        <v>-0.004302297264388355</v>
      </c>
      <c r="J255" s="11">
        <f>F255/H255-1</f>
        <v>-0.04051939924906134</v>
      </c>
      <c r="K255" s="13" t="n">
        <v>570999</v>
      </c>
      <c r="L255" s="13" t="n">
        <v>511500</v>
      </c>
      <c r="M255" s="43">
        <f>K255/L255</f>
        <v>1.1163225806451613</v>
      </c>
    </row>
    <row r="256">
      <c r="A256" s="41" t="inlineStr">
        <is>
          <t>LEGN</t>
        </is>
      </c>
      <c r="B256" s="37" t="inlineStr">
        <is>
          <t>—</t>
        </is>
      </c>
      <c r="C256" s="37" t="inlineStr">
        <is>
          <t>—</t>
        </is>
      </c>
      <c r="D256" s="6" t="inlineStr">
        <is>
          <t>腫瘤與細胞治療</t>
        </is>
      </c>
      <c r="E256" s="76" t="n">
        <v>30</v>
      </c>
      <c r="F256" s="42" t="n">
        <v>17.59</v>
      </c>
      <c r="G256" s="42" t="n">
        <v>17</v>
      </c>
      <c r="H256" s="42" t="n">
        <v>19.19</v>
      </c>
      <c r="I256" s="11">
        <f>F256/G256-1</f>
        <v>0.03470588235294114</v>
      </c>
      <c r="J256" s="11">
        <f>F256/H256-1</f>
        <v>-0.08337675872850447</v>
      </c>
      <c r="K256" s="13" t="n">
        <v>1739167</v>
      </c>
      <c r="L256" s="13" t="n">
        <v>1534000</v>
      </c>
      <c r="M256" s="43">
        <f>K256/L256</f>
        <v>1.1337464146023468</v>
      </c>
    </row>
    <row r="257">
      <c r="A257" s="60" t="inlineStr">
        <is>
          <t>LEN</t>
        </is>
      </c>
      <c r="B257" s="103" t="inlineStr">
        <is>
          <t>—</t>
        </is>
      </c>
      <c r="C257" s="104" t="inlineStr">
        <is>
          <t>B 由迴避改為中性｜住宅建商</t>
        </is>
      </c>
      <c r="D257" s="23" t="inlineStr">
        <is>
          <t>住宅建築商</t>
        </is>
      </c>
      <c r="E257" s="91" t="n">
        <v>17</v>
      </c>
      <c r="F257" s="61" t="n">
        <v>79.7</v>
      </c>
      <c r="G257" s="61" t="n">
        <v>78.36</v>
      </c>
      <c r="H257" s="61" t="n">
        <v>77.90000000000001</v>
      </c>
      <c r="I257" s="24">
        <f>F257/G257-1</f>
        <v>0.017100561510974943</v>
      </c>
      <c r="J257" s="24">
        <f>F257/H257-1</f>
        <v>0.02310654685494229</v>
      </c>
      <c r="K257" s="62" t="n">
        <v>7463362</v>
      </c>
      <c r="L257" s="62" t="n">
        <v>2870400</v>
      </c>
      <c r="M257" s="63">
        <f>K257/L257</f>
        <v>2.6001121794871795</v>
      </c>
    </row>
    <row r="258">
      <c r="A258" s="41" t="inlineStr">
        <is>
          <t>LEU</t>
        </is>
      </c>
      <c r="B258" s="37" t="inlineStr">
        <is>
          <t>—</t>
        </is>
      </c>
      <c r="C258" s="37" t="inlineStr">
        <is>
          <t>—</t>
        </is>
      </c>
      <c r="D258" s="6" t="inlineStr">
        <is>
          <t>鈾與核燃料</t>
        </is>
      </c>
      <c r="E258" s="76" t="n">
        <v>96</v>
      </c>
      <c r="F258" s="42" t="n">
        <v>149.8</v>
      </c>
      <c r="G258" s="42" t="n">
        <v>139.01</v>
      </c>
      <c r="H258" s="42" t="n">
        <v>165.87</v>
      </c>
      <c r="I258" s="11">
        <f>F258/G258-1</f>
        <v>0.07762031508524592</v>
      </c>
      <c r="J258" s="11">
        <f>F258/H258-1</f>
        <v>-0.09688310122384991</v>
      </c>
      <c r="K258" s="13" t="n">
        <v>762594</v>
      </c>
      <c r="L258" s="13" t="n">
        <v>659050</v>
      </c>
      <c r="M258" s="43">
        <f>K258/L258</f>
        <v>1.1571109930961232</v>
      </c>
    </row>
    <row r="259">
      <c r="A259" s="41" t="inlineStr">
        <is>
          <t>LHX</t>
        </is>
      </c>
      <c r="B259" s="37" t="inlineStr">
        <is>
          <t>—</t>
        </is>
      </c>
      <c r="C259" s="37" t="inlineStr">
        <is>
          <t>—</t>
        </is>
      </c>
      <c r="D259" s="6" t="inlineStr">
        <is>
          <t>航太與國防</t>
        </is>
      </c>
      <c r="E259" s="76" t="n">
        <v>72</v>
      </c>
      <c r="F259" s="42" t="n">
        <v>250.39</v>
      </c>
      <c r="G259" s="42" t="n">
        <v>250.74</v>
      </c>
      <c r="H259" s="42" t="n">
        <v>248.37</v>
      </c>
      <c r="I259" s="11">
        <f>F259/G259-1</f>
        <v>-0.0013958682300391212</v>
      </c>
      <c r="J259" s="11">
        <f>F259/H259-1</f>
        <v>0.008133027338245391</v>
      </c>
      <c r="K259" s="13" t="n">
        <v>1332241</v>
      </c>
      <c r="L259" s="13" t="n">
        <v>1527850</v>
      </c>
      <c r="M259" s="43">
        <f>K259/L259</f>
        <v>0.8719710704584874</v>
      </c>
    </row>
    <row r="260">
      <c r="A260" s="41" t="inlineStr">
        <is>
          <t>LII</t>
        </is>
      </c>
      <c r="B260" s="37" t="inlineStr">
        <is>
          <t>—</t>
        </is>
      </c>
      <c r="C260" s="37" t="inlineStr">
        <is>
          <t>—</t>
        </is>
      </c>
      <c r="D260" s="6" t="inlineStr">
        <is>
          <t>樓宇產品與HVAC</t>
        </is>
      </c>
      <c r="E260" s="76" t="n">
        <v>75</v>
      </c>
      <c r="F260" s="42" t="n">
        <v>359.08</v>
      </c>
      <c r="G260" s="42" t="n">
        <v>361.04</v>
      </c>
      <c r="H260" s="42" t="n">
        <v>372.62</v>
      </c>
      <c r="I260" s="11">
        <f>F260/G260-1</f>
        <v>-0.005428761356082501</v>
      </c>
      <c r="J260" s="11">
        <f>F260/H260-1</f>
        <v>-0.03633728731683761</v>
      </c>
      <c r="K260" s="13" t="n">
        <v>292522</v>
      </c>
      <c r="L260" s="13" t="n">
        <v>463350</v>
      </c>
      <c r="M260" s="43">
        <f>K260/L260</f>
        <v>0.6313197367001186</v>
      </c>
    </row>
    <row r="261">
      <c r="A261" s="41" t="inlineStr">
        <is>
          <t>LIN</t>
        </is>
      </c>
      <c r="B261" s="37" t="inlineStr">
        <is>
          <t>—</t>
        </is>
      </c>
      <c r="C261" s="37" t="inlineStr">
        <is>
          <t>—</t>
        </is>
      </c>
      <c r="D261" s="6" t="inlineStr">
        <is>
          <t>特種化工</t>
        </is>
      </c>
      <c r="E261" s="76" t="n">
        <v>61</v>
      </c>
      <c r="F261" s="42" t="n">
        <v>458.435</v>
      </c>
      <c r="G261" s="42" t="n">
        <v>462.09</v>
      </c>
      <c r="H261" s="42" t="n">
        <v>461.62</v>
      </c>
      <c r="I261" s="11">
        <f>F261/G261-1</f>
        <v>-0.00790971455777012</v>
      </c>
      <c r="J261" s="11">
        <f>F261/H261-1</f>
        <v>-0.0068996144014557</v>
      </c>
      <c r="K261" s="13" t="n">
        <v>1539545</v>
      </c>
      <c r="L261" s="13" t="n">
        <v>1836250</v>
      </c>
      <c r="M261" s="43">
        <f>K261/L261</f>
        <v>0.8384179714091219</v>
      </c>
    </row>
    <row r="262">
      <c r="A262" s="41" t="inlineStr">
        <is>
          <t>LITE</t>
        </is>
      </c>
      <c r="B262" s="37" t="inlineStr">
        <is>
          <t>—</t>
        </is>
      </c>
      <c r="C262" s="37" t="inlineStr">
        <is>
          <t>—</t>
        </is>
      </c>
      <c r="D262" s="6" t="inlineStr">
        <is>
          <t>光通訊/CPO</t>
        </is>
      </c>
      <c r="E262" s="76" t="n">
        <v>22</v>
      </c>
      <c r="F262" s="42" t="n">
        <v>893.6</v>
      </c>
      <c r="G262" s="42" t="n">
        <v>919.4</v>
      </c>
      <c r="H262" s="42" t="n">
        <v>935.7</v>
      </c>
      <c r="I262" s="11">
        <f>F262/G262-1</f>
        <v>-0.028061779421361677</v>
      </c>
      <c r="J262" s="11">
        <f>F262/H262-1</f>
        <v>-0.04499305332905845</v>
      </c>
      <c r="K262" s="13" t="n">
        <v>4351248</v>
      </c>
      <c r="L262" s="13" t="n">
        <v>3876650</v>
      </c>
      <c r="M262" s="43">
        <f>K262/L262</f>
        <v>1.122424773967214</v>
      </c>
    </row>
    <row r="263">
      <c r="A263" s="41" t="inlineStr">
        <is>
          <t>LLY</t>
        </is>
      </c>
      <c r="B263" s="37" t="inlineStr">
        <is>
          <t>—</t>
        </is>
      </c>
      <c r="C263" s="37" t="inlineStr">
        <is>
          <t>—</t>
        </is>
      </c>
      <c r="D263" s="6" t="inlineStr">
        <is>
          <t>大型藥廠、GLP-1減重與代謝</t>
        </is>
      </c>
      <c r="E263" s="76" t="n">
        <v>18</v>
      </c>
      <c r="F263" s="42" t="n">
        <v>1152.4301</v>
      </c>
      <c r="G263" s="42" t="n">
        <v>1137.8199</v>
      </c>
      <c r="H263" s="42" t="n">
        <v>1123</v>
      </c>
      <c r="I263" s="11">
        <f>F263/G263-1</f>
        <v>0.012840520718612858</v>
      </c>
      <c r="J263" s="11">
        <f>F263/H263-1</f>
        <v>0.026206678539625994</v>
      </c>
      <c r="K263" s="13" t="n">
        <v>1239915</v>
      </c>
      <c r="L263" s="13" t="n">
        <v>2422800</v>
      </c>
      <c r="M263" s="43">
        <f>K263/L263</f>
        <v>0.5117694403169886</v>
      </c>
    </row>
    <row r="264">
      <c r="A264" s="41" t="inlineStr">
        <is>
          <t>LMT</t>
        </is>
      </c>
      <c r="B264" s="37" t="inlineStr">
        <is>
          <t>—</t>
        </is>
      </c>
      <c r="C264" s="37" t="inlineStr">
        <is>
          <t>—</t>
        </is>
      </c>
      <c r="D264" s="6" t="inlineStr">
        <is>
          <t>航太與國防</t>
        </is>
      </c>
      <c r="E264" s="76" t="n">
        <v>72</v>
      </c>
      <c r="F264" s="42" t="n">
        <v>537.925</v>
      </c>
      <c r="G264" s="42" t="n">
        <v>537.25</v>
      </c>
      <c r="H264" s="42" t="n">
        <v>530.12</v>
      </c>
      <c r="I264" s="11">
        <f>F264/G264-1</f>
        <v>0.001256398324802177</v>
      </c>
      <c r="J264" s="11">
        <f>F264/H264-1</f>
        <v>0.014723081566437646</v>
      </c>
      <c r="K264" s="13" t="n">
        <v>1154151</v>
      </c>
      <c r="L264" s="13" t="n">
        <v>996600</v>
      </c>
      <c r="M264" s="43">
        <f>K264/L264</f>
        <v>1.1580885009030704</v>
      </c>
    </row>
    <row r="265">
      <c r="A265" s="41" t="inlineStr">
        <is>
          <t>LNC</t>
        </is>
      </c>
      <c r="B265" s="37" t="inlineStr">
        <is>
          <t>—</t>
        </is>
      </c>
      <c r="C265" s="37" t="inlineStr">
        <is>
          <t>—</t>
        </is>
      </c>
      <c r="D265" s="6" t="inlineStr">
        <is>
          <t>壽險與年金</t>
        </is>
      </c>
      <c r="E265" s="76" t="n">
        <v>34</v>
      </c>
      <c r="F265" s="42" t="n">
        <v>42.3</v>
      </c>
      <c r="G265" s="42" t="n">
        <v>42.45</v>
      </c>
      <c r="H265" s="42" t="n">
        <v>43.56</v>
      </c>
      <c r="I265" s="11">
        <f>F265/G265-1</f>
        <v>-0.0035335689045937757</v>
      </c>
      <c r="J265" s="11">
        <f>F265/H265-1</f>
        <v>-0.02892561983471087</v>
      </c>
      <c r="K265" s="13" t="n">
        <v>1639275</v>
      </c>
      <c r="L265" s="13" t="n">
        <v>1817250</v>
      </c>
      <c r="M265" s="43">
        <f>K265/L265</f>
        <v>0.9020635575732563</v>
      </c>
    </row>
    <row r="266">
      <c r="A266" s="41" t="inlineStr">
        <is>
          <t>LNG</t>
        </is>
      </c>
      <c r="B266" s="37" t="inlineStr">
        <is>
          <t>—</t>
        </is>
      </c>
      <c r="C266" s="37" t="inlineStr">
        <is>
          <t>—</t>
        </is>
      </c>
      <c r="D266" s="6" t="inlineStr">
        <is>
          <t>LNG液化天然氣</t>
        </is>
      </c>
      <c r="E266" s="76" t="n">
        <v>92</v>
      </c>
      <c r="F266" s="42" t="n">
        <v>269.86</v>
      </c>
      <c r="G266" s="42" t="n">
        <v>267.75</v>
      </c>
      <c r="H266" s="42" t="n">
        <v>277.84</v>
      </c>
      <c r="I266" s="11">
        <f>F266/G266-1</f>
        <v>0.0078804855275445</v>
      </c>
      <c r="J266" s="11">
        <f>F266/H266-1</f>
        <v>-0.028721566369133145</v>
      </c>
      <c r="K266" s="13" t="n">
        <v>1102250</v>
      </c>
      <c r="L266" s="13" t="n">
        <v>1725150</v>
      </c>
      <c r="M266" s="43">
        <f>K266/L266</f>
        <v>0.6389299481204533</v>
      </c>
    </row>
    <row r="267">
      <c r="A267" s="41" t="inlineStr">
        <is>
          <t>LOW</t>
        </is>
      </c>
      <c r="B267" s="37" t="inlineStr">
        <is>
          <t>—</t>
        </is>
      </c>
      <c r="C267" s="37" t="inlineStr">
        <is>
          <t>—</t>
        </is>
      </c>
      <c r="D267" s="6" t="inlineStr">
        <is>
          <t>專門零售</t>
        </is>
      </c>
      <c r="E267" s="76" t="n">
        <v>62</v>
      </c>
      <c r="F267" s="42" t="n">
        <v>194.19</v>
      </c>
      <c r="G267" s="42" t="n">
        <v>194.1</v>
      </c>
      <c r="H267" s="42" t="n">
        <v>196.59</v>
      </c>
      <c r="I267" s="11">
        <f>F267/G267-1</f>
        <v>0.00046367851622886036</v>
      </c>
      <c r="J267" s="11">
        <f>F267/H267-1</f>
        <v>-0.01220814893941713</v>
      </c>
      <c r="K267" s="13" t="n">
        <v>1839829</v>
      </c>
      <c r="L267" s="13" t="n">
        <v>2956250</v>
      </c>
      <c r="M267" s="43">
        <f>K267/L267</f>
        <v>0.6223523044397463</v>
      </c>
    </row>
    <row r="268">
      <c r="A268" s="41" t="inlineStr">
        <is>
          <t>LRCX</t>
        </is>
      </c>
      <c r="B268" s="37" t="inlineStr">
        <is>
          <t>—</t>
        </is>
      </c>
      <c r="C268" s="37" t="inlineStr">
        <is>
          <t>—</t>
        </is>
      </c>
      <c r="D268" s="6" t="inlineStr">
        <is>
          <t>半導體設備</t>
        </is>
      </c>
      <c r="E268" s="76" t="n">
        <v>64</v>
      </c>
      <c r="F268" s="42" t="n">
        <v>269.345</v>
      </c>
      <c r="G268" s="42" t="n">
        <v>269.23</v>
      </c>
      <c r="H268" s="42" t="n">
        <v>298.01</v>
      </c>
      <c r="I268" s="11">
        <f>F268/G268-1</f>
        <v>0.0004271440775545088</v>
      </c>
      <c r="J268" s="11">
        <f>F268/H268-1</f>
        <v>-0.0961880473809602</v>
      </c>
      <c r="K268" s="13" t="n">
        <v>7228596</v>
      </c>
      <c r="L268" s="13" t="n">
        <v>7830400</v>
      </c>
      <c r="M268" s="43">
        <f>K268/L268</f>
        <v>0.9231451777686963</v>
      </c>
    </row>
    <row r="269">
      <c r="A269" s="41" t="inlineStr">
        <is>
          <t>LRN</t>
        </is>
      </c>
      <c r="B269" s="37" t="inlineStr">
        <is>
          <t>—</t>
        </is>
      </c>
      <c r="C269" s="37" t="inlineStr">
        <is>
          <t>—</t>
        </is>
      </c>
      <c r="D269" s="6" t="inlineStr">
        <is>
          <t>教育與消費服務</t>
        </is>
      </c>
      <c r="E269" s="76" t="n">
        <v>74</v>
      </c>
      <c r="F269" s="42" t="n">
        <v>81.03</v>
      </c>
      <c r="G269" s="42" t="n">
        <v>82.04000000000001</v>
      </c>
      <c r="H269" s="42" t="n">
        <v>81.45</v>
      </c>
      <c r="I269" s="11">
        <f>F269/G269-1</f>
        <v>-0.012311067771818673</v>
      </c>
      <c r="J269" s="11">
        <f>F269/H269-1</f>
        <v>-0.0051565377532228895</v>
      </c>
      <c r="K269" s="13" t="n">
        <v>385909</v>
      </c>
      <c r="L269" s="13" t="n">
        <v>538300</v>
      </c>
      <c r="M269" s="43">
        <f>K269/L269</f>
        <v>0.7169032138212893</v>
      </c>
    </row>
    <row r="270">
      <c r="A270" s="41" t="inlineStr">
        <is>
          <t>LULU</t>
        </is>
      </c>
      <c r="B270" s="37" t="inlineStr">
        <is>
          <t>—</t>
        </is>
      </c>
      <c r="C270" s="37" t="inlineStr">
        <is>
          <t>—</t>
        </is>
      </c>
      <c r="D270" s="6" t="inlineStr">
        <is>
          <t>服裝與奢侈品</t>
        </is>
      </c>
      <c r="E270" s="76" t="n">
        <v>41</v>
      </c>
      <c r="F270" s="42" t="n">
        <v>99.90000000000001</v>
      </c>
      <c r="G270" s="42" t="n">
        <v>95.98</v>
      </c>
      <c r="H270" s="42" t="n">
        <v>96.88</v>
      </c>
      <c r="I270" s="11">
        <f>F270/G270-1</f>
        <v>0.04084184205042729</v>
      </c>
      <c r="J270" s="11">
        <f>F270/H270-1</f>
        <v>0.031172584640792866</v>
      </c>
      <c r="K270" s="13" t="n">
        <v>5676582</v>
      </c>
      <c r="L270" s="13" t="n">
        <v>3942150</v>
      </c>
      <c r="M270" s="43">
        <f>K270/L270</f>
        <v>1.4399710817701001</v>
      </c>
    </row>
    <row r="271">
      <c r="A271" s="41" t="inlineStr">
        <is>
          <t>LUNR</t>
        </is>
      </c>
      <c r="B271" s="37" t="inlineStr">
        <is>
          <t>—</t>
        </is>
      </c>
      <c r="C271" s="37" t="inlineStr">
        <is>
          <t>—</t>
        </is>
      </c>
      <c r="D271" s="6" t="inlineStr">
        <is>
          <t>太空與衛星</t>
        </is>
      </c>
      <c r="E271" s="76" t="n">
        <v>8</v>
      </c>
      <c r="F271" s="42" t="n">
        <v>14.78</v>
      </c>
      <c r="G271" s="42" t="n">
        <v>13.87</v>
      </c>
      <c r="H271" s="42" t="n">
        <v>14.62</v>
      </c>
      <c r="I271" s="11">
        <f>F271/G271-1</f>
        <v>0.06560922855082918</v>
      </c>
      <c r="J271" s="11">
        <f>F271/H271-1</f>
        <v>0.010943912448700521</v>
      </c>
      <c r="K271" s="13" t="n">
        <v>7532886</v>
      </c>
      <c r="L271" s="13" t="n">
        <v>6243800</v>
      </c>
      <c r="M271" s="43">
        <f>K271/L271</f>
        <v>1.2064585668983632</v>
      </c>
    </row>
    <row r="272">
      <c r="A272" s="41" t="inlineStr">
        <is>
          <t>LUV</t>
        </is>
      </c>
      <c r="B272" s="37" t="inlineStr">
        <is>
          <t>—</t>
        </is>
      </c>
      <c r="C272" s="37" t="inlineStr">
        <is>
          <t>—</t>
        </is>
      </c>
      <c r="D272" s="6" t="inlineStr">
        <is>
          <t>航空公司</t>
        </is>
      </c>
      <c r="E272" s="76" t="n">
        <v>33</v>
      </c>
      <c r="F272" s="42" t="n">
        <v>40.33</v>
      </c>
      <c r="G272" s="42" t="n">
        <v>39.15</v>
      </c>
      <c r="H272" s="42" t="n">
        <v>38.69</v>
      </c>
      <c r="I272" s="11">
        <f>F272/G272-1</f>
        <v>0.030140485312899035</v>
      </c>
      <c r="J272" s="11">
        <f>F272/H272-1</f>
        <v>0.042388214008787894</v>
      </c>
      <c r="K272" s="13" t="n">
        <v>6405299</v>
      </c>
      <c r="L272" s="13" t="n">
        <v>4609900</v>
      </c>
      <c r="M272" s="43">
        <f>K272/L272</f>
        <v>1.3894659320158789</v>
      </c>
    </row>
    <row r="273">
      <c r="A273" s="41" t="inlineStr">
        <is>
          <t>LVS</t>
        </is>
      </c>
      <c r="B273" s="37" t="inlineStr">
        <is>
          <t>—</t>
        </is>
      </c>
      <c r="C273" s="37" t="inlineStr">
        <is>
          <t>—</t>
        </is>
      </c>
      <c r="D273" s="6" t="inlineStr">
        <is>
          <t>博彩與線上博彩</t>
        </is>
      </c>
      <c r="E273" s="76" t="n">
        <v>107</v>
      </c>
      <c r="F273" s="42" t="n">
        <v>40.665</v>
      </c>
      <c r="G273" s="42" t="n">
        <v>41.06</v>
      </c>
      <c r="H273" s="42" t="n">
        <v>42.6</v>
      </c>
      <c r="I273" s="11">
        <f>F273/G273-1</f>
        <v>-0.00962006819288852</v>
      </c>
      <c r="J273" s="11">
        <f>F273/H273-1</f>
        <v>-0.04542253521126771</v>
      </c>
      <c r="K273" s="13" t="n">
        <v>2977059</v>
      </c>
      <c r="L273" s="13" t="n">
        <v>4805250</v>
      </c>
      <c r="M273" s="43">
        <f>K273/L273</f>
        <v>0.6195429998439207</v>
      </c>
    </row>
    <row r="274">
      <c r="A274" s="41" t="inlineStr">
        <is>
          <t>LYB</t>
        </is>
      </c>
      <c r="B274" s="37" t="inlineStr">
        <is>
          <t>—</t>
        </is>
      </c>
      <c r="C274" s="37" t="inlineStr">
        <is>
          <t>—</t>
        </is>
      </c>
      <c r="D274" s="6" t="inlineStr">
        <is>
          <t>基礎化工與化肥</t>
        </is>
      </c>
      <c r="E274" s="76" t="n">
        <v>37</v>
      </c>
      <c r="F274" s="42" t="n">
        <v>64.235</v>
      </c>
      <c r="G274" s="42" t="n">
        <v>64.90000000000001</v>
      </c>
      <c r="H274" s="42" t="n">
        <v>64.3</v>
      </c>
      <c r="I274" s="11">
        <f>F274/G274-1</f>
        <v>-0.010246533127889146</v>
      </c>
      <c r="J274" s="11">
        <f>F274/H274-1</f>
        <v>-0.0010108864696734</v>
      </c>
      <c r="K274" s="13" t="n">
        <v>1791302</v>
      </c>
      <c r="L274" s="13" t="n">
        <v>3159800</v>
      </c>
      <c r="M274" s="43">
        <f>K274/L274</f>
        <v>0.5669036014937654</v>
      </c>
    </row>
    <row r="275">
      <c r="A275" s="41" t="inlineStr">
        <is>
          <t>LYV</t>
        </is>
      </c>
      <c r="B275" s="37" t="inlineStr">
        <is>
          <t>—</t>
        </is>
      </c>
      <c r="C275" s="37" t="inlineStr">
        <is>
          <t>—</t>
        </is>
      </c>
      <c r="D275" s="6" t="inlineStr">
        <is>
          <t>傳媒與娛樂內容</t>
        </is>
      </c>
      <c r="E275" s="76" t="n">
        <v>68</v>
      </c>
      <c r="F275" s="42" t="n">
        <v>168.36</v>
      </c>
      <c r="G275" s="42" t="n">
        <v>171.13</v>
      </c>
      <c r="H275" s="42" t="n">
        <v>170.08</v>
      </c>
      <c r="I275" s="11">
        <f>F275/G275-1</f>
        <v>-0.016186524864138296</v>
      </c>
      <c r="J275" s="11">
        <f>F275/H275-1</f>
        <v>-0.010112888052681068</v>
      </c>
      <c r="K275" s="13" t="n">
        <v>1012706</v>
      </c>
      <c r="L275" s="13" t="n">
        <v>1709550</v>
      </c>
      <c r="M275" s="43">
        <f>K275/L275</f>
        <v>0.5923816208943874</v>
      </c>
    </row>
    <row r="276">
      <c r="A276" s="41" t="inlineStr">
        <is>
          <t>MA</t>
        </is>
      </c>
      <c r="B276" s="37" t="inlineStr">
        <is>
          <t>—</t>
        </is>
      </c>
      <c r="C276" s="37" t="inlineStr">
        <is>
          <t>—</t>
        </is>
      </c>
      <c r="D276" s="6" t="inlineStr">
        <is>
          <t>支付與收單</t>
        </is>
      </c>
      <c r="E276" s="76" t="n">
        <v>58</v>
      </c>
      <c r="F276" s="42" t="n">
        <v>565.74</v>
      </c>
      <c r="G276" s="42" t="n">
        <v>567.75</v>
      </c>
      <c r="H276" s="42" t="n">
        <v>565.37</v>
      </c>
      <c r="I276" s="11">
        <f>F276/G276-1</f>
        <v>-0.0035402906208718</v>
      </c>
      <c r="J276" s="11">
        <f>F276/H276-1</f>
        <v>0.0006544386861702112</v>
      </c>
      <c r="K276" s="13" t="n">
        <v>1378407</v>
      </c>
      <c r="L276" s="13" t="n">
        <v>2445800</v>
      </c>
      <c r="M276" s="43">
        <f>K276/L276</f>
        <v>0.5635812413116362</v>
      </c>
    </row>
    <row r="277">
      <c r="A277" s="41" t="inlineStr">
        <is>
          <t>MAA</t>
        </is>
      </c>
      <c r="B277" s="37" t="inlineStr">
        <is>
          <t>—</t>
        </is>
      </c>
      <c r="C277" s="37" t="inlineStr">
        <is>
          <t>—</t>
        </is>
      </c>
      <c r="D277" s="6" t="inlineStr">
        <is>
          <t>住宅公寓REIT</t>
        </is>
      </c>
      <c r="E277" s="76" t="n">
        <v>99</v>
      </c>
      <c r="F277" s="42" t="n">
        <v>121.165</v>
      </c>
      <c r="G277" s="42" t="n">
        <v>121.9</v>
      </c>
      <c r="H277" s="42" t="n">
        <v>124.48</v>
      </c>
      <c r="I277" s="11">
        <f>F277/G277-1</f>
        <v>-0.006029532403609483</v>
      </c>
      <c r="J277" s="11">
        <f>F277/H277-1</f>
        <v>-0.02663078406169661</v>
      </c>
      <c r="K277" s="13" t="n">
        <v>815824</v>
      </c>
      <c r="L277" s="13" t="n">
        <v>870150</v>
      </c>
      <c r="M277" s="43">
        <f>K277/L277</f>
        <v>0.9375670861345745</v>
      </c>
    </row>
    <row r="278">
      <c r="A278" s="41" t="inlineStr">
        <is>
          <t>MAN</t>
        </is>
      </c>
      <c r="B278" s="37" t="inlineStr">
        <is>
          <t>—</t>
        </is>
      </c>
      <c r="C278" s="37" t="inlineStr">
        <is>
          <t>—</t>
        </is>
      </c>
      <c r="D278" s="6" t="inlineStr">
        <is>
          <t>人力與商業服務</t>
        </is>
      </c>
      <c r="E278" s="76" t="n">
        <v>36</v>
      </c>
      <c r="F278" s="42" t="n">
        <v>57.62</v>
      </c>
      <c r="G278" s="42" t="n">
        <v>57.93</v>
      </c>
      <c r="H278" s="42" t="n">
        <v>57.02</v>
      </c>
      <c r="I278" s="11">
        <f>F278/G278-1</f>
        <v>-0.005351286034869673</v>
      </c>
      <c r="J278" s="11">
        <f>F278/H278-1</f>
        <v>0.010522623640827788</v>
      </c>
      <c r="K278" s="13" t="n">
        <v>464420</v>
      </c>
      <c r="L278" s="13" t="n">
        <v>713050</v>
      </c>
      <c r="M278" s="43">
        <f>K278/L278</f>
        <v>0.6513147745599888</v>
      </c>
    </row>
    <row r="279">
      <c r="A279" s="41" t="inlineStr">
        <is>
          <t>MAR</t>
        </is>
      </c>
      <c r="B279" s="37" t="inlineStr">
        <is>
          <t>—</t>
        </is>
      </c>
      <c r="C279" s="37" t="inlineStr">
        <is>
          <t>—</t>
        </is>
      </c>
      <c r="D279" s="6" t="inlineStr">
        <is>
          <t>酒店與郵輪</t>
        </is>
      </c>
      <c r="E279" s="76" t="n">
        <v>85</v>
      </c>
      <c r="F279" s="42" t="n">
        <v>334.12</v>
      </c>
      <c r="G279" s="42" t="n">
        <v>334.97</v>
      </c>
      <c r="H279" s="42" t="n">
        <v>329.07</v>
      </c>
      <c r="I279" s="11">
        <f>F279/G279-1</f>
        <v>-0.0025375406752844443</v>
      </c>
      <c r="J279" s="11">
        <f>F279/H279-1</f>
        <v>0.015346278907223398</v>
      </c>
      <c r="K279" s="13" t="n">
        <v>674836</v>
      </c>
      <c r="L279" s="13" t="n">
        <v>1458400</v>
      </c>
      <c r="M279" s="43">
        <f>K279/L279</f>
        <v>0.46272353263850796</v>
      </c>
    </row>
    <row r="280">
      <c r="A280" s="41" t="inlineStr">
        <is>
          <t>MARA</t>
        </is>
      </c>
      <c r="B280" s="37" t="inlineStr">
        <is>
          <t>—</t>
        </is>
      </c>
      <c r="C280" s="37" t="inlineStr">
        <is>
          <t>—</t>
        </is>
      </c>
      <c r="D280" s="6" t="inlineStr">
        <is>
          <t>數位資產金融與礦業轉HPC</t>
        </is>
      </c>
      <c r="E280" s="76" t="n">
        <v>51</v>
      </c>
      <c r="F280" s="42" t="n">
        <v>11.655</v>
      </c>
      <c r="G280" s="42" t="n">
        <v>11.04</v>
      </c>
      <c r="H280" s="42" t="n">
        <v>11.43</v>
      </c>
      <c r="I280" s="11">
        <f>F280/G280-1</f>
        <v>0.05570652173913038</v>
      </c>
      <c r="J280" s="11">
        <f>F280/H280-1</f>
        <v>0.019685039370078705</v>
      </c>
      <c r="K280" s="13" t="n">
        <v>68297393</v>
      </c>
      <c r="L280" s="13" t="n">
        <v>47391450</v>
      </c>
      <c r="M280" s="43">
        <f>K280/L280</f>
        <v>1.441133221287806</v>
      </c>
    </row>
    <row r="281">
      <c r="A281" s="41" t="inlineStr">
        <is>
          <t>MCD</t>
        </is>
      </c>
      <c r="B281" s="37" t="inlineStr">
        <is>
          <t>—</t>
        </is>
      </c>
      <c r="C281" s="37" t="inlineStr">
        <is>
          <t>—</t>
        </is>
      </c>
      <c r="D281" s="6" t="inlineStr">
        <is>
          <t>餐飲連鎖</t>
        </is>
      </c>
      <c r="E281" s="76" t="n">
        <v>106</v>
      </c>
      <c r="F281" s="42" t="n">
        <v>248.49</v>
      </c>
      <c r="G281" s="42" t="n">
        <v>248.56</v>
      </c>
      <c r="H281" s="42" t="n">
        <v>253.05</v>
      </c>
      <c r="I281" s="11">
        <f>F281/G281-1</f>
        <v>-0.00028162214354676696</v>
      </c>
      <c r="J281" s="11">
        <f>F281/H281-1</f>
        <v>-0.01802015411973923</v>
      </c>
      <c r="K281" s="13" t="n">
        <v>3931529</v>
      </c>
      <c r="L281" s="13" t="n">
        <v>4211550</v>
      </c>
      <c r="M281" s="43">
        <f>K281/L281</f>
        <v>0.9335111775949473</v>
      </c>
    </row>
    <row r="282">
      <c r="A282" s="41" t="inlineStr">
        <is>
          <t>MCK</t>
        </is>
      </c>
      <c r="B282" s="37" t="inlineStr">
        <is>
          <t>—</t>
        </is>
      </c>
      <c r="C282" s="37" t="inlineStr">
        <is>
          <t>—</t>
        </is>
      </c>
      <c r="D282" s="6" t="inlineStr">
        <is>
          <t>藥品分銷與藥房</t>
        </is>
      </c>
      <c r="E282" s="76" t="n">
        <v>109</v>
      </c>
      <c r="F282" s="42" t="n">
        <v>879.4</v>
      </c>
      <c r="G282" s="42" t="n">
        <v>887.29</v>
      </c>
      <c r="H282" s="42" t="n">
        <v>880.86</v>
      </c>
      <c r="I282" s="11">
        <f>F282/G282-1</f>
        <v>-0.008892244925559845</v>
      </c>
      <c r="J282" s="11">
        <f>F282/H282-1</f>
        <v>-0.0016574711077810278</v>
      </c>
      <c r="K282" s="13" t="n">
        <v>439426</v>
      </c>
      <c r="L282" s="13" t="n">
        <v>880900</v>
      </c>
      <c r="M282" s="43">
        <f>K282/L282</f>
        <v>0.4988375525031218</v>
      </c>
    </row>
    <row r="283">
      <c r="A283" s="41" t="inlineStr">
        <is>
          <t>MDB</t>
        </is>
      </c>
      <c r="B283" s="37" t="inlineStr">
        <is>
          <t>—</t>
        </is>
      </c>
      <c r="C283" s="37" t="inlineStr">
        <is>
          <t>—</t>
        </is>
      </c>
      <c r="D283" s="6" t="inlineStr">
        <is>
          <t>資料/分析平台</t>
        </is>
      </c>
      <c r="E283" s="76" t="n">
        <v>4</v>
      </c>
      <c r="F283" s="42" t="n">
        <v>393.41</v>
      </c>
      <c r="G283" s="42" t="n">
        <v>376.34</v>
      </c>
      <c r="H283" s="42" t="n">
        <v>373.87</v>
      </c>
      <c r="I283" s="11">
        <f>F283/G283-1</f>
        <v>0.04535792102885705</v>
      </c>
      <c r="J283" s="11">
        <f>F283/H283-1</f>
        <v>0.052264155990050076</v>
      </c>
      <c r="K283" s="13" t="n">
        <v>1364925</v>
      </c>
      <c r="L283" s="13" t="n">
        <v>1544450</v>
      </c>
      <c r="M283" s="43">
        <f>K283/L283</f>
        <v>0.8837612094920522</v>
      </c>
    </row>
    <row r="284">
      <c r="A284" s="41" t="inlineStr">
        <is>
          <t>MDGL</t>
        </is>
      </c>
      <c r="B284" s="37" t="inlineStr">
        <is>
          <t>—</t>
        </is>
      </c>
      <c r="C284" s="37" t="inlineStr">
        <is>
          <t>—</t>
        </is>
      </c>
      <c r="D284" s="6" t="inlineStr">
        <is>
          <t>臨床期中小型生技</t>
        </is>
      </c>
      <c r="E284" s="76" t="n">
        <v>108</v>
      </c>
      <c r="F284" s="42" t="n">
        <v>534.8200000000001</v>
      </c>
      <c r="G284" s="42" t="n">
        <v>529.09</v>
      </c>
      <c r="H284" s="42" t="n">
        <v>533.12</v>
      </c>
      <c r="I284" s="11">
        <f>F284/G284-1</f>
        <v>0.010829915515318866</v>
      </c>
      <c r="J284" s="11">
        <f>F284/H284-1</f>
        <v>0.0031887755102042448</v>
      </c>
      <c r="K284" s="13" t="n">
        <v>129399</v>
      </c>
      <c r="L284" s="13" t="n">
        <v>200800</v>
      </c>
      <c r="M284" s="43">
        <f>K284/L284</f>
        <v>0.6444173306772908</v>
      </c>
    </row>
    <row r="285">
      <c r="A285" s="41" t="inlineStr">
        <is>
          <t>MDT</t>
        </is>
      </c>
      <c r="B285" s="37" t="inlineStr">
        <is>
          <t>—</t>
        </is>
      </c>
      <c r="C285" s="37" t="inlineStr">
        <is>
          <t>—</t>
        </is>
      </c>
      <c r="D285" s="6" t="inlineStr">
        <is>
          <t>醫療器械</t>
        </is>
      </c>
      <c r="E285" s="76" t="n">
        <v>27</v>
      </c>
      <c r="F285" s="42" t="n">
        <v>92.79000000000001</v>
      </c>
      <c r="G285" s="42" t="n">
        <v>92.59999999999999</v>
      </c>
      <c r="H285" s="42" t="n">
        <v>91.62</v>
      </c>
      <c r="I285" s="11">
        <f>F285/G285-1</f>
        <v>0.002051835853131845</v>
      </c>
      <c r="J285" s="11">
        <f>F285/H285-1</f>
        <v>0.012770137524557912</v>
      </c>
      <c r="K285" s="13" t="n">
        <v>6943395</v>
      </c>
      <c r="L285" s="13" t="n">
        <v>7452900</v>
      </c>
      <c r="M285" s="43">
        <f>K285/L285</f>
        <v>0.931636678339975</v>
      </c>
    </row>
    <row r="286">
      <c r="A286" s="41" t="inlineStr">
        <is>
          <t>MET</t>
        </is>
      </c>
      <c r="B286" s="37" t="inlineStr">
        <is>
          <t>—</t>
        </is>
      </c>
      <c r="C286" s="37" t="inlineStr">
        <is>
          <t>—</t>
        </is>
      </c>
      <c r="D286" s="6" t="inlineStr">
        <is>
          <t>壽險與年金</t>
        </is>
      </c>
      <c r="E286" s="76" t="n">
        <v>34</v>
      </c>
      <c r="F286" s="42" t="n">
        <v>97.36</v>
      </c>
      <c r="G286" s="42" t="n">
        <v>97.23</v>
      </c>
      <c r="H286" s="42" t="n">
        <v>96.78</v>
      </c>
      <c r="I286" s="11">
        <f>F286/G286-1</f>
        <v>0.0013370358942712546</v>
      </c>
      <c r="J286" s="11">
        <f>F286/H286-1</f>
        <v>0.0059929737549080375</v>
      </c>
      <c r="K286" s="13" t="n">
        <v>1841590</v>
      </c>
      <c r="L286" s="13" t="n">
        <v>2881650</v>
      </c>
      <c r="M286" s="43">
        <f>K286/L286</f>
        <v>0.6390748355976611</v>
      </c>
    </row>
    <row r="287">
      <c r="A287" s="41" t="inlineStr">
        <is>
          <t>META</t>
        </is>
      </c>
      <c r="B287" s="37" t="inlineStr">
        <is>
          <t>—</t>
        </is>
      </c>
      <c r="C287" s="37" t="inlineStr">
        <is>
          <t>—</t>
        </is>
      </c>
      <c r="D287" s="6" t="inlineStr">
        <is>
          <t>大型網絡平台與數位廣告</t>
        </is>
      </c>
      <c r="E287" s="76" t="n">
        <v>7</v>
      </c>
      <c r="F287" s="42" t="n">
        <v>682.7</v>
      </c>
      <c r="G287" s="42" t="n">
        <v>673.3099999999999</v>
      </c>
      <c r="H287" s="42" t="n">
        <v>644.38</v>
      </c>
      <c r="I287" s="11">
        <f>F287/G287-1</f>
        <v>0.013946027832647756</v>
      </c>
      <c r="J287" s="11">
        <f>F287/H287-1</f>
        <v>0.05946801576709393</v>
      </c>
      <c r="K287" s="13" t="n">
        <v>12099089</v>
      </c>
      <c r="L287" s="13" t="n">
        <v>16738850</v>
      </c>
      <c r="M287" s="43">
        <f>K287/L287</f>
        <v>0.7228148289757063</v>
      </c>
    </row>
    <row r="288">
      <c r="A288" s="41" t="inlineStr">
        <is>
          <t>METC</t>
        </is>
      </c>
      <c r="B288" s="37" t="inlineStr">
        <is>
          <t>—</t>
        </is>
      </c>
      <c r="C288" s="37" t="inlineStr">
        <is>
          <t>—</t>
        </is>
      </c>
      <c r="D288" s="6" t="inlineStr">
        <is>
          <t>煤炭</t>
        </is>
      </c>
      <c r="E288" s="76" t="n">
        <v>111</v>
      </c>
      <c r="F288" s="42" t="n">
        <v>9.805</v>
      </c>
      <c r="G288" s="42" t="n">
        <v>9.9</v>
      </c>
      <c r="H288" s="42" t="n">
        <v>11.45</v>
      </c>
      <c r="I288" s="11">
        <f>F288/G288-1</f>
        <v>-0.009595959595959713</v>
      </c>
      <c r="J288" s="11">
        <f>F288/H288-1</f>
        <v>-0.14366812227074233</v>
      </c>
      <c r="K288" s="13" t="n">
        <v>1526845</v>
      </c>
      <c r="L288" s="13" t="n">
        <v>2137000</v>
      </c>
      <c r="M288" s="43">
        <f>K288/L288</f>
        <v>0.7144805802526907</v>
      </c>
    </row>
    <row r="289">
      <c r="A289" s="41" t="inlineStr">
        <is>
          <t>MGA</t>
        </is>
      </c>
      <c r="B289" s="37" t="inlineStr">
        <is>
          <t>—</t>
        </is>
      </c>
      <c r="C289" s="37" t="inlineStr">
        <is>
          <t>—</t>
        </is>
      </c>
      <c r="D289" s="6" t="inlineStr">
        <is>
          <t>傳統汽車與零部件</t>
        </is>
      </c>
      <c r="E289" s="76" t="n">
        <v>84</v>
      </c>
      <c r="F289" s="42" t="n">
        <v>64.83</v>
      </c>
      <c r="G289" s="42" t="n">
        <v>63.74</v>
      </c>
      <c r="H289" s="42" t="n">
        <v>65.14</v>
      </c>
      <c r="I289" s="11">
        <f>F289/G289-1</f>
        <v>0.01710072168183241</v>
      </c>
      <c r="J289" s="11">
        <f>F289/H289-1</f>
        <v>-0.0047589806570463855</v>
      </c>
      <c r="K289" s="13" t="n">
        <v>769349</v>
      </c>
      <c r="L289" s="13" t="n">
        <v>1059800</v>
      </c>
      <c r="M289" s="43">
        <f>K289/L289</f>
        <v>0.7259379128137384</v>
      </c>
    </row>
    <row r="290">
      <c r="A290" s="41" t="inlineStr">
        <is>
          <t>MGM</t>
        </is>
      </c>
      <c r="B290" s="37" t="inlineStr">
        <is>
          <t>—</t>
        </is>
      </c>
      <c r="C290" s="37" t="inlineStr">
        <is>
          <t>—</t>
        </is>
      </c>
      <c r="D290" s="6" t="inlineStr">
        <is>
          <t>博彩與線上博彩</t>
        </is>
      </c>
      <c r="E290" s="76" t="n">
        <v>107</v>
      </c>
      <c r="F290" s="42" t="n">
        <v>38.31</v>
      </c>
      <c r="G290" s="42" t="n">
        <v>38.39</v>
      </c>
      <c r="H290" s="42" t="n">
        <v>40.73</v>
      </c>
      <c r="I290" s="11">
        <f>F290/G290-1</f>
        <v>-0.002083876009377428</v>
      </c>
      <c r="J290" s="11">
        <f>F290/H290-1</f>
        <v>-0.05941566412963406</v>
      </c>
      <c r="K290" s="13" t="n">
        <v>1463300</v>
      </c>
      <c r="L290" s="13" t="n">
        <v>1966450</v>
      </c>
      <c r="M290" s="43">
        <f>K290/L290</f>
        <v>0.7441328281929365</v>
      </c>
    </row>
    <row r="291">
      <c r="A291" s="41" t="inlineStr">
        <is>
          <t>MHK</t>
        </is>
      </c>
      <c r="B291" s="37" t="inlineStr">
        <is>
          <t>—</t>
        </is>
      </c>
      <c r="C291" s="37" t="inlineStr">
        <is>
          <t>—</t>
        </is>
      </c>
      <c r="D291" s="6" t="inlineStr">
        <is>
          <t>家居耐用與休閒用品</t>
        </is>
      </c>
      <c r="E291" s="76" t="n">
        <v>102</v>
      </c>
      <c r="F291" s="42" t="n">
        <v>128.45</v>
      </c>
      <c r="G291" s="42" t="n">
        <v>127.7</v>
      </c>
      <c r="H291" s="42" t="n">
        <v>124.24</v>
      </c>
      <c r="I291" s="11">
        <f>F291/G291-1</f>
        <v>0.00587314017227869</v>
      </c>
      <c r="J291" s="11">
        <f>F291/H291-1</f>
        <v>0.03388602704443011</v>
      </c>
      <c r="K291" s="13" t="n">
        <v>783855</v>
      </c>
      <c r="L291" s="13" t="n">
        <v>905550</v>
      </c>
      <c r="M291" s="43">
        <f>K291/L291</f>
        <v>0.865612058969687</v>
      </c>
    </row>
    <row r="292">
      <c r="A292" s="41" t="inlineStr">
        <is>
          <t>MLM</t>
        </is>
      </c>
      <c r="B292" s="37" t="inlineStr">
        <is>
          <t>—</t>
        </is>
      </c>
      <c r="C292" s="37" t="inlineStr">
        <is>
          <t>—</t>
        </is>
      </c>
      <c r="D292" s="6" t="inlineStr">
        <is>
          <t>包裝與建材</t>
        </is>
      </c>
      <c r="E292" s="76" t="n">
        <v>60</v>
      </c>
      <c r="F292" s="42" t="n">
        <v>494.44</v>
      </c>
      <c r="G292" s="42" t="n">
        <v>496.76</v>
      </c>
      <c r="H292" s="42" t="n">
        <v>502.47</v>
      </c>
      <c r="I292" s="11">
        <f>F292/G292-1</f>
        <v>-0.0046702633062243315</v>
      </c>
      <c r="J292" s="11">
        <f>F292/H292-1</f>
        <v>-0.015981053595239603</v>
      </c>
      <c r="K292" s="13" t="n">
        <v>567317</v>
      </c>
      <c r="L292" s="13" t="n">
        <v>710000</v>
      </c>
      <c r="M292" s="43">
        <f>K292/L292</f>
        <v>0.799038028169014</v>
      </c>
    </row>
    <row r="293">
      <c r="A293" s="41" t="inlineStr">
        <is>
          <t>MNST</t>
        </is>
      </c>
      <c r="B293" s="37" t="inlineStr">
        <is>
          <t>—</t>
        </is>
      </c>
      <c r="C293" s="37" t="inlineStr">
        <is>
          <t>—</t>
        </is>
      </c>
      <c r="D293" s="6" t="inlineStr">
        <is>
          <t>非酒精飲品</t>
        </is>
      </c>
      <c r="E293" s="76" t="n">
        <v>57</v>
      </c>
      <c r="F293" s="42" t="n">
        <v>44.52</v>
      </c>
      <c r="G293" s="42" t="n">
        <v>44.57</v>
      </c>
      <c r="H293" s="42" t="n">
        <v>43.09</v>
      </c>
      <c r="I293" s="11">
        <f>F293/G293-1</f>
        <v>-0.0011218308279110634</v>
      </c>
      <c r="J293" s="11">
        <f>F293/H293-1</f>
        <v>0.03318635414249238</v>
      </c>
      <c r="K293" s="13" t="n">
        <v>5183464</v>
      </c>
      <c r="L293" s="13" t="n">
        <v>9033500</v>
      </c>
      <c r="M293" s="43">
        <f>K293/L293</f>
        <v>0.5738046161509935</v>
      </c>
    </row>
    <row r="294">
      <c r="A294" s="41" t="inlineStr">
        <is>
          <t>MO</t>
        </is>
      </c>
      <c r="B294" s="37" t="inlineStr">
        <is>
          <t>—</t>
        </is>
      </c>
      <c r="C294" s="37" t="inlineStr">
        <is>
          <t>—</t>
        </is>
      </c>
      <c r="D294" s="6" t="inlineStr">
        <is>
          <t>煙草與尼古丁</t>
        </is>
      </c>
      <c r="E294" s="76" t="n">
        <v>63</v>
      </c>
      <c r="F294" s="42" t="n">
        <v>69.72</v>
      </c>
      <c r="G294" s="42" t="n">
        <v>70.09999999999999</v>
      </c>
      <c r="H294" s="42" t="n">
        <v>68.79000000000001</v>
      </c>
      <c r="I294" s="11">
        <f>F294/G294-1</f>
        <v>-0.005420827389443605</v>
      </c>
      <c r="J294" s="11">
        <f>F294/H294-1</f>
        <v>0.013519406890536212</v>
      </c>
      <c r="K294" s="13" t="n">
        <v>4942369</v>
      </c>
      <c r="L294" s="13" t="n">
        <v>7915450</v>
      </c>
      <c r="M294" s="43">
        <f>K294/L294</f>
        <v>0.6243952017889065</v>
      </c>
    </row>
    <row r="295">
      <c r="A295" s="41" t="inlineStr">
        <is>
          <t>MOD</t>
        </is>
      </c>
      <c r="B295" s="37" t="inlineStr">
        <is>
          <t>—</t>
        </is>
      </c>
      <c r="C295" s="37" t="inlineStr">
        <is>
          <t>—</t>
        </is>
      </c>
      <c r="D295" s="6" t="inlineStr">
        <is>
          <t>AI資料中心建設</t>
        </is>
      </c>
      <c r="E295" s="76" t="n">
        <v>10</v>
      </c>
      <c r="F295" s="42" t="n">
        <v>184.96</v>
      </c>
      <c r="G295" s="42" t="n">
        <v>181.18</v>
      </c>
      <c r="H295" s="42" t="n">
        <v>179.26</v>
      </c>
      <c r="I295" s="11">
        <f>F295/G295-1</f>
        <v>0.02086322993707923</v>
      </c>
      <c r="J295" s="11">
        <f>F295/H295-1</f>
        <v>0.0317973892669865</v>
      </c>
      <c r="K295" s="13" t="n">
        <v>669860</v>
      </c>
      <c r="L295" s="13" t="n">
        <v>1220000</v>
      </c>
      <c r="M295" s="43">
        <f>K295/L295</f>
        <v>0.5490655737704918</v>
      </c>
    </row>
    <row r="296">
      <c r="A296" s="41" t="inlineStr">
        <is>
          <t>MOS</t>
        </is>
      </c>
      <c r="B296" s="37" t="inlineStr">
        <is>
          <t>—</t>
        </is>
      </c>
      <c r="C296" s="37" t="inlineStr">
        <is>
          <t>—</t>
        </is>
      </c>
      <c r="D296" s="6" t="inlineStr">
        <is>
          <t>基礎化工與化肥</t>
        </is>
      </c>
      <c r="E296" s="76" t="n">
        <v>37</v>
      </c>
      <c r="F296" s="42" t="n">
        <v>25.38</v>
      </c>
      <c r="G296" s="42" t="n">
        <v>24.79</v>
      </c>
      <c r="H296" s="42" t="n">
        <v>25.4</v>
      </c>
      <c r="I296" s="11">
        <f>F296/G296-1</f>
        <v>0.023799919322307295</v>
      </c>
      <c r="J296" s="11">
        <f>F296/H296-1</f>
        <v>-0.0007874015748031704</v>
      </c>
      <c r="K296" s="13" t="n">
        <v>3851382</v>
      </c>
      <c r="L296" s="13" t="n">
        <v>8229300</v>
      </c>
      <c r="M296" s="43">
        <f>K296/L296</f>
        <v>0.4680084575844847</v>
      </c>
    </row>
    <row r="297">
      <c r="A297" s="60" t="inlineStr">
        <is>
          <t>MP</t>
        </is>
      </c>
      <c r="B297" s="103" t="inlineStr">
        <is>
          <t>—</t>
        </is>
      </c>
      <c r="C297" s="104" t="inlineStr">
        <is>
          <t>B 由迴避改為中性｜稀土</t>
        </is>
      </c>
      <c r="D297" s="23" t="inlineStr">
        <is>
          <t>稀土與關鍵礦產</t>
        </is>
      </c>
      <c r="E297" s="91" t="n">
        <v>94</v>
      </c>
      <c r="F297" s="61" t="n">
        <v>49.39</v>
      </c>
      <c r="G297" s="61" t="n">
        <v>48.99</v>
      </c>
      <c r="H297" s="61" t="n">
        <v>51.32</v>
      </c>
      <c r="I297" s="24">
        <f>F297/G297-1</f>
        <v>0.00816493161869758</v>
      </c>
      <c r="J297" s="24">
        <f>F297/H297-1</f>
        <v>-0.03760717069368669</v>
      </c>
      <c r="K297" s="62" t="n">
        <v>3580157</v>
      </c>
      <c r="L297" s="62" t="n">
        <v>4690050</v>
      </c>
      <c r="M297" s="63">
        <f>K297/L297</f>
        <v>0.7633515634161683</v>
      </c>
    </row>
    <row r="298">
      <c r="A298" s="74" t="inlineStr">
        <is>
          <t>MPC</t>
        </is>
      </c>
      <c r="B298" s="21" t="inlineStr">
        <is>
          <t>①</t>
        </is>
      </c>
      <c r="C298" s="99" t="inlineStr">
        <is>
          <t>—</t>
        </is>
      </c>
      <c r="D298" s="16" t="inlineStr">
        <is>
          <t>煉油與成品油</t>
        </is>
      </c>
      <c r="E298" s="68" t="n">
        <v>2</v>
      </c>
      <c r="F298" s="100" t="n">
        <v>422.22</v>
      </c>
      <c r="G298" s="100" t="n">
        <v>413.92</v>
      </c>
      <c r="H298" s="100" t="n">
        <v>392.42</v>
      </c>
      <c r="I298" s="17">
        <f>F298/G298-1</f>
        <v>0.02005218399690767</v>
      </c>
      <c r="J298" s="17">
        <f>F298/H298-1</f>
        <v>0.07593904490087144</v>
      </c>
      <c r="K298" s="101" t="n">
        <v>1918111</v>
      </c>
      <c r="L298" s="101" t="n">
        <v>2367300</v>
      </c>
      <c r="M298" s="102">
        <f>K298/L298</f>
        <v>0.8102526084568918</v>
      </c>
    </row>
    <row r="299">
      <c r="A299" s="41" t="inlineStr">
        <is>
          <t>MPWR</t>
        </is>
      </c>
      <c r="B299" s="37" t="inlineStr">
        <is>
          <t>—</t>
        </is>
      </c>
      <c r="C299" s="37" t="inlineStr">
        <is>
          <t>—</t>
        </is>
      </c>
      <c r="D299" s="6" t="inlineStr">
        <is>
          <t>類比/功率半導體</t>
        </is>
      </c>
      <c r="E299" s="76" t="n">
        <v>47</v>
      </c>
      <c r="F299" s="42" t="n">
        <v>1170.89</v>
      </c>
      <c r="G299" s="42" t="n">
        <v>1147.61</v>
      </c>
      <c r="H299" s="42" t="n">
        <v>1186.08</v>
      </c>
      <c r="I299" s="11">
        <f>F299/G299-1</f>
        <v>0.020285637106682852</v>
      </c>
      <c r="J299" s="11">
        <f>F299/H299-1</f>
        <v>-0.012806893295561728</v>
      </c>
      <c r="K299" s="13" t="n">
        <v>414666</v>
      </c>
      <c r="L299" s="13" t="n">
        <v>590950</v>
      </c>
      <c r="M299" s="43">
        <f>K299/L299</f>
        <v>0.7016938827311955</v>
      </c>
    </row>
    <row r="300">
      <c r="A300" s="41" t="inlineStr">
        <is>
          <t>MRK</t>
        </is>
      </c>
      <c r="B300" s="37" t="inlineStr">
        <is>
          <t>—</t>
        </is>
      </c>
      <c r="C300" s="37" t="inlineStr">
        <is>
          <t>—</t>
        </is>
      </c>
      <c r="D300" s="6" t="inlineStr">
        <is>
          <t>大型藥廠</t>
        </is>
      </c>
      <c r="E300" s="76" t="n">
        <v>18</v>
      </c>
      <c r="F300" s="42" t="n">
        <v>147.17</v>
      </c>
      <c r="G300" s="42" t="n">
        <v>144.91</v>
      </c>
      <c r="H300" s="42" t="n">
        <v>144.71</v>
      </c>
      <c r="I300" s="11">
        <f>F300/G300-1</f>
        <v>0.01559588710233939</v>
      </c>
      <c r="J300" s="11">
        <f>F300/H300-1</f>
        <v>0.01699951627392693</v>
      </c>
      <c r="K300" s="13" t="n">
        <v>5760786</v>
      </c>
      <c r="L300" s="13" t="n">
        <v>8652900</v>
      </c>
      <c r="M300" s="43">
        <f>K300/L300</f>
        <v>0.6657636168221058</v>
      </c>
    </row>
    <row r="301">
      <c r="A301" s="41" t="inlineStr">
        <is>
          <t>MRVL</t>
        </is>
      </c>
      <c r="B301" s="37" t="inlineStr">
        <is>
          <t>—</t>
        </is>
      </c>
      <c r="C301" s="37" t="inlineStr">
        <is>
          <t>—</t>
        </is>
      </c>
      <c r="D301" s="6" t="inlineStr">
        <is>
          <t>AI加速晶片/GPU</t>
        </is>
      </c>
      <c r="E301" s="76" t="n">
        <v>14</v>
      </c>
      <c r="F301" s="42" t="n">
        <v>240.7255</v>
      </c>
      <c r="G301" s="42" t="n">
        <v>229.71</v>
      </c>
      <c r="H301" s="42" t="n">
        <v>226.96</v>
      </c>
      <c r="I301" s="11">
        <f>F301/G301-1</f>
        <v>0.047953941926777155</v>
      </c>
      <c r="J301" s="11">
        <f>F301/H301-1</f>
        <v>0.06065165667959116</v>
      </c>
      <c r="K301" s="13" t="n">
        <v>17222857</v>
      </c>
      <c r="L301" s="13" t="n">
        <v>20918150</v>
      </c>
      <c r="M301" s="43">
        <f>K301/L301</f>
        <v>0.8233451332933361</v>
      </c>
    </row>
    <row r="302">
      <c r="A302" s="60" t="inlineStr">
        <is>
          <t>MS</t>
        </is>
      </c>
      <c r="B302" s="103" t="inlineStr">
        <is>
          <t>—</t>
        </is>
      </c>
      <c r="C302" s="104" t="inlineStr">
        <is>
          <t>A 結構性迴避｜投行</t>
        </is>
      </c>
      <c r="D302" s="23" t="inlineStr">
        <is>
          <t>投行與資本巿場</t>
        </is>
      </c>
      <c r="E302" s="91" t="n">
        <v>98</v>
      </c>
      <c r="F302" s="61" t="n">
        <v>203.48</v>
      </c>
      <c r="G302" s="61" t="n">
        <v>202.42</v>
      </c>
      <c r="H302" s="61" t="n">
        <v>212.66</v>
      </c>
      <c r="I302" s="24">
        <f>F302/G302-1</f>
        <v>0.005236636695978625</v>
      </c>
      <c r="J302" s="24">
        <f>F302/H302-1</f>
        <v>-0.043167497413712064</v>
      </c>
      <c r="K302" s="62" t="n">
        <v>3656022</v>
      </c>
      <c r="L302" s="62" t="n">
        <v>3975750</v>
      </c>
      <c r="M302" s="63">
        <f>K302/L302</f>
        <v>0.9195804565176382</v>
      </c>
    </row>
    <row r="303">
      <c r="A303" s="41" t="inlineStr">
        <is>
          <t>MSFT</t>
        </is>
      </c>
      <c r="B303" s="37" t="inlineStr">
        <is>
          <t>—</t>
        </is>
      </c>
      <c r="C303" s="37" t="inlineStr">
        <is>
          <t>—</t>
        </is>
      </c>
      <c r="D303" s="6" t="inlineStr">
        <is>
          <t>雲端基建/IaaS/Neocloud</t>
        </is>
      </c>
      <c r="E303" s="76" t="n">
        <v>31</v>
      </c>
      <c r="F303" s="42" t="n">
        <v>498.48</v>
      </c>
      <c r="G303" s="42" t="n">
        <v>490.3</v>
      </c>
      <c r="H303" s="42" t="n">
        <v>492.44</v>
      </c>
      <c r="I303" s="11">
        <f>F303/G303-1</f>
        <v>0.01668366306343061</v>
      </c>
      <c r="J303" s="11">
        <f>F303/H303-1</f>
        <v>0.012265453659329184</v>
      </c>
      <c r="K303" s="13" t="n">
        <v>11303339</v>
      </c>
      <c r="L303" s="13" t="n">
        <v>19740450</v>
      </c>
      <c r="M303" s="43">
        <f>K303/L303</f>
        <v>0.5725978384484649</v>
      </c>
    </row>
    <row r="304">
      <c r="A304" s="41" t="inlineStr">
        <is>
          <t>MTB</t>
        </is>
      </c>
      <c r="B304" s="37" t="inlineStr">
        <is>
          <t>—</t>
        </is>
      </c>
      <c r="C304" s="37" t="inlineStr">
        <is>
          <t>—</t>
        </is>
      </c>
      <c r="D304" s="6" t="inlineStr">
        <is>
          <t>區域與社區銀行</t>
        </is>
      </c>
      <c r="E304" s="76" t="n">
        <v>104</v>
      </c>
      <c r="F304" s="42" t="n">
        <v>226.37</v>
      </c>
      <c r="G304" s="42" t="n">
        <v>226.01</v>
      </c>
      <c r="H304" s="42" t="n">
        <v>239.02</v>
      </c>
      <c r="I304" s="11">
        <f>F304/G304-1</f>
        <v>0.0015928498738995156</v>
      </c>
      <c r="J304" s="11">
        <f>F304/H304-1</f>
        <v>-0.05292444146933317</v>
      </c>
      <c r="K304" s="13" t="n">
        <v>869062</v>
      </c>
      <c r="L304" s="13" t="n">
        <v>916450</v>
      </c>
      <c r="M304" s="43">
        <f>K304/L304</f>
        <v>0.9482917780566316</v>
      </c>
    </row>
    <row r="305">
      <c r="A305" s="41" t="inlineStr">
        <is>
          <t>MTCH</t>
        </is>
      </c>
      <c r="B305" s="37" t="inlineStr">
        <is>
          <t>—</t>
        </is>
      </c>
      <c r="C305" s="37" t="inlineStr">
        <is>
          <t>—</t>
        </is>
      </c>
      <c r="D305" s="6" t="inlineStr">
        <is>
          <t>社交與線上社群</t>
        </is>
      </c>
      <c r="E305" s="76" t="n">
        <v>76</v>
      </c>
      <c r="F305" s="42" t="n">
        <v>43.77</v>
      </c>
      <c r="G305" s="42" t="n">
        <v>43.58</v>
      </c>
      <c r="H305" s="42" t="n">
        <v>41.82</v>
      </c>
      <c r="I305" s="11">
        <f>F305/G305-1</f>
        <v>0.004359798072510523</v>
      </c>
      <c r="J305" s="11">
        <f>F305/H305-1</f>
        <v>0.046628407460545196</v>
      </c>
      <c r="K305" s="13" t="n">
        <v>2129478</v>
      </c>
      <c r="L305" s="13" t="n">
        <v>3169350</v>
      </c>
      <c r="M305" s="43">
        <f>K305/L305</f>
        <v>0.6718973922097591</v>
      </c>
    </row>
    <row r="306">
      <c r="A306" s="41" t="inlineStr">
        <is>
          <t>MTZ</t>
        </is>
      </c>
      <c r="B306" s="37" t="inlineStr">
        <is>
          <t>—</t>
        </is>
      </c>
      <c r="C306" s="37" t="inlineStr">
        <is>
          <t>—</t>
        </is>
      </c>
      <c r="D306" s="6" t="inlineStr">
        <is>
          <t>工程建設/EPC</t>
        </is>
      </c>
      <c r="E306" s="76" t="n">
        <v>67</v>
      </c>
      <c r="F306" s="42" t="n">
        <v>207.75</v>
      </c>
      <c r="G306" s="42" t="n">
        <v>225.62</v>
      </c>
      <c r="H306" s="42" t="n">
        <v>232.2</v>
      </c>
      <c r="I306" s="11">
        <f>F306/G306-1</f>
        <v>-0.07920397127914192</v>
      </c>
      <c r="J306" s="11">
        <f>F306/H306-1</f>
        <v>-0.10529715762273895</v>
      </c>
      <c r="K306" s="13" t="n">
        <v>3594757</v>
      </c>
      <c r="L306" s="13" t="n">
        <v>1436100</v>
      </c>
      <c r="M306" s="43">
        <f>K306/L306</f>
        <v>2.5031383608383817</v>
      </c>
    </row>
    <row r="307">
      <c r="A307" s="41" t="inlineStr">
        <is>
          <t>MU</t>
        </is>
      </c>
      <c r="B307" s="37" t="inlineStr">
        <is>
          <t>—</t>
        </is>
      </c>
      <c r="C307" s="37" t="inlineStr">
        <is>
          <t>—</t>
        </is>
      </c>
      <c r="D307" s="6" t="inlineStr">
        <is>
          <t>記憶體/HBM</t>
        </is>
      </c>
      <c r="E307" s="76" t="n">
        <v>42</v>
      </c>
      <c r="F307" s="42" t="n">
        <v>977.52</v>
      </c>
      <c r="G307" s="42" t="n">
        <v>926.55</v>
      </c>
      <c r="H307" s="42" t="n">
        <v>977.41</v>
      </c>
      <c r="I307" s="11">
        <f>F307/G307-1</f>
        <v>0.055010522907560366</v>
      </c>
      <c r="J307" s="11">
        <f>F307/H307-1</f>
        <v>0.00011254233126334334</v>
      </c>
      <c r="K307" s="13" t="n">
        <v>19111702</v>
      </c>
      <c r="L307" s="13" t="n">
        <v>23993950</v>
      </c>
      <c r="M307" s="43">
        <f>K307/L307</f>
        <v>0.796521706513517</v>
      </c>
    </row>
    <row r="308">
      <c r="A308" s="41" t="inlineStr">
        <is>
          <t>NB</t>
        </is>
      </c>
      <c r="B308" s="37" t="inlineStr">
        <is>
          <t>—</t>
        </is>
      </c>
      <c r="C308" s="37" t="inlineStr">
        <is>
          <t>—</t>
        </is>
      </c>
      <c r="D308" s="6" t="inlineStr">
        <is>
          <t>稀土與關鍵礦產</t>
        </is>
      </c>
      <c r="E308" s="76" t="n">
        <v>94</v>
      </c>
      <c r="F308" s="42" t="n">
        <v>3.651</v>
      </c>
      <c r="G308" s="42" t="n">
        <v>3.5</v>
      </c>
      <c r="H308" s="42" t="n">
        <v>3.81</v>
      </c>
      <c r="I308" s="11">
        <f>F308/G308-1</f>
        <v>0.04314285714285715</v>
      </c>
      <c r="J308" s="11">
        <f>F308/H308-1</f>
        <v>-0.04173228346456703</v>
      </c>
      <c r="K308" s="13" t="n">
        <v>1601245</v>
      </c>
      <c r="L308" s="13" t="n">
        <v>2577300</v>
      </c>
      <c r="M308" s="43">
        <f>K308/L308</f>
        <v>0.6212877817871416</v>
      </c>
    </row>
    <row r="309">
      <c r="A309" s="41" t="inlineStr">
        <is>
          <t>NBIS</t>
        </is>
      </c>
      <c r="B309" s="37" t="inlineStr">
        <is>
          <t>—</t>
        </is>
      </c>
      <c r="C309" s="37" t="inlineStr">
        <is>
          <t>—</t>
        </is>
      </c>
      <c r="D309" s="6" t="inlineStr">
        <is>
          <t>雲端基建/IaaS/Neocloud</t>
        </is>
      </c>
      <c r="E309" s="76" t="n">
        <v>31</v>
      </c>
      <c r="F309" s="42" t="n">
        <v>217.82</v>
      </c>
      <c r="G309" s="42" t="n">
        <v>209.37</v>
      </c>
      <c r="H309" s="42" t="n">
        <v>228.11</v>
      </c>
      <c r="I309" s="11">
        <f>F309/G309-1</f>
        <v>0.04035917275636436</v>
      </c>
      <c r="J309" s="11">
        <f>F309/H309-1</f>
        <v>-0.04510981543991943</v>
      </c>
      <c r="K309" s="13" t="n">
        <v>28338788</v>
      </c>
      <c r="L309" s="13" t="n">
        <v>13335000</v>
      </c>
      <c r="M309" s="43">
        <f>K309/L309</f>
        <v>2.1251434570678667</v>
      </c>
    </row>
    <row r="310">
      <c r="A310" s="41" t="inlineStr">
        <is>
          <t>NCLH</t>
        </is>
      </c>
      <c r="B310" s="37" t="inlineStr">
        <is>
          <t>—</t>
        </is>
      </c>
      <c r="C310" s="37" t="inlineStr">
        <is>
          <t>—</t>
        </is>
      </c>
      <c r="D310" s="6" t="inlineStr">
        <is>
          <t>酒店與郵輪</t>
        </is>
      </c>
      <c r="E310" s="76" t="n">
        <v>85</v>
      </c>
      <c r="F310" s="42" t="n">
        <v>14.39</v>
      </c>
      <c r="G310" s="42" t="n">
        <v>14.53</v>
      </c>
      <c r="H310" s="42" t="n">
        <v>14.57</v>
      </c>
      <c r="I310" s="11">
        <f>F310/G310-1</f>
        <v>-0.009635237439779676</v>
      </c>
      <c r="J310" s="11">
        <f>F310/H310-1</f>
        <v>-0.012354152367879179</v>
      </c>
      <c r="K310" s="13" t="n">
        <v>13514914</v>
      </c>
      <c r="L310" s="13" t="n">
        <v>14580450</v>
      </c>
      <c r="M310" s="43">
        <f>K310/L310</f>
        <v>0.9269202253702732</v>
      </c>
    </row>
    <row r="311">
      <c r="A311" s="41" t="inlineStr">
        <is>
          <t>NDAQ</t>
        </is>
      </c>
      <c r="B311" s="37" t="inlineStr">
        <is>
          <t>—</t>
        </is>
      </c>
      <c r="C311" s="37" t="inlineStr">
        <is>
          <t>—</t>
        </is>
      </c>
      <c r="D311" s="6" t="inlineStr">
        <is>
          <t>交易所與金融數據</t>
        </is>
      </c>
      <c r="E311" s="76" t="n">
        <v>90</v>
      </c>
      <c r="F311" s="42" t="n">
        <v>91.28</v>
      </c>
      <c r="G311" s="42" t="n">
        <v>88.76000000000001</v>
      </c>
      <c r="H311" s="42" t="n">
        <v>92.01000000000001</v>
      </c>
      <c r="I311" s="11">
        <f>F311/G311-1</f>
        <v>0.028391167192429068</v>
      </c>
      <c r="J311" s="11">
        <f>F311/H311-1</f>
        <v>-0.00793392022606243</v>
      </c>
      <c r="K311" s="13" t="n">
        <v>2492932</v>
      </c>
      <c r="L311" s="13" t="n">
        <v>2966650</v>
      </c>
      <c r="M311" s="43">
        <f>K311/L311</f>
        <v>0.840318878195945</v>
      </c>
    </row>
    <row r="312">
      <c r="A312" s="41" t="inlineStr">
        <is>
          <t>NDSN</t>
        </is>
      </c>
      <c r="B312" s="37" t="inlineStr">
        <is>
          <t>—</t>
        </is>
      </c>
      <c r="C312" s="37" t="inlineStr">
        <is>
          <t>—</t>
        </is>
      </c>
      <c r="D312" s="6" t="inlineStr">
        <is>
          <t>工業自動化與機器人</t>
        </is>
      </c>
      <c r="E312" s="76" t="n">
        <v>24</v>
      </c>
      <c r="F312" s="42" t="n">
        <v>311.74</v>
      </c>
      <c r="G312" s="42" t="n">
        <v>309.02</v>
      </c>
      <c r="H312" s="42" t="n">
        <v>307.45</v>
      </c>
      <c r="I312" s="11">
        <f>F312/G312-1</f>
        <v>0.008802019286777707</v>
      </c>
      <c r="J312" s="11">
        <f>F312/H312-1</f>
        <v>0.013953488372093092</v>
      </c>
      <c r="K312" s="13" t="n">
        <v>166454</v>
      </c>
      <c r="L312" s="13" t="n">
        <v>348800</v>
      </c>
      <c r="M312" s="43">
        <f>K312/L312</f>
        <v>0.4772190366972477</v>
      </c>
    </row>
    <row r="313">
      <c r="A313" s="41" t="inlineStr">
        <is>
          <t>NE</t>
        </is>
      </c>
      <c r="B313" s="37" t="inlineStr">
        <is>
          <t>—</t>
        </is>
      </c>
      <c r="C313" s="37" t="inlineStr">
        <is>
          <t>—</t>
        </is>
      </c>
      <c r="D313" s="6" t="inlineStr">
        <is>
          <t>海上鑽井與設備</t>
        </is>
      </c>
      <c r="E313" s="76" t="n">
        <v>79</v>
      </c>
      <c r="F313" s="42" t="n">
        <v>44.21</v>
      </c>
      <c r="G313" s="42" t="n">
        <v>44.34</v>
      </c>
      <c r="H313" s="42" t="n">
        <v>45.74</v>
      </c>
      <c r="I313" s="11">
        <f>F313/G313-1</f>
        <v>-0.0029318899413622868</v>
      </c>
      <c r="J313" s="11">
        <f>F313/H313-1</f>
        <v>-0.03344993441189337</v>
      </c>
      <c r="K313" s="13" t="n">
        <v>520340</v>
      </c>
      <c r="L313" s="13" t="n">
        <v>1119300</v>
      </c>
      <c r="M313" s="43">
        <f>K313/L313</f>
        <v>0.46487983561154295</v>
      </c>
    </row>
    <row r="314">
      <c r="A314" s="60" t="inlineStr">
        <is>
          <t>NEE</t>
        </is>
      </c>
      <c r="B314" s="103" t="inlineStr">
        <is>
          <t>—</t>
        </is>
      </c>
      <c r="C314" s="104" t="inlineStr">
        <is>
          <t>B 由迴避改為中性｜再生能源</t>
        </is>
      </c>
      <c r="D314" s="23" t="inlineStr">
        <is>
          <t>再生能源與太陽能</t>
        </is>
      </c>
      <c r="E314" s="91" t="n">
        <v>71</v>
      </c>
      <c r="F314" s="61" t="n">
        <v>81.26000000000001</v>
      </c>
      <c r="G314" s="61" t="n">
        <v>80.37</v>
      </c>
      <c r="H314" s="61" t="n">
        <v>82.44</v>
      </c>
      <c r="I314" s="24">
        <f>F314/G314-1</f>
        <v>0.011073783750155552</v>
      </c>
      <c r="J314" s="24">
        <f>F314/H314-1</f>
        <v>-0.014313440077632134</v>
      </c>
      <c r="K314" s="62" t="n">
        <v>5913830</v>
      </c>
      <c r="L314" s="62" t="n">
        <v>11151200</v>
      </c>
      <c r="M314" s="63">
        <f>K314/L314</f>
        <v>0.5303312647966139</v>
      </c>
    </row>
    <row r="315">
      <c r="A315" s="41" t="inlineStr">
        <is>
          <t>NEM</t>
        </is>
      </c>
      <c r="B315" s="37" t="inlineStr">
        <is>
          <t>—</t>
        </is>
      </c>
      <c r="C315" s="37" t="inlineStr">
        <is>
          <t>—</t>
        </is>
      </c>
      <c r="D315" s="6" t="inlineStr">
        <is>
          <t>黃金與貴金屬礦</t>
        </is>
      </c>
      <c r="E315" s="76" t="n">
        <v>28</v>
      </c>
      <c r="F315" s="42" t="n">
        <v>124.34</v>
      </c>
      <c r="G315" s="42" t="n">
        <v>121.76</v>
      </c>
      <c r="H315" s="42" t="n">
        <v>126.14</v>
      </c>
      <c r="I315" s="11">
        <f>F315/G315-1</f>
        <v>0.021189224704336374</v>
      </c>
      <c r="J315" s="11">
        <f>F315/H315-1</f>
        <v>-0.014269858886950981</v>
      </c>
      <c r="K315" s="13" t="n">
        <v>4156747</v>
      </c>
      <c r="L315" s="13" t="n">
        <v>7361800</v>
      </c>
      <c r="M315" s="43">
        <f>K315/L315</f>
        <v>0.564637316960526</v>
      </c>
    </row>
    <row r="316">
      <c r="A316" s="41" t="inlineStr">
        <is>
          <t>NFE</t>
        </is>
      </c>
      <c r="B316" s="37" t="inlineStr">
        <is>
          <t>—</t>
        </is>
      </c>
      <c r="C316" s="37" t="inlineStr">
        <is>
          <t>—</t>
        </is>
      </c>
      <c r="D316" s="6" t="inlineStr">
        <is>
          <t>LNG液化天然氣</t>
        </is>
      </c>
      <c r="E316" s="76" t="n">
        <v>92</v>
      </c>
      <c r="F316" s="42" t="n">
        <v>12.38</v>
      </c>
      <c r="G316" s="42" t="n">
        <v>12.51</v>
      </c>
      <c r="H316" s="42" t="n">
        <v>0.258</v>
      </c>
      <c r="I316" s="11">
        <f>F316/G316-1</f>
        <v>-0.010391686650679355</v>
      </c>
      <c r="J316" s="11">
        <f>F316/H316-1</f>
        <v>46.98449612403101</v>
      </c>
      <c r="K316" s="13" t="n">
        <v>402598</v>
      </c>
      <c r="L316" s="13" t="n">
        <v>1785000</v>
      </c>
      <c r="M316" s="43">
        <f>K316/L316</f>
        <v>0.22554509803921569</v>
      </c>
    </row>
    <row r="317">
      <c r="A317" s="41" t="inlineStr">
        <is>
          <t>NFLX</t>
        </is>
      </c>
      <c r="B317" s="37" t="inlineStr">
        <is>
          <t>—</t>
        </is>
      </c>
      <c r="C317" s="37" t="inlineStr">
        <is>
          <t>—</t>
        </is>
      </c>
      <c r="D317" s="6" t="inlineStr">
        <is>
          <t>串流影音</t>
        </is>
      </c>
      <c r="E317" s="76" t="n">
        <v>89</v>
      </c>
      <c r="F317" s="42" t="n">
        <v>75.3</v>
      </c>
      <c r="G317" s="42" t="n">
        <v>76.41</v>
      </c>
      <c r="H317" s="42" t="n">
        <v>76.01000000000001</v>
      </c>
      <c r="I317" s="11">
        <f>F317/G317-1</f>
        <v>-0.014526894385551659</v>
      </c>
      <c r="J317" s="11">
        <f>F317/H317-1</f>
        <v>-0.009340876200500059</v>
      </c>
      <c r="K317" s="13" t="n">
        <v>22643401</v>
      </c>
      <c r="L317" s="13" t="n">
        <v>26247350</v>
      </c>
      <c r="M317" s="43">
        <f>K317/L317</f>
        <v>0.8626928432775118</v>
      </c>
    </row>
    <row r="318">
      <c r="A318" s="41" t="inlineStr">
        <is>
          <t>NI</t>
        </is>
      </c>
      <c r="B318" s="37" t="inlineStr">
        <is>
          <t>—</t>
        </is>
      </c>
      <c r="C318" s="37" t="inlineStr">
        <is>
          <t>—</t>
        </is>
      </c>
      <c r="D318" s="6" t="inlineStr">
        <is>
          <t>燃氣公用</t>
        </is>
      </c>
      <c r="E318" s="76" t="n">
        <v>80</v>
      </c>
      <c r="F318" s="42" t="n">
        <v>40.895</v>
      </c>
      <c r="G318" s="42" t="n">
        <v>40.66</v>
      </c>
      <c r="H318" s="42" t="n">
        <v>41.42</v>
      </c>
      <c r="I318" s="11">
        <f>F318/G318-1</f>
        <v>0.005779636005902811</v>
      </c>
      <c r="J318" s="11">
        <f>F318/H318-1</f>
        <v>-0.012675036214389146</v>
      </c>
      <c r="K318" s="13" t="n">
        <v>2234145</v>
      </c>
      <c r="L318" s="13" t="n">
        <v>4930200</v>
      </c>
      <c r="M318" s="43">
        <f>K318/L318</f>
        <v>0.4531550444201047</v>
      </c>
    </row>
    <row r="319">
      <c r="A319" s="41" t="inlineStr">
        <is>
          <t>NJR</t>
        </is>
      </c>
      <c r="B319" s="37" t="inlineStr">
        <is>
          <t>—</t>
        </is>
      </c>
      <c r="C319" s="37" t="inlineStr">
        <is>
          <t>—</t>
        </is>
      </c>
      <c r="D319" s="6" t="inlineStr">
        <is>
          <t>燃氣公用</t>
        </is>
      </c>
      <c r="E319" s="76" t="n">
        <v>80</v>
      </c>
      <c r="F319" s="42" t="n">
        <v>53.485</v>
      </c>
      <c r="G319" s="42" t="n">
        <v>53.5</v>
      </c>
      <c r="H319" s="42" t="n">
        <v>53.34</v>
      </c>
      <c r="I319" s="11">
        <f>F319/G319-1</f>
        <v>-0.0002803738317757043</v>
      </c>
      <c r="J319" s="11">
        <f>F319/H319-1</f>
        <v>0.0027184101987249853</v>
      </c>
      <c r="K319" s="13" t="n">
        <v>408286</v>
      </c>
      <c r="L319" s="13" t="n">
        <v>546850</v>
      </c>
      <c r="M319" s="43">
        <f>K319/L319</f>
        <v>0.7466142452226388</v>
      </c>
    </row>
    <row r="320">
      <c r="A320" s="41" t="inlineStr">
        <is>
          <t>NKE</t>
        </is>
      </c>
      <c r="B320" s="37" t="inlineStr">
        <is>
          <t>—</t>
        </is>
      </c>
      <c r="C320" s="37" t="inlineStr">
        <is>
          <t>—</t>
        </is>
      </c>
      <c r="D320" s="6" t="inlineStr">
        <is>
          <t>服裝與奢侈品</t>
        </is>
      </c>
      <c r="E320" s="76" t="n">
        <v>41</v>
      </c>
      <c r="F320" s="42" t="n">
        <v>36.385</v>
      </c>
      <c r="G320" s="42" t="n">
        <v>35.78</v>
      </c>
      <c r="H320" s="42" t="n">
        <v>36.62</v>
      </c>
      <c r="I320" s="11">
        <f>F320/G320-1</f>
        <v>0.01690888764672982</v>
      </c>
      <c r="J320" s="11">
        <f>F320/H320-1</f>
        <v>-0.006417258328782038</v>
      </c>
      <c r="K320" s="13" t="n">
        <v>37943348</v>
      </c>
      <c r="L320" s="13" t="n">
        <v>29017450</v>
      </c>
      <c r="M320" s="43">
        <f>K320/L320</f>
        <v>1.3076044931584272</v>
      </c>
    </row>
    <row r="321">
      <c r="A321" s="41" t="inlineStr">
        <is>
          <t>NKTX</t>
        </is>
      </c>
      <c r="B321" s="37" t="inlineStr">
        <is>
          <t>—</t>
        </is>
      </c>
      <c r="C321" s="37" t="inlineStr">
        <is>
          <t>—</t>
        </is>
      </c>
      <c r="D321" s="6" t="inlineStr">
        <is>
          <t>腫瘤與細胞治療</t>
        </is>
      </c>
      <c r="E321" s="76" t="n">
        <v>30</v>
      </c>
      <c r="F321" s="42" t="n">
        <v>2.815</v>
      </c>
      <c r="G321" s="42" t="n">
        <v>2.87</v>
      </c>
      <c r="H321" s="42" t="n">
        <v>2.81</v>
      </c>
      <c r="I321" s="11">
        <f>F321/G321-1</f>
        <v>-0.019163763066202155</v>
      </c>
      <c r="J321" s="11">
        <f>F321/H321-1</f>
        <v>0.001779359430605032</v>
      </c>
      <c r="K321" s="13" t="n">
        <v>497484</v>
      </c>
      <c r="L321" s="13" t="n">
        <v>514900</v>
      </c>
      <c r="M321" s="43">
        <f>K321/L321</f>
        <v>0.9661759564964071</v>
      </c>
    </row>
    <row r="322">
      <c r="A322" s="41" t="inlineStr">
        <is>
          <t>NNE</t>
        </is>
      </c>
      <c r="B322" s="37" t="inlineStr">
        <is>
          <t>—</t>
        </is>
      </c>
      <c r="C322" s="37" t="inlineStr">
        <is>
          <t>—</t>
        </is>
      </c>
      <c r="D322" s="6" t="inlineStr">
        <is>
          <t>小型模組化核能SMR</t>
        </is>
      </c>
      <c r="E322" s="76" t="n">
        <v>54</v>
      </c>
      <c r="F322" s="42" t="n">
        <v>16.965</v>
      </c>
      <c r="G322" s="42" t="n">
        <v>15.64</v>
      </c>
      <c r="H322" s="42" t="n">
        <v>17.36</v>
      </c>
      <c r="I322" s="11">
        <f>F322/G322-1</f>
        <v>0.0847186700767264</v>
      </c>
      <c r="J322" s="11">
        <f>F322/H322-1</f>
        <v>-0.022753456221198176</v>
      </c>
      <c r="K322" s="13" t="n">
        <v>2086495</v>
      </c>
      <c r="L322" s="13" t="n">
        <v>1524850</v>
      </c>
      <c r="M322" s="43">
        <f>K322/L322</f>
        <v>1.3683280322654687</v>
      </c>
    </row>
    <row r="323">
      <c r="A323" s="41" t="inlineStr">
        <is>
          <t>NOC</t>
        </is>
      </c>
      <c r="B323" s="37" t="inlineStr">
        <is>
          <t>—</t>
        </is>
      </c>
      <c r="C323" s="37" t="inlineStr">
        <is>
          <t>—</t>
        </is>
      </c>
      <c r="D323" s="6" t="inlineStr">
        <is>
          <t>航太與國防</t>
        </is>
      </c>
      <c r="E323" s="76" t="n">
        <v>72</v>
      </c>
      <c r="F323" s="42" t="n">
        <v>524</v>
      </c>
      <c r="G323" s="42" t="n">
        <v>530.78</v>
      </c>
      <c r="H323" s="42" t="n">
        <v>518.95</v>
      </c>
      <c r="I323" s="11">
        <f>F323/G323-1</f>
        <v>-0.012773653867892532</v>
      </c>
      <c r="J323" s="11">
        <f>F323/H323-1</f>
        <v>0.009731187975720035</v>
      </c>
      <c r="K323" s="13" t="n">
        <v>914938</v>
      </c>
      <c r="L323" s="13" t="n">
        <v>762100</v>
      </c>
      <c r="M323" s="43">
        <f>K323/L323</f>
        <v>1.2005484844508594</v>
      </c>
    </row>
    <row r="324">
      <c r="A324" s="41" t="inlineStr">
        <is>
          <t>NOW</t>
        </is>
      </c>
      <c r="B324" s="37" t="inlineStr">
        <is>
          <t>—</t>
        </is>
      </c>
      <c r="C324" s="37" t="inlineStr">
        <is>
          <t>—</t>
        </is>
      </c>
      <c r="D324" s="6" t="inlineStr">
        <is>
          <t>企業軟體/SaaS</t>
        </is>
      </c>
      <c r="E324" s="76" t="n">
        <v>50</v>
      </c>
      <c r="F324" s="42" t="n">
        <v>138.49</v>
      </c>
      <c r="G324" s="42" t="n">
        <v>139.82</v>
      </c>
      <c r="H324" s="42" t="n">
        <v>131.17</v>
      </c>
      <c r="I324" s="11">
        <f>F324/G324-1</f>
        <v>-0.009512230010012779</v>
      </c>
      <c r="J324" s="11">
        <f>F324/H324-1</f>
        <v>0.05580544331783188</v>
      </c>
      <c r="K324" s="13" t="n">
        <v>8030339</v>
      </c>
      <c r="L324" s="13" t="n">
        <v>14615900</v>
      </c>
      <c r="M324" s="43">
        <f>K324/L324</f>
        <v>0.5494248729123763</v>
      </c>
    </row>
    <row r="325">
      <c r="A325" s="41" t="inlineStr">
        <is>
          <t>NRG</t>
        </is>
      </c>
      <c r="B325" s="37" t="inlineStr">
        <is>
          <t>—</t>
        </is>
      </c>
      <c r="C325" s="37" t="inlineStr">
        <is>
          <t>—</t>
        </is>
      </c>
      <c r="D325" s="6" t="inlineStr">
        <is>
          <t>IPP與電力交易商</t>
        </is>
      </c>
      <c r="E325" s="76" t="n">
        <v>69</v>
      </c>
      <c r="F325" s="42" t="n">
        <v>106.21</v>
      </c>
      <c r="G325" s="42" t="n">
        <v>107.38</v>
      </c>
      <c r="H325" s="42" t="n">
        <v>111.65</v>
      </c>
      <c r="I325" s="11">
        <f>F325/G325-1</f>
        <v>-0.010895883777239712</v>
      </c>
      <c r="J325" s="11">
        <f>F325/H325-1</f>
        <v>-0.048723690103000594</v>
      </c>
      <c r="K325" s="13" t="n">
        <v>2689538</v>
      </c>
      <c r="L325" s="13" t="n">
        <v>2681250</v>
      </c>
      <c r="M325" s="43">
        <f>K325/L325</f>
        <v>1.0030910955710957</v>
      </c>
    </row>
    <row r="326">
      <c r="A326" s="41" t="inlineStr">
        <is>
          <t>NSC</t>
        </is>
      </c>
      <c r="B326" s="37" t="inlineStr">
        <is>
          <t>—</t>
        </is>
      </c>
      <c r="C326" s="37" t="inlineStr">
        <is>
          <t>—</t>
        </is>
      </c>
      <c r="D326" s="6" t="inlineStr">
        <is>
          <t>鐵路運輸</t>
        </is>
      </c>
      <c r="E326" s="76" t="n">
        <v>73</v>
      </c>
      <c r="F326" s="42" t="n">
        <v>319.04</v>
      </c>
      <c r="G326" s="42" t="n">
        <v>317</v>
      </c>
      <c r="H326" s="42" t="n">
        <v>323.3</v>
      </c>
      <c r="I326" s="11">
        <f>F326/G326-1</f>
        <v>0.006435331230284058</v>
      </c>
      <c r="J326" s="11">
        <f>F326/H326-1</f>
        <v>-0.013176616145994413</v>
      </c>
      <c r="K326" s="13" t="n">
        <v>409765</v>
      </c>
      <c r="L326" s="13" t="n">
        <v>1159250</v>
      </c>
      <c r="M326" s="43">
        <f>K326/L326</f>
        <v>0.3534742290273884</v>
      </c>
    </row>
    <row r="327">
      <c r="A327" s="41" t="inlineStr">
        <is>
          <t>NTLA</t>
        </is>
      </c>
      <c r="B327" s="37" t="inlineStr">
        <is>
          <t>—</t>
        </is>
      </c>
      <c r="C327" s="37" t="inlineStr">
        <is>
          <t>—</t>
        </is>
      </c>
      <c r="D327" s="6" t="inlineStr">
        <is>
          <t>基因治療與基因編輯</t>
        </is>
      </c>
      <c r="E327" s="76" t="n">
        <v>32</v>
      </c>
      <c r="F327" s="42" t="n">
        <v>12.27</v>
      </c>
      <c r="G327" s="42" t="n">
        <v>11.49</v>
      </c>
      <c r="H327" s="42" t="n">
        <v>11.93</v>
      </c>
      <c r="I327" s="11">
        <f>F327/G327-1</f>
        <v>0.06788511749347248</v>
      </c>
      <c r="J327" s="11">
        <f>F327/H327-1</f>
        <v>0.02849958088851623</v>
      </c>
      <c r="K327" s="13" t="n">
        <v>4949482</v>
      </c>
      <c r="L327" s="13" t="n">
        <v>3295000</v>
      </c>
      <c r="M327" s="43">
        <f>K327/L327</f>
        <v>1.5021189681335356</v>
      </c>
    </row>
    <row r="328">
      <c r="A328" s="41" t="inlineStr">
        <is>
          <t>NTR</t>
        </is>
      </c>
      <c r="B328" s="37" t="inlineStr">
        <is>
          <t>—</t>
        </is>
      </c>
      <c r="C328" s="37" t="inlineStr">
        <is>
          <t>—</t>
        </is>
      </c>
      <c r="D328" s="6" t="inlineStr">
        <is>
          <t>基礎化工與化肥</t>
        </is>
      </c>
      <c r="E328" s="76" t="n">
        <v>37</v>
      </c>
      <c r="F328" s="42" t="n">
        <v>78.97</v>
      </c>
      <c r="G328" s="42" t="n">
        <v>77.68000000000001</v>
      </c>
      <c r="H328" s="42" t="n">
        <v>78.73999999999999</v>
      </c>
      <c r="I328" s="11">
        <f>F328/G328-1</f>
        <v>0.016606591143151217</v>
      </c>
      <c r="J328" s="11">
        <f>F328/H328-1</f>
        <v>0.0029210058420117146</v>
      </c>
      <c r="K328" s="13" t="n">
        <v>989041</v>
      </c>
      <c r="L328" s="13" t="n">
        <v>2830000</v>
      </c>
      <c r="M328" s="43">
        <f>K328/L328</f>
        <v>0.3494844522968198</v>
      </c>
    </row>
    <row r="329">
      <c r="A329" s="74" t="inlineStr">
        <is>
          <t>NUE</t>
        </is>
      </c>
      <c r="B329" s="21" t="inlineStr">
        <is>
          <t>⑤</t>
        </is>
      </c>
      <c r="C329" s="99" t="inlineStr">
        <is>
          <t>—</t>
        </is>
      </c>
      <c r="D329" s="16" t="inlineStr">
        <is>
          <t>鋼鐵</t>
        </is>
      </c>
      <c r="E329" s="68" t="n">
        <v>6</v>
      </c>
      <c r="F329" s="100" t="n">
        <v>265.15</v>
      </c>
      <c r="G329" s="100" t="n">
        <v>260.68</v>
      </c>
      <c r="H329" s="100" t="n">
        <v>255.46</v>
      </c>
      <c r="I329" s="17">
        <f>F329/G329-1</f>
        <v>0.017147460487954458</v>
      </c>
      <c r="J329" s="17">
        <f>F329/H329-1</f>
        <v>0.03793157441478101</v>
      </c>
      <c r="K329" s="101" t="n">
        <v>687417</v>
      </c>
      <c r="L329" s="101" t="n">
        <v>1069100</v>
      </c>
      <c r="M329" s="102">
        <f>K329/L329</f>
        <v>0.6429866242633991</v>
      </c>
    </row>
    <row r="330">
      <c r="A330" s="41" t="inlineStr">
        <is>
          <t>NVDA</t>
        </is>
      </c>
      <c r="B330" s="37" t="inlineStr">
        <is>
          <t>—</t>
        </is>
      </c>
      <c r="C330" s="37" t="inlineStr">
        <is>
          <t>—</t>
        </is>
      </c>
      <c r="D330" s="6" t="inlineStr">
        <is>
          <t>AI加速晶片/GPU</t>
        </is>
      </c>
      <c r="E330" s="76" t="n">
        <v>14</v>
      </c>
      <c r="F330" s="42" t="n">
        <v>219.4</v>
      </c>
      <c r="G330" s="42" t="n">
        <v>213.9</v>
      </c>
      <c r="H330" s="42" t="n">
        <v>218.36</v>
      </c>
      <c r="I330" s="11">
        <f>F330/G330-1</f>
        <v>0.025712949976624655</v>
      </c>
      <c r="J330" s="11">
        <f>F330/H330-1</f>
        <v>0.004762777065396628</v>
      </c>
      <c r="K330" s="13" t="n">
        <v>78053237</v>
      </c>
      <c r="L330" s="13" t="n">
        <v>122637300</v>
      </c>
      <c r="M330" s="43">
        <f>K330/L330</f>
        <v>0.636455931433585</v>
      </c>
    </row>
    <row r="331">
      <c r="A331" s="41" t="inlineStr">
        <is>
          <t>NVO</t>
        </is>
      </c>
      <c r="B331" s="37" t="inlineStr">
        <is>
          <t>—</t>
        </is>
      </c>
      <c r="C331" s="37" t="inlineStr">
        <is>
          <t>—</t>
        </is>
      </c>
      <c r="D331" s="6" t="inlineStr">
        <is>
          <t>GLP-1減重與代謝</t>
        </is>
      </c>
      <c r="E331" s="76" t="n">
        <v>65</v>
      </c>
      <c r="F331" s="42" t="n">
        <v>43.2</v>
      </c>
      <c r="G331" s="42" t="n">
        <v>41.71</v>
      </c>
      <c r="H331" s="42" t="n">
        <v>44.01</v>
      </c>
      <c r="I331" s="11">
        <f>F331/G331-1</f>
        <v>0.03572284823783267</v>
      </c>
      <c r="J331" s="11">
        <f>F331/H331-1</f>
        <v>-0.018404907975460016</v>
      </c>
      <c r="K331" s="13" t="n">
        <v>11481492</v>
      </c>
      <c r="L331" s="13" t="n">
        <v>9512950</v>
      </c>
      <c r="M331" s="43">
        <f>K331/L331</f>
        <v>1.2069328651995437</v>
      </c>
    </row>
    <row r="332">
      <c r="A332" s="41" t="inlineStr">
        <is>
          <t>NVR</t>
        </is>
      </c>
      <c r="B332" s="37" t="inlineStr">
        <is>
          <t>—</t>
        </is>
      </c>
      <c r="C332" s="37" t="inlineStr">
        <is>
          <t>—</t>
        </is>
      </c>
      <c r="D332" s="6" t="inlineStr">
        <is>
          <t>住宅建築商</t>
        </is>
      </c>
      <c r="E332" s="76" t="n">
        <v>17</v>
      </c>
      <c r="F332" s="42" t="n">
        <v>6245.8999</v>
      </c>
      <c r="G332" s="42" t="n">
        <v>6186.4302</v>
      </c>
      <c r="H332" s="42" t="n">
        <v>6088.2798</v>
      </c>
      <c r="I332" s="11">
        <f>F332/G332-1</f>
        <v>0.009612926692359691</v>
      </c>
      <c r="J332" s="11">
        <f>F332/H332-1</f>
        <v>0.025889102534347952</v>
      </c>
      <c r="K332" s="13" t="n">
        <v>26331</v>
      </c>
      <c r="L332" s="13" t="n">
        <v>34850</v>
      </c>
      <c r="M332" s="43">
        <f>K332/L332</f>
        <v>0.7555523672883787</v>
      </c>
    </row>
    <row r="333">
      <c r="A333" s="41" t="inlineStr">
        <is>
          <t>NWSA</t>
        </is>
      </c>
      <c r="B333" s="37" t="inlineStr">
        <is>
          <t>—</t>
        </is>
      </c>
      <c r="C333" s="37" t="inlineStr">
        <is>
          <t>—</t>
        </is>
      </c>
      <c r="D333" s="6" t="inlineStr">
        <is>
          <t>傳媒與娛樂內容</t>
        </is>
      </c>
      <c r="E333" s="76" t="n">
        <v>68</v>
      </c>
      <c r="F333" s="42" t="n">
        <v>30.185</v>
      </c>
      <c r="G333" s="42" t="n">
        <v>30.19</v>
      </c>
      <c r="H333" s="42" t="n">
        <v>29.38</v>
      </c>
      <c r="I333" s="11">
        <f>F333/G333-1</f>
        <v>-0.00016561775422330172</v>
      </c>
      <c r="J333" s="11">
        <f>F333/H333-1</f>
        <v>0.027399591558883607</v>
      </c>
      <c r="K333" s="13" t="n">
        <v>1841695</v>
      </c>
      <c r="L333" s="13" t="n">
        <v>3447050</v>
      </c>
      <c r="M333" s="43">
        <f>K333/L333</f>
        <v>0.5342814870686529</v>
      </c>
    </row>
    <row r="334">
      <c r="A334" s="41" t="inlineStr">
        <is>
          <t>NXPI</t>
        </is>
      </c>
      <c r="B334" s="37" t="inlineStr">
        <is>
          <t>—</t>
        </is>
      </c>
      <c r="C334" s="37" t="inlineStr">
        <is>
          <t>—</t>
        </is>
      </c>
      <c r="D334" s="6" t="inlineStr">
        <is>
          <t>類比/功率半導體</t>
        </is>
      </c>
      <c r="E334" s="76" t="n">
        <v>47</v>
      </c>
      <c r="F334" s="42" t="n">
        <v>228.03</v>
      </c>
      <c r="G334" s="42" t="n">
        <v>218.98</v>
      </c>
      <c r="H334" s="42" t="n">
        <v>226.47</v>
      </c>
      <c r="I334" s="11">
        <f>F334/G334-1</f>
        <v>0.0413279751575486</v>
      </c>
      <c r="J334" s="11">
        <f>F334/H334-1</f>
        <v>0.006888329580076791</v>
      </c>
      <c r="K334" s="13" t="n">
        <v>3259007</v>
      </c>
      <c r="L334" s="13" t="n">
        <v>2981000</v>
      </c>
      <c r="M334" s="43">
        <f>K334/L334</f>
        <v>1.0932596444146259</v>
      </c>
    </row>
    <row r="335">
      <c r="A335" s="41" t="inlineStr">
        <is>
          <t>NXT</t>
        </is>
      </c>
      <c r="B335" s="37" t="inlineStr">
        <is>
          <t>—</t>
        </is>
      </c>
      <c r="C335" s="37" t="inlineStr">
        <is>
          <t>—</t>
        </is>
      </c>
      <c r="D335" s="6" t="inlineStr">
        <is>
          <t>再生能源與太陽能</t>
        </is>
      </c>
      <c r="E335" s="76" t="n">
        <v>71</v>
      </c>
      <c r="F335" s="42" t="n">
        <v>83.38</v>
      </c>
      <c r="G335" s="42" t="n">
        <v>78.03</v>
      </c>
      <c r="H335" s="42" t="n">
        <v>81.34999999999999</v>
      </c>
      <c r="I335" s="11">
        <f>F335/G335-1</f>
        <v>0.06856337306164284</v>
      </c>
      <c r="J335" s="11">
        <f>F335/H335-1</f>
        <v>0.02495390288875221</v>
      </c>
      <c r="K335" s="13" t="n">
        <v>2076718</v>
      </c>
      <c r="L335" s="13" t="n">
        <v>1979950</v>
      </c>
      <c r="M335" s="43">
        <f>K335/L335</f>
        <v>1.0488739614636733</v>
      </c>
    </row>
    <row r="336">
      <c r="A336" s="41" t="inlineStr">
        <is>
          <t>O</t>
        </is>
      </c>
      <c r="B336" s="37" t="inlineStr">
        <is>
          <t>—</t>
        </is>
      </c>
      <c r="C336" s="37" t="inlineStr">
        <is>
          <t>—</t>
        </is>
      </c>
      <c r="D336" s="6" t="inlineStr">
        <is>
          <t>零售與購物中心REIT</t>
        </is>
      </c>
      <c r="E336" s="76" t="n">
        <v>101</v>
      </c>
      <c r="F336" s="42" t="n">
        <v>57.32</v>
      </c>
      <c r="G336" s="42" t="n">
        <v>57.15</v>
      </c>
      <c r="H336" s="42" t="n">
        <v>59.57</v>
      </c>
      <c r="I336" s="11">
        <f>F336/G336-1</f>
        <v>0.0029746281714786438</v>
      </c>
      <c r="J336" s="11">
        <f>F336/H336-1</f>
        <v>-0.037770689944602975</v>
      </c>
      <c r="K336" s="13" t="n">
        <v>6551372</v>
      </c>
      <c r="L336" s="13" t="n">
        <v>5424000</v>
      </c>
      <c r="M336" s="43">
        <f>K336/L336</f>
        <v>1.207848820058997</v>
      </c>
    </row>
    <row r="337">
      <c r="A337" s="41" t="inlineStr">
        <is>
          <t>ODFL</t>
        </is>
      </c>
      <c r="B337" s="37" t="inlineStr">
        <is>
          <t>—</t>
        </is>
      </c>
      <c r="C337" s="37" t="inlineStr">
        <is>
          <t>—</t>
        </is>
      </c>
      <c r="D337" s="6" t="inlineStr">
        <is>
          <t>貨運與物流</t>
        </is>
      </c>
      <c r="E337" s="76" t="n">
        <v>88</v>
      </c>
      <c r="F337" s="42" t="n">
        <v>175.04</v>
      </c>
      <c r="G337" s="42" t="n">
        <v>174.36</v>
      </c>
      <c r="H337" s="42" t="n">
        <v>180.55</v>
      </c>
      <c r="I337" s="11">
        <f>F337/G337-1</f>
        <v>0.0038999770589582816</v>
      </c>
      <c r="J337" s="11">
        <f>F337/H337-1</f>
        <v>-0.030517862088064396</v>
      </c>
      <c r="K337" s="13" t="n">
        <v>1062282</v>
      </c>
      <c r="L337" s="13" t="n">
        <v>1449650</v>
      </c>
      <c r="M337" s="43">
        <f>K337/L337</f>
        <v>0.7327851550374228</v>
      </c>
    </row>
    <row r="338">
      <c r="A338" s="41" t="inlineStr">
        <is>
          <t>OHI</t>
        </is>
      </c>
      <c r="B338" s="37" t="inlineStr">
        <is>
          <t>—</t>
        </is>
      </c>
      <c r="C338" s="37" t="inlineStr">
        <is>
          <t>—</t>
        </is>
      </c>
      <c r="D338" s="6" t="inlineStr">
        <is>
          <t>醫療與長者住宅REIT</t>
        </is>
      </c>
      <c r="E338" s="76" t="n">
        <v>81</v>
      </c>
      <c r="F338" s="42" t="n">
        <v>47.36</v>
      </c>
      <c r="G338" s="42" t="n">
        <v>46.91</v>
      </c>
      <c r="H338" s="42" t="n">
        <v>46.95</v>
      </c>
      <c r="I338" s="11">
        <f>F338/G338-1</f>
        <v>0.009592837348113559</v>
      </c>
      <c r="J338" s="11">
        <f>F338/H338-1</f>
        <v>0.008732694355697568</v>
      </c>
      <c r="K338" s="13" t="n">
        <v>1424723</v>
      </c>
      <c r="L338" s="13" t="n">
        <v>1832150</v>
      </c>
      <c r="M338" s="43">
        <f>K338/L338</f>
        <v>0.7776235570231695</v>
      </c>
    </row>
    <row r="339">
      <c r="A339" s="41" t="inlineStr">
        <is>
          <t>OKE</t>
        </is>
      </c>
      <c r="B339" s="37" t="inlineStr">
        <is>
          <t>—</t>
        </is>
      </c>
      <c r="C339" s="37" t="inlineStr">
        <is>
          <t>—</t>
        </is>
      </c>
      <c r="D339" s="6" t="inlineStr">
        <is>
          <t>中游與管道</t>
        </is>
      </c>
      <c r="E339" s="76" t="n">
        <v>52</v>
      </c>
      <c r="F339" s="42" t="n">
        <v>93.20999999999999</v>
      </c>
      <c r="G339" s="42" t="n">
        <v>92.7</v>
      </c>
      <c r="H339" s="42" t="n">
        <v>95.72</v>
      </c>
      <c r="I339" s="11">
        <f>F339/G339-1</f>
        <v>0.005501618122977225</v>
      </c>
      <c r="J339" s="11">
        <f>F339/H339-1</f>
        <v>-0.026222315085666636</v>
      </c>
      <c r="K339" s="13" t="n">
        <v>2543752</v>
      </c>
      <c r="L339" s="13" t="n">
        <v>3112850</v>
      </c>
      <c r="M339" s="43">
        <f>K339/L339</f>
        <v>0.8171778273929036</v>
      </c>
    </row>
    <row r="340">
      <c r="A340" s="60" t="inlineStr">
        <is>
          <t>OKLO</t>
        </is>
      </c>
      <c r="B340" s="103" t="inlineStr">
        <is>
          <t>—</t>
        </is>
      </c>
      <c r="C340" s="104" t="inlineStr">
        <is>
          <t>B 由迴避改為中性｜SMR</t>
        </is>
      </c>
      <c r="D340" s="23" t="inlineStr">
        <is>
          <t>小型模組化核能SMR</t>
        </is>
      </c>
      <c r="E340" s="91" t="n">
        <v>54</v>
      </c>
      <c r="F340" s="61" t="n">
        <v>39.64</v>
      </c>
      <c r="G340" s="61" t="n">
        <v>35.62</v>
      </c>
      <c r="H340" s="61" t="n">
        <v>39.88</v>
      </c>
      <c r="I340" s="24">
        <f>F340/G340-1</f>
        <v>0.11285794497473334</v>
      </c>
      <c r="J340" s="24">
        <f>F340/H340-1</f>
        <v>-0.006018054162487463</v>
      </c>
      <c r="K340" s="62" t="n">
        <v>15666870</v>
      </c>
      <c r="L340" s="62" t="n">
        <v>7856450</v>
      </c>
      <c r="M340" s="63">
        <f>K340/L340</f>
        <v>1.9941411197169205</v>
      </c>
    </row>
    <row r="341">
      <c r="A341" s="41" t="inlineStr">
        <is>
          <t>ON</t>
        </is>
      </c>
      <c r="B341" s="37" t="inlineStr">
        <is>
          <t>—</t>
        </is>
      </c>
      <c r="C341" s="37" t="inlineStr">
        <is>
          <t>—</t>
        </is>
      </c>
      <c r="D341" s="6" t="inlineStr">
        <is>
          <t>類比/功率半導體</t>
        </is>
      </c>
      <c r="E341" s="76" t="n">
        <v>47</v>
      </c>
      <c r="F341" s="42" t="n">
        <v>68.31</v>
      </c>
      <c r="G341" s="42" t="n">
        <v>66.59999999999999</v>
      </c>
      <c r="H341" s="42" t="n">
        <v>70.17</v>
      </c>
      <c r="I341" s="11">
        <f>F341/G341-1</f>
        <v>0.025675675675675746</v>
      </c>
      <c r="J341" s="11">
        <f>F341/H341-1</f>
        <v>-0.026507054296707966</v>
      </c>
      <c r="K341" s="13" t="n">
        <v>14251619</v>
      </c>
      <c r="L341" s="13" t="n">
        <v>7774000</v>
      </c>
      <c r="M341" s="43">
        <f>K341/L341</f>
        <v>1.8332414458451247</v>
      </c>
    </row>
    <row r="342">
      <c r="A342" s="41" t="inlineStr">
        <is>
          <t>ONDS</t>
        </is>
      </c>
      <c r="B342" s="37" t="inlineStr">
        <is>
          <t>—</t>
        </is>
      </c>
      <c r="C342" s="37" t="inlineStr">
        <is>
          <t>—</t>
        </is>
      </c>
      <c r="D342" s="6" t="inlineStr">
        <is>
          <t>國防科技與無人機</t>
        </is>
      </c>
      <c r="E342" s="76" t="n">
        <v>13</v>
      </c>
      <c r="F342" s="42" t="n">
        <v>7.395</v>
      </c>
      <c r="G342" s="42" t="n">
        <v>7.2</v>
      </c>
      <c r="H342" s="42" t="n">
        <v>7.25</v>
      </c>
      <c r="I342" s="11">
        <f>F342/G342-1</f>
        <v>0.027083333333333348</v>
      </c>
      <c r="J342" s="11">
        <f>F342/H342-1</f>
        <v>0.020000000000000018</v>
      </c>
      <c r="K342" s="13" t="n">
        <v>64513317</v>
      </c>
      <c r="L342" s="13" t="n">
        <v>64548800</v>
      </c>
      <c r="M342" s="43">
        <f>K342/L342</f>
        <v>0.9994502918721959</v>
      </c>
    </row>
    <row r="343">
      <c r="A343" s="41" t="inlineStr">
        <is>
          <t>ONON</t>
        </is>
      </c>
      <c r="B343" s="37" t="inlineStr">
        <is>
          <t>—</t>
        </is>
      </c>
      <c r="C343" s="37" t="inlineStr">
        <is>
          <t>—</t>
        </is>
      </c>
      <c r="D343" s="6" t="inlineStr">
        <is>
          <t>服裝與奢侈品</t>
        </is>
      </c>
      <c r="E343" s="76" t="n">
        <v>41</v>
      </c>
      <c r="F343" s="42" t="n">
        <v>27.32</v>
      </c>
      <c r="G343" s="42" t="n">
        <v>27.15</v>
      </c>
      <c r="H343" s="42" t="n">
        <v>26.85</v>
      </c>
      <c r="I343" s="11">
        <f>F343/G343-1</f>
        <v>0.006261510128913406</v>
      </c>
      <c r="J343" s="11">
        <f>F343/H343-1</f>
        <v>0.017504655493482346</v>
      </c>
      <c r="K343" s="13" t="n">
        <v>9476879</v>
      </c>
      <c r="L343" s="13" t="n">
        <v>7248400</v>
      </c>
      <c r="M343" s="43">
        <f>K343/L343</f>
        <v>1.3074442635616137</v>
      </c>
    </row>
    <row r="344">
      <c r="A344" s="41" t="inlineStr">
        <is>
          <t>OPEN</t>
        </is>
      </c>
      <c r="B344" s="37" t="inlineStr">
        <is>
          <t>—</t>
        </is>
      </c>
      <c r="C344" s="37" t="inlineStr">
        <is>
          <t>—</t>
        </is>
      </c>
      <c r="D344" s="6" t="inlineStr">
        <is>
          <t>地產開發與服務</t>
        </is>
      </c>
      <c r="E344" s="76" t="n">
        <v>86</v>
      </c>
      <c r="F344" s="42" t="n">
        <v>2.565</v>
      </c>
      <c r="G344" s="42" t="n">
        <v>2.59</v>
      </c>
      <c r="H344" s="42" t="n">
        <v>2.8</v>
      </c>
      <c r="I344" s="11">
        <f>F344/G344-1</f>
        <v>-0.009652509652509633</v>
      </c>
      <c r="J344" s="11">
        <f>F344/H344-1</f>
        <v>-0.08392857142857135</v>
      </c>
      <c r="K344" s="13" t="n">
        <v>30584510</v>
      </c>
      <c r="L344" s="13" t="n">
        <v>29254500</v>
      </c>
      <c r="M344" s="43">
        <f>K344/L344</f>
        <v>1.0454634329761234</v>
      </c>
    </row>
    <row r="345">
      <c r="A345" s="41" t="inlineStr">
        <is>
          <t>OSCR</t>
        </is>
      </c>
      <c r="B345" s="37" t="inlineStr">
        <is>
          <t>—</t>
        </is>
      </c>
      <c r="C345" s="37" t="inlineStr">
        <is>
          <t>—</t>
        </is>
      </c>
      <c r="D345" s="6" t="inlineStr">
        <is>
          <t>數位醫療與遠距醫療</t>
        </is>
      </c>
      <c r="E345" s="76" t="n">
        <v>55</v>
      </c>
      <c r="F345" s="42" t="n">
        <v>31.98</v>
      </c>
      <c r="G345" s="42" t="n">
        <v>32.34</v>
      </c>
      <c r="H345" s="42" t="n">
        <v>32.58</v>
      </c>
      <c r="I345" s="11">
        <f>F345/G345-1</f>
        <v>-0.011131725417439786</v>
      </c>
      <c r="J345" s="11">
        <f>F345/H345-1</f>
        <v>-0.018416206261510082</v>
      </c>
      <c r="K345" s="13" t="n">
        <v>4715489</v>
      </c>
      <c r="L345" s="13" t="n">
        <v>4778000</v>
      </c>
      <c r="M345" s="43">
        <f>K345/L345</f>
        <v>0.9869169108413562</v>
      </c>
    </row>
    <row r="346">
      <c r="A346" s="41" t="inlineStr">
        <is>
          <t>OWL</t>
        </is>
      </c>
      <c r="B346" s="37" t="inlineStr">
        <is>
          <t>—</t>
        </is>
      </c>
      <c r="C346" s="37" t="inlineStr">
        <is>
          <t>—</t>
        </is>
      </c>
      <c r="D346" s="6" t="inlineStr">
        <is>
          <t>另類資產與私募信貸</t>
        </is>
      </c>
      <c r="E346" s="76" t="n">
        <v>87</v>
      </c>
      <c r="F346" s="42" t="n">
        <v>9.960000000000001</v>
      </c>
      <c r="G346" s="42" t="n">
        <v>10.12</v>
      </c>
      <c r="H346" s="42" t="n">
        <v>10.43</v>
      </c>
      <c r="I346" s="11">
        <f>F346/G346-1</f>
        <v>-0.015810276679841695</v>
      </c>
      <c r="J346" s="11">
        <f>F346/H346-1</f>
        <v>-0.04506232023010537</v>
      </c>
      <c r="K346" s="13" t="n">
        <v>11774141</v>
      </c>
      <c r="L346" s="13" t="n">
        <v>17794500</v>
      </c>
      <c r="M346" s="43">
        <f>K346/L346</f>
        <v>0.6616730450420074</v>
      </c>
    </row>
    <row r="347">
      <c r="A347" s="41" t="inlineStr">
        <is>
          <t>OXY</t>
        </is>
      </c>
      <c r="B347" s="37" t="inlineStr">
        <is>
          <t>—</t>
        </is>
      </c>
      <c r="C347" s="37" t="inlineStr">
        <is>
          <t>—</t>
        </is>
      </c>
      <c r="D347" s="6" t="inlineStr">
        <is>
          <t>頁岩E&amp;P勘探生產</t>
        </is>
      </c>
      <c r="E347" s="76" t="n">
        <v>44</v>
      </c>
      <c r="F347" s="42" t="n">
        <v>59.285</v>
      </c>
      <c r="G347" s="42" t="n">
        <v>59.36</v>
      </c>
      <c r="H347" s="42" t="n">
        <v>61.16</v>
      </c>
      <c r="I347" s="11">
        <f>F347/G347-1</f>
        <v>-0.0012634770889488056</v>
      </c>
      <c r="J347" s="11">
        <f>F347/H347-1</f>
        <v>-0.03065729234793979</v>
      </c>
      <c r="K347" s="13" t="n">
        <v>6821380</v>
      </c>
      <c r="L347" s="13" t="n">
        <v>7087900</v>
      </c>
      <c r="M347" s="43">
        <f>K347/L347</f>
        <v>0.9623978893607416</v>
      </c>
    </row>
    <row r="348">
      <c r="A348" s="41" t="inlineStr">
        <is>
          <t>PAAS</t>
        </is>
      </c>
      <c r="B348" s="37" t="inlineStr">
        <is>
          <t>—</t>
        </is>
      </c>
      <c r="C348" s="37" t="inlineStr">
        <is>
          <t>—</t>
        </is>
      </c>
      <c r="D348" s="6" t="inlineStr">
        <is>
          <t>白銀礦</t>
        </is>
      </c>
      <c r="E348" s="76" t="n">
        <v>59</v>
      </c>
      <c r="F348" s="42" t="n">
        <v>49.63</v>
      </c>
      <c r="G348" s="42" t="n">
        <v>47.56</v>
      </c>
      <c r="H348" s="42" t="n">
        <v>50.65</v>
      </c>
      <c r="I348" s="11">
        <f>F348/G348-1</f>
        <v>0.04352396972245587</v>
      </c>
      <c r="J348" s="11">
        <f>F348/H348-1</f>
        <v>-0.02013820335636718</v>
      </c>
      <c r="K348" s="13" t="n">
        <v>2504068</v>
      </c>
      <c r="L348" s="13" t="n">
        <v>4447150</v>
      </c>
      <c r="M348" s="43">
        <f>K348/L348</f>
        <v>0.5630725295976075</v>
      </c>
    </row>
    <row r="349">
      <c r="A349" s="41" t="inlineStr">
        <is>
          <t>PANW</t>
        </is>
      </c>
      <c r="B349" s="37" t="inlineStr">
        <is>
          <t>—</t>
        </is>
      </c>
      <c r="C349" s="37" t="inlineStr">
        <is>
          <t>—</t>
        </is>
      </c>
      <c r="D349" s="6" t="inlineStr">
        <is>
          <t>網絡安全</t>
        </is>
      </c>
      <c r="E349" s="76" t="n">
        <v>5</v>
      </c>
      <c r="F349" s="42" t="n">
        <v>375.06</v>
      </c>
      <c r="G349" s="42" t="n">
        <v>375.65</v>
      </c>
      <c r="H349" s="42" t="n">
        <v>338.49</v>
      </c>
      <c r="I349" s="11">
        <f>F349/G349-1</f>
        <v>-0.0015706109410354996</v>
      </c>
      <c r="J349" s="11">
        <f>F349/H349-1</f>
        <v>0.10803864220508719</v>
      </c>
      <c r="K349" s="13" t="n">
        <v>4857414</v>
      </c>
      <c r="L349" s="13" t="n">
        <v>5550050</v>
      </c>
      <c r="M349" s="43">
        <f>K349/L349</f>
        <v>0.8752018450284231</v>
      </c>
    </row>
    <row r="350">
      <c r="A350" s="41" t="inlineStr">
        <is>
          <t>PARA</t>
        </is>
      </c>
      <c r="B350" s="37" t="inlineStr">
        <is>
          <t>—</t>
        </is>
      </c>
      <c r="C350" s="37" t="inlineStr">
        <is>
          <t>—</t>
        </is>
      </c>
      <c r="D350" s="6" t="inlineStr">
        <is>
          <t>傳媒與娛樂內容</t>
        </is>
      </c>
      <c r="E350" s="76" t="n">
        <v>68</v>
      </c>
      <c r="F350" s="42" t="n">
        <v>0.9446</v>
      </c>
      <c r="G350" s="42" t="n">
        <v>0.967</v>
      </c>
      <c r="H350" s="42" t="n">
        <v>0.98</v>
      </c>
      <c r="I350" s="11">
        <f>F350/G350-1</f>
        <v>-0.02316442605997926</v>
      </c>
      <c r="J350" s="11">
        <f>F350/H350-1</f>
        <v>-0.036122448979591826</v>
      </c>
      <c r="K350" s="13" t="n">
        <v>117339</v>
      </c>
      <c r="L350" s="13" t="n">
        <v>136800</v>
      </c>
      <c r="M350" s="43">
        <f>K350/L350</f>
        <v>0.8577412280701754</v>
      </c>
    </row>
    <row r="351">
      <c r="A351" s="41" t="inlineStr">
        <is>
          <t>PAYX</t>
        </is>
      </c>
      <c r="B351" s="37" t="inlineStr">
        <is>
          <t>—</t>
        </is>
      </c>
      <c r="C351" s="37" t="inlineStr">
        <is>
          <t>—</t>
        </is>
      </c>
      <c r="D351" s="6" t="inlineStr">
        <is>
          <t>人力與商業服務</t>
        </is>
      </c>
      <c r="E351" s="76" t="n">
        <v>36</v>
      </c>
      <c r="F351" s="42" t="n">
        <v>116.49</v>
      </c>
      <c r="G351" s="42" t="n">
        <v>116.72</v>
      </c>
      <c r="H351" s="42" t="n">
        <v>115.18</v>
      </c>
      <c r="I351" s="11">
        <f>F351/G351-1</f>
        <v>-0.0019705277587388492</v>
      </c>
      <c r="J351" s="11">
        <f>F351/H351-1</f>
        <v>0.011373502344156794</v>
      </c>
      <c r="K351" s="13" t="n">
        <v>1869006</v>
      </c>
      <c r="L351" s="13" t="n">
        <v>2382800</v>
      </c>
      <c r="M351" s="43">
        <f>K351/L351</f>
        <v>0.784373845895585</v>
      </c>
    </row>
    <row r="352">
      <c r="A352" s="41" t="inlineStr">
        <is>
          <t>PCAR</t>
        </is>
      </c>
      <c r="B352" s="37" t="inlineStr">
        <is>
          <t>—</t>
        </is>
      </c>
      <c r="C352" s="37" t="inlineStr">
        <is>
          <t>—</t>
        </is>
      </c>
      <c r="D352" s="6" t="inlineStr">
        <is>
          <t>機械與重工</t>
        </is>
      </c>
      <c r="E352" s="76" t="n">
        <v>38</v>
      </c>
      <c r="F352" s="42" t="n">
        <v>117.35</v>
      </c>
      <c r="G352" s="42" t="n">
        <v>118.22</v>
      </c>
      <c r="H352" s="42" t="n">
        <v>122.57</v>
      </c>
      <c r="I352" s="11">
        <f>F352/G352-1</f>
        <v>-0.007359160886482918</v>
      </c>
      <c r="J352" s="11">
        <f>F352/H352-1</f>
        <v>-0.04258790894998776</v>
      </c>
      <c r="K352" s="13" t="n">
        <v>1974389</v>
      </c>
      <c r="L352" s="13" t="n">
        <v>2337100</v>
      </c>
      <c r="M352" s="43">
        <f>K352/L352</f>
        <v>0.8448029609344915</v>
      </c>
    </row>
    <row r="353">
      <c r="A353" s="41" t="inlineStr">
        <is>
          <t>PEP</t>
        </is>
      </c>
      <c r="B353" s="37" t="inlineStr">
        <is>
          <t>—</t>
        </is>
      </c>
      <c r="C353" s="37" t="inlineStr">
        <is>
          <t>—</t>
        </is>
      </c>
      <c r="D353" s="6" t="inlineStr">
        <is>
          <t>非酒精飲品</t>
        </is>
      </c>
      <c r="E353" s="76" t="n">
        <v>57</v>
      </c>
      <c r="F353" s="42" t="n">
        <v>133.61</v>
      </c>
      <c r="G353" s="42" t="n">
        <v>134.34</v>
      </c>
      <c r="H353" s="42" t="n">
        <v>136.65</v>
      </c>
      <c r="I353" s="11">
        <f>F353/G353-1</f>
        <v>-0.005433973500074352</v>
      </c>
      <c r="J353" s="11">
        <f>F353/H353-1</f>
        <v>-0.022246615440907336</v>
      </c>
      <c r="K353" s="13" t="n">
        <v>8062266</v>
      </c>
      <c r="L353" s="13" t="n">
        <v>7004350</v>
      </c>
      <c r="M353" s="43">
        <f>K353/L353</f>
        <v>1.1510369984366857</v>
      </c>
    </row>
    <row r="354">
      <c r="A354" s="41" t="inlineStr">
        <is>
          <t>PFE</t>
        </is>
      </c>
      <c r="B354" s="37" t="inlineStr">
        <is>
          <t>—</t>
        </is>
      </c>
      <c r="C354" s="37" t="inlineStr">
        <is>
          <t>—</t>
        </is>
      </c>
      <c r="D354" s="6" t="inlineStr">
        <is>
          <t>大型藥廠</t>
        </is>
      </c>
      <c r="E354" s="76" t="n">
        <v>18</v>
      </c>
      <c r="F354" s="42" t="n">
        <v>27.63</v>
      </c>
      <c r="G354" s="42" t="n">
        <v>27.46</v>
      </c>
      <c r="H354" s="42" t="n">
        <v>27.65</v>
      </c>
      <c r="I354" s="11">
        <f>F354/G354-1</f>
        <v>0.006190823015294944</v>
      </c>
      <c r="J354" s="11">
        <f>F354/H354-1</f>
        <v>-0.0007233273056057588</v>
      </c>
      <c r="K354" s="13" t="n">
        <v>17931464</v>
      </c>
      <c r="L354" s="13" t="n">
        <v>30235700</v>
      </c>
      <c r="M354" s="43">
        <f>K354/L354</f>
        <v>0.593056023177899</v>
      </c>
    </row>
    <row r="355">
      <c r="A355" s="41" t="inlineStr">
        <is>
          <t>PFGC</t>
        </is>
      </c>
      <c r="B355" s="37" t="inlineStr">
        <is>
          <t>—</t>
        </is>
      </c>
      <c r="C355" s="37" t="inlineStr">
        <is>
          <t>—</t>
        </is>
      </c>
      <c r="D355" s="6" t="inlineStr">
        <is>
          <t>必需品分銷</t>
        </is>
      </c>
      <c r="E355" s="76" t="n">
        <v>105</v>
      </c>
      <c r="F355" s="42" t="n">
        <v>90.33</v>
      </c>
      <c r="G355" s="42" t="n">
        <v>91.06</v>
      </c>
      <c r="H355" s="42" t="n">
        <v>94.34999999999999</v>
      </c>
      <c r="I355" s="11">
        <f>F355/G355-1</f>
        <v>-0.008016692290797267</v>
      </c>
      <c r="J355" s="11">
        <f>F355/H355-1</f>
        <v>-0.042607313195548446</v>
      </c>
      <c r="K355" s="13" t="n">
        <v>1167275</v>
      </c>
      <c r="L355" s="13" t="n">
        <v>1367050</v>
      </c>
      <c r="M355" s="43">
        <f>K355/L355</f>
        <v>0.8538641600526682</v>
      </c>
    </row>
    <row r="356">
      <c r="A356" s="41" t="inlineStr">
        <is>
          <t>PG</t>
        </is>
      </c>
      <c r="B356" s="37" t="inlineStr">
        <is>
          <t>—</t>
        </is>
      </c>
      <c r="C356" s="37" t="inlineStr">
        <is>
          <t>—</t>
        </is>
      </c>
      <c r="D356" s="6" t="inlineStr">
        <is>
          <t>家庭與個人護理</t>
        </is>
      </c>
      <c r="E356" s="76" t="n">
        <v>26</v>
      </c>
      <c r="F356" s="42" t="n">
        <v>147.54</v>
      </c>
      <c r="G356" s="42" t="n">
        <v>147.02</v>
      </c>
      <c r="H356" s="42" t="n">
        <v>142.97</v>
      </c>
      <c r="I356" s="11">
        <f>F356/G356-1</f>
        <v>0.0035369337505100074</v>
      </c>
      <c r="J356" s="11">
        <f>F356/H356-1</f>
        <v>0.031964747849199115</v>
      </c>
      <c r="K356" s="13" t="n">
        <v>4137680</v>
      </c>
      <c r="L356" s="13" t="n">
        <v>8604150</v>
      </c>
      <c r="M356" s="43">
        <f>K356/L356</f>
        <v>0.48089352231190763</v>
      </c>
    </row>
    <row r="357">
      <c r="A357" s="41" t="inlineStr">
        <is>
          <t>PGR</t>
        </is>
      </c>
      <c r="B357" s="37" t="inlineStr">
        <is>
          <t>—</t>
        </is>
      </c>
      <c r="C357" s="37" t="inlineStr">
        <is>
          <t>—</t>
        </is>
      </c>
      <c r="D357" s="6" t="inlineStr">
        <is>
          <t>產險與再保</t>
        </is>
      </c>
      <c r="E357" s="76" t="n">
        <v>16</v>
      </c>
      <c r="F357" s="42" t="n">
        <v>216.25</v>
      </c>
      <c r="G357" s="42" t="n">
        <v>216.99</v>
      </c>
      <c r="H357" s="42" t="n">
        <v>216.19</v>
      </c>
      <c r="I357" s="11">
        <f>F357/G357-1</f>
        <v>-0.003410295405318231</v>
      </c>
      <c r="J357" s="11">
        <f>F357/H357-1</f>
        <v>0.00027753365095528615</v>
      </c>
      <c r="K357" s="13" t="n">
        <v>3161890</v>
      </c>
      <c r="L357" s="13" t="n">
        <v>1709650</v>
      </c>
      <c r="M357" s="43">
        <f>K357/L357</f>
        <v>1.8494370192729506</v>
      </c>
    </row>
    <row r="358">
      <c r="A358" s="41" t="inlineStr">
        <is>
          <t>PHM</t>
        </is>
      </c>
      <c r="B358" s="37" t="inlineStr">
        <is>
          <t>—</t>
        </is>
      </c>
      <c r="C358" s="37" t="inlineStr">
        <is>
          <t>—</t>
        </is>
      </c>
      <c r="D358" s="6" t="inlineStr">
        <is>
          <t>住宅建築商</t>
        </is>
      </c>
      <c r="E358" s="76" t="n">
        <v>17</v>
      </c>
      <c r="F358" s="42" t="n">
        <v>118.805</v>
      </c>
      <c r="G358" s="42" t="n">
        <v>117.55</v>
      </c>
      <c r="H358" s="42" t="n">
        <v>116.41</v>
      </c>
      <c r="I358" s="11">
        <f>F358/G358-1</f>
        <v>0.010676307954062159</v>
      </c>
      <c r="J358" s="11">
        <f>F358/H358-1</f>
        <v>0.020573833863070323</v>
      </c>
      <c r="K358" s="13" t="n">
        <v>892820</v>
      </c>
      <c r="L358" s="13" t="n">
        <v>1235850</v>
      </c>
      <c r="M358" s="43">
        <f>K358/L358</f>
        <v>0.7224339523404943</v>
      </c>
    </row>
    <row r="359">
      <c r="A359" s="41" t="inlineStr">
        <is>
          <t>PINS</t>
        </is>
      </c>
      <c r="B359" s="37" t="inlineStr">
        <is>
          <t>—</t>
        </is>
      </c>
      <c r="C359" s="37" t="inlineStr">
        <is>
          <t>—</t>
        </is>
      </c>
      <c r="D359" s="6" t="inlineStr">
        <is>
          <t>社交與線上社群</t>
        </is>
      </c>
      <c r="E359" s="76" t="n">
        <v>76</v>
      </c>
      <c r="F359" s="42" t="n">
        <v>18.31</v>
      </c>
      <c r="G359" s="42" t="n">
        <v>18.65</v>
      </c>
      <c r="H359" s="42" t="n">
        <v>18.78</v>
      </c>
      <c r="I359" s="11">
        <f>F359/G359-1</f>
        <v>-0.018230563002681</v>
      </c>
      <c r="J359" s="11">
        <f>F359/H359-1</f>
        <v>-0.0250266240681577</v>
      </c>
      <c r="K359" s="13" t="n">
        <v>27075869</v>
      </c>
      <c r="L359" s="13" t="n">
        <v>11285600</v>
      </c>
      <c r="M359" s="43">
        <f>K359/L359</f>
        <v>2.399151928120791</v>
      </c>
    </row>
    <row r="360">
      <c r="A360" s="41" t="inlineStr">
        <is>
          <t>PKG</t>
        </is>
      </c>
      <c r="B360" s="37" t="inlineStr">
        <is>
          <t>—</t>
        </is>
      </c>
      <c r="C360" s="37" t="inlineStr">
        <is>
          <t>—</t>
        </is>
      </c>
      <c r="D360" s="6" t="inlineStr">
        <is>
          <t>包裝與建材</t>
        </is>
      </c>
      <c r="E360" s="76" t="n">
        <v>60</v>
      </c>
      <c r="F360" s="42" t="n">
        <v>235.6</v>
      </c>
      <c r="G360" s="42" t="n">
        <v>231.45</v>
      </c>
      <c r="H360" s="42" t="n">
        <v>232.41</v>
      </c>
      <c r="I360" s="11">
        <f>F360/G360-1</f>
        <v>0.01793043853964149</v>
      </c>
      <c r="J360" s="11">
        <f>F360/H360-1</f>
        <v>0.013725743298481197</v>
      </c>
      <c r="K360" s="13" t="n">
        <v>428998</v>
      </c>
      <c r="L360" s="13" t="n">
        <v>544850</v>
      </c>
      <c r="M360" s="43">
        <f>K360/L360</f>
        <v>0.7873690006423787</v>
      </c>
    </row>
    <row r="361">
      <c r="A361" s="41" t="inlineStr">
        <is>
          <t>PL</t>
        </is>
      </c>
      <c r="B361" s="37" t="inlineStr">
        <is>
          <t>—</t>
        </is>
      </c>
      <c r="C361" s="37" t="inlineStr">
        <is>
          <t>—</t>
        </is>
      </c>
      <c r="D361" s="6" t="inlineStr">
        <is>
          <t>太空與衛星</t>
        </is>
      </c>
      <c r="E361" s="76" t="n">
        <v>8</v>
      </c>
      <c r="F361" s="42" t="n">
        <v>16.985</v>
      </c>
      <c r="G361" s="42" t="n">
        <v>16.02</v>
      </c>
      <c r="H361" s="42" t="n">
        <v>16.69</v>
      </c>
      <c r="I361" s="11">
        <f>F361/G361-1</f>
        <v>0.06023720349563044</v>
      </c>
      <c r="J361" s="11">
        <f>F361/H361-1</f>
        <v>0.01767525464349906</v>
      </c>
      <c r="K361" s="13" t="n">
        <v>9706831</v>
      </c>
      <c r="L361" s="13" t="n">
        <v>7800750</v>
      </c>
      <c r="M361" s="43">
        <f>K361/L361</f>
        <v>1.2443458641797263</v>
      </c>
    </row>
    <row r="362">
      <c r="A362" s="41" t="inlineStr">
        <is>
          <t>PLD</t>
        </is>
      </c>
      <c r="B362" s="37" t="inlineStr">
        <is>
          <t>—</t>
        </is>
      </c>
      <c r="C362" s="37" t="inlineStr">
        <is>
          <t>—</t>
        </is>
      </c>
      <c r="D362" s="6" t="inlineStr">
        <is>
          <t>工業與物流REIT</t>
        </is>
      </c>
      <c r="E362" s="76" t="n">
        <v>11</v>
      </c>
      <c r="F362" s="42" t="n">
        <v>135.17</v>
      </c>
      <c r="G362" s="42" t="n">
        <v>133.74</v>
      </c>
      <c r="H362" s="42" t="n">
        <v>134.41</v>
      </c>
      <c r="I362" s="11">
        <f>F362/G362-1</f>
        <v>0.010692388215941317</v>
      </c>
      <c r="J362" s="11">
        <f>F362/H362-1</f>
        <v>0.005654341194851531</v>
      </c>
      <c r="K362" s="13" t="n">
        <v>2161519</v>
      </c>
      <c r="L362" s="13" t="n">
        <v>3019150</v>
      </c>
      <c r="M362" s="43">
        <f>K362/L362</f>
        <v>0.7159362734544491</v>
      </c>
    </row>
    <row r="363">
      <c r="A363" s="41" t="inlineStr">
        <is>
          <t>PLTK</t>
        </is>
      </c>
      <c r="B363" s="37" t="inlineStr">
        <is>
          <t>—</t>
        </is>
      </c>
      <c r="C363" s="37" t="inlineStr">
        <is>
          <t>—</t>
        </is>
      </c>
      <c r="D363" s="6" t="inlineStr">
        <is>
          <t>互動遊戲</t>
        </is>
      </c>
      <c r="E363" s="76" t="n">
        <v>83</v>
      </c>
      <c r="F363" s="42" t="n">
        <v>2.31</v>
      </c>
      <c r="G363" s="42" t="n">
        <v>2.33</v>
      </c>
      <c r="H363" s="42" t="n">
        <v>2.22</v>
      </c>
      <c r="I363" s="11">
        <f>F363/G363-1</f>
        <v>-0.008583690987124526</v>
      </c>
      <c r="J363" s="11">
        <f>F363/H363-1</f>
        <v>0.04054054054054057</v>
      </c>
      <c r="K363" s="13" t="n">
        <v>866230</v>
      </c>
      <c r="L363" s="13" t="n">
        <v>1174850</v>
      </c>
      <c r="M363" s="43">
        <f>K363/L363</f>
        <v>0.7373111461037579</v>
      </c>
    </row>
    <row r="364">
      <c r="A364" s="41" t="inlineStr">
        <is>
          <t>PLTR</t>
        </is>
      </c>
      <c r="B364" s="37" t="inlineStr">
        <is>
          <t>—</t>
        </is>
      </c>
      <c r="C364" s="37" t="inlineStr">
        <is>
          <t>—</t>
        </is>
      </c>
      <c r="D364" s="6" t="inlineStr">
        <is>
          <t>資料/分析平台</t>
        </is>
      </c>
      <c r="E364" s="76" t="n">
        <v>4</v>
      </c>
      <c r="F364" s="42" t="n">
        <v>176.18</v>
      </c>
      <c r="G364" s="42" t="n">
        <v>174.34</v>
      </c>
      <c r="H364" s="42" t="n">
        <v>165.86</v>
      </c>
      <c r="I364" s="11">
        <f>F364/G364-1</f>
        <v>0.01055408970976246</v>
      </c>
      <c r="J364" s="11">
        <f>F364/H364-1</f>
        <v>0.06222115036778009</v>
      </c>
      <c r="K364" s="13" t="n">
        <v>19000927</v>
      </c>
      <c r="L364" s="13" t="n">
        <v>27471300</v>
      </c>
      <c r="M364" s="43">
        <f>K364/L364</f>
        <v>0.6916646463764001</v>
      </c>
    </row>
    <row r="365">
      <c r="A365" s="41" t="inlineStr">
        <is>
          <t>PM</t>
        </is>
      </c>
      <c r="B365" s="37" t="inlineStr">
        <is>
          <t>—</t>
        </is>
      </c>
      <c r="C365" s="37" t="inlineStr">
        <is>
          <t>—</t>
        </is>
      </c>
      <c r="D365" s="6" t="inlineStr">
        <is>
          <t>煙草與尼古丁</t>
        </is>
      </c>
      <c r="E365" s="76" t="n">
        <v>63</v>
      </c>
      <c r="F365" s="42" t="n">
        <v>190.48</v>
      </c>
      <c r="G365" s="42" t="n">
        <v>191.71</v>
      </c>
      <c r="H365" s="42" t="n">
        <v>189.77</v>
      </c>
      <c r="I365" s="11">
        <f>F365/G365-1</f>
        <v>-0.006415940743831894</v>
      </c>
      <c r="J365" s="11">
        <f>F365/H365-1</f>
        <v>0.003741371133477278</v>
      </c>
      <c r="K365" s="13" t="n">
        <v>1809532</v>
      </c>
      <c r="L365" s="13" t="n">
        <v>4052550</v>
      </c>
      <c r="M365" s="43">
        <f>K365/L365</f>
        <v>0.4465168844307905</v>
      </c>
    </row>
    <row r="366">
      <c r="A366" s="60" t="inlineStr">
        <is>
          <t>PNC</t>
        </is>
      </c>
      <c r="B366" s="103" t="inlineStr">
        <is>
          <t>—</t>
        </is>
      </c>
      <c r="C366" s="104" t="inlineStr">
        <is>
          <t>A 結構性迴避｜區域銀行</t>
        </is>
      </c>
      <c r="D366" s="23" t="inlineStr">
        <is>
          <t>區域與社區銀行</t>
        </is>
      </c>
      <c r="E366" s="91" t="n">
        <v>104</v>
      </c>
      <c r="F366" s="61" t="n">
        <v>232</v>
      </c>
      <c r="G366" s="61" t="n">
        <v>231.49</v>
      </c>
      <c r="H366" s="61" t="n">
        <v>242.98</v>
      </c>
      <c r="I366" s="24">
        <f>F366/G366-1</f>
        <v>0.002203118925223402</v>
      </c>
      <c r="J366" s="24">
        <f>F366/H366-1</f>
        <v>-0.04518890443657908</v>
      </c>
      <c r="K366" s="62" t="n">
        <v>1165721</v>
      </c>
      <c r="L366" s="62" t="n">
        <v>1537550</v>
      </c>
      <c r="M366" s="63">
        <f>K366/L366</f>
        <v>0.7581678644596924</v>
      </c>
    </row>
    <row r="367">
      <c r="A367" s="41" t="inlineStr">
        <is>
          <t>POET</t>
        </is>
      </c>
      <c r="B367" s="37" t="inlineStr">
        <is>
          <t>—</t>
        </is>
      </c>
      <c r="C367" s="37" t="inlineStr">
        <is>
          <t>—</t>
        </is>
      </c>
      <c r="D367" s="6" t="inlineStr">
        <is>
          <t>光通訊/CPO</t>
        </is>
      </c>
      <c r="E367" s="76" t="n">
        <v>22</v>
      </c>
      <c r="F367" s="42" t="n">
        <v>7.5</v>
      </c>
      <c r="G367" s="42" t="n">
        <v>7.4</v>
      </c>
      <c r="H367" s="42" t="n">
        <v>7.6</v>
      </c>
      <c r="I367" s="11">
        <f>F367/G367-1</f>
        <v>0.013513513513513375</v>
      </c>
      <c r="J367" s="11">
        <f>F367/H367-1</f>
        <v>-0.013157894736842035</v>
      </c>
      <c r="K367" s="13" t="n">
        <v>5961157</v>
      </c>
      <c r="L367" s="13" t="n">
        <v>7189850</v>
      </c>
      <c r="M367" s="43">
        <f>K367/L367</f>
        <v>0.8291072831839329</v>
      </c>
    </row>
    <row r="368">
      <c r="A368" s="41" t="inlineStr">
        <is>
          <t>POOL</t>
        </is>
      </c>
      <c r="B368" s="37" t="inlineStr">
        <is>
          <t>—</t>
        </is>
      </c>
      <c r="C368" s="37" t="inlineStr">
        <is>
          <t>—</t>
        </is>
      </c>
      <c r="D368" s="6" t="inlineStr">
        <is>
          <t>家居耐用與休閒用品</t>
        </is>
      </c>
      <c r="E368" s="76" t="n">
        <v>102</v>
      </c>
      <c r="F368" s="42" t="n">
        <v>167.75</v>
      </c>
      <c r="G368" s="42" t="n">
        <v>167.76</v>
      </c>
      <c r="H368" s="42" t="n">
        <v>175.76</v>
      </c>
      <c r="I368" s="11">
        <f>F368/G368-1</f>
        <v>-5.960896518830694e-05</v>
      </c>
      <c r="J368" s="11">
        <f>F368/H368-1</f>
        <v>-0.04557350933090576</v>
      </c>
      <c r="K368" s="13" t="n">
        <v>711332</v>
      </c>
      <c r="L368" s="13" t="n">
        <v>577550</v>
      </c>
      <c r="M368" s="43">
        <f>K368/L368</f>
        <v>1.2316370876980347</v>
      </c>
    </row>
    <row r="369">
      <c r="A369" s="41" t="inlineStr">
        <is>
          <t>PRIM</t>
        </is>
      </c>
      <c r="B369" s="37" t="inlineStr">
        <is>
          <t>—</t>
        </is>
      </c>
      <c r="C369" s="37" t="inlineStr">
        <is>
          <t>—</t>
        </is>
      </c>
      <c r="D369" s="6" t="inlineStr">
        <is>
          <t>工程建設/EPC</t>
        </is>
      </c>
      <c r="E369" s="76" t="n">
        <v>67</v>
      </c>
      <c r="F369" s="42" t="n">
        <v>76.59</v>
      </c>
      <c r="G369" s="42" t="n">
        <v>76.94</v>
      </c>
      <c r="H369" s="42" t="n">
        <v>72.97</v>
      </c>
      <c r="I369" s="11">
        <f>F369/G369-1</f>
        <v>-0.00454899922017149</v>
      </c>
      <c r="J369" s="11">
        <f>F369/H369-1</f>
        <v>0.04960942853227368</v>
      </c>
      <c r="K369" s="13" t="n">
        <v>1089673</v>
      </c>
      <c r="L369" s="13" t="n">
        <v>1095200</v>
      </c>
      <c r="M369" s="43">
        <f>K369/L369</f>
        <v>0.9949534331628926</v>
      </c>
    </row>
    <row r="370">
      <c r="A370" s="41" t="inlineStr">
        <is>
          <t>PRU</t>
        </is>
      </c>
      <c r="B370" s="37" t="inlineStr">
        <is>
          <t>—</t>
        </is>
      </c>
      <c r="C370" s="37" t="inlineStr">
        <is>
          <t>—</t>
        </is>
      </c>
      <c r="D370" s="6" t="inlineStr">
        <is>
          <t>壽險與年金</t>
        </is>
      </c>
      <c r="E370" s="76" t="n">
        <v>34</v>
      </c>
      <c r="F370" s="42" t="n">
        <v>117.92</v>
      </c>
      <c r="G370" s="42" t="n">
        <v>117.04</v>
      </c>
      <c r="H370" s="42" t="n">
        <v>118.48</v>
      </c>
      <c r="I370" s="11">
        <f>F370/G370-1</f>
        <v>0.007518796992481258</v>
      </c>
      <c r="J370" s="11">
        <f>F370/H370-1</f>
        <v>-0.004726536124240344</v>
      </c>
      <c r="K370" s="13" t="n">
        <v>718963</v>
      </c>
      <c r="L370" s="13" t="n">
        <v>1505850</v>
      </c>
      <c r="M370" s="43">
        <f>K370/L370</f>
        <v>0.4774466248298303</v>
      </c>
    </row>
    <row r="371">
      <c r="A371" s="41" t="inlineStr">
        <is>
          <t>PSA</t>
        </is>
      </c>
      <c r="B371" s="37" t="inlineStr">
        <is>
          <t>—</t>
        </is>
      </c>
      <c r="C371" s="37" t="inlineStr">
        <is>
          <t>—</t>
        </is>
      </c>
      <c r="D371" s="6" t="inlineStr">
        <is>
          <t>特殊型REIT（自存倉/賭場/廣告牌）</t>
        </is>
      </c>
      <c r="E371" s="76" t="n">
        <v>49</v>
      </c>
      <c r="F371" s="42" t="n">
        <v>300.9</v>
      </c>
      <c r="G371" s="42" t="n">
        <v>294.68</v>
      </c>
      <c r="H371" s="42" t="n">
        <v>294.6</v>
      </c>
      <c r="I371" s="11">
        <f>F371/G371-1</f>
        <v>0.02110764218813621</v>
      </c>
      <c r="J371" s="11">
        <f>F371/H371-1</f>
        <v>0.021384928716904117</v>
      </c>
      <c r="K371" s="13" t="n">
        <v>482645</v>
      </c>
      <c r="L371" s="13" t="n">
        <v>735550</v>
      </c>
      <c r="M371" s="43">
        <f>K371/L371</f>
        <v>0.6561688532390728</v>
      </c>
    </row>
    <row r="372">
      <c r="A372" s="74" t="inlineStr">
        <is>
          <t>PSX</t>
        </is>
      </c>
      <c r="B372" s="21" t="inlineStr">
        <is>
          <t>①</t>
        </is>
      </c>
      <c r="C372" s="99" t="inlineStr">
        <is>
          <t>—</t>
        </is>
      </c>
      <c r="D372" s="16" t="inlineStr">
        <is>
          <t>煉油與成品油</t>
        </is>
      </c>
      <c r="E372" s="68" t="n">
        <v>2</v>
      </c>
      <c r="F372" s="100" t="n">
        <v>274.07</v>
      </c>
      <c r="G372" s="100" t="n">
        <v>264.63</v>
      </c>
      <c r="H372" s="100" t="n">
        <v>258.51</v>
      </c>
      <c r="I372" s="17">
        <f>F372/G372-1</f>
        <v>0.03567244832407512</v>
      </c>
      <c r="J372" s="17">
        <f>F372/H372-1</f>
        <v>0.06019109512204568</v>
      </c>
      <c r="K372" s="101" t="n">
        <v>2527722</v>
      </c>
      <c r="L372" s="101" t="n">
        <v>2662400</v>
      </c>
      <c r="M372" s="102">
        <f>K372/L372</f>
        <v>0.949414813701923</v>
      </c>
    </row>
    <row r="373">
      <c r="A373" s="41" t="inlineStr">
        <is>
          <t>PWR</t>
        </is>
      </c>
      <c r="B373" s="37" t="inlineStr">
        <is>
          <t>—</t>
        </is>
      </c>
      <c r="C373" s="37" t="inlineStr">
        <is>
          <t>—</t>
        </is>
      </c>
      <c r="D373" s="6" t="inlineStr">
        <is>
          <t>電氣設備與電網</t>
        </is>
      </c>
      <c r="E373" s="76" t="n">
        <v>21</v>
      </c>
      <c r="F373" s="42" t="n">
        <v>616.535</v>
      </c>
      <c r="G373" s="42" t="n">
        <v>619.28</v>
      </c>
      <c r="H373" s="42" t="n">
        <v>618.73</v>
      </c>
      <c r="I373" s="11">
        <f>F373/G373-1</f>
        <v>-0.004432566851827913</v>
      </c>
      <c r="J373" s="11">
        <f>F373/H373-1</f>
        <v>-0.0035475894170317046</v>
      </c>
      <c r="K373" s="13" t="n">
        <v>571501</v>
      </c>
      <c r="L373" s="13" t="n">
        <v>949400</v>
      </c>
      <c r="M373" s="43">
        <f>K373/L373</f>
        <v>0.6019601853802401</v>
      </c>
    </row>
    <row r="374">
      <c r="A374" s="41" t="inlineStr">
        <is>
          <t>PYPL</t>
        </is>
      </c>
      <c r="B374" s="37" t="inlineStr">
        <is>
          <t>—</t>
        </is>
      </c>
      <c r="C374" s="37" t="inlineStr">
        <is>
          <t>—</t>
        </is>
      </c>
      <c r="D374" s="6" t="inlineStr">
        <is>
          <t>支付與收單</t>
        </is>
      </c>
      <c r="E374" s="76" t="n">
        <v>58</v>
      </c>
      <c r="F374" s="42" t="n">
        <v>52.92</v>
      </c>
      <c r="G374" s="42" t="n">
        <v>52.71</v>
      </c>
      <c r="H374" s="42" t="n">
        <v>53.31</v>
      </c>
      <c r="I374" s="11">
        <f>F374/G374-1</f>
        <v>0.003984063745019917</v>
      </c>
      <c r="J374" s="11">
        <f>F374/H374-1</f>
        <v>-0.007315700619020871</v>
      </c>
      <c r="K374" s="13" t="n">
        <v>5437597</v>
      </c>
      <c r="L374" s="13" t="n">
        <v>10262100</v>
      </c>
      <c r="M374" s="43">
        <f>K374/L374</f>
        <v>0.5298717611405073</v>
      </c>
    </row>
    <row r="375">
      <c r="A375" s="41" t="inlineStr">
        <is>
          <t>QBTS</t>
        </is>
      </c>
      <c r="B375" s="37" t="inlineStr">
        <is>
          <t>—</t>
        </is>
      </c>
      <c r="C375" s="37" t="inlineStr">
        <is>
          <t>—</t>
        </is>
      </c>
      <c r="D375" s="6" t="inlineStr">
        <is>
          <t>量子運算</t>
        </is>
      </c>
      <c r="E375" s="76" t="n">
        <v>15</v>
      </c>
      <c r="F375" s="42" t="n">
        <v>17.68</v>
      </c>
      <c r="G375" s="42" t="n">
        <v>16.27</v>
      </c>
      <c r="H375" s="42" t="n">
        <v>16.66</v>
      </c>
      <c r="I375" s="11">
        <f>F375/G375-1</f>
        <v>0.08666256914566683</v>
      </c>
      <c r="J375" s="11">
        <f>F375/H375-1</f>
        <v>0.061224489795918435</v>
      </c>
      <c r="K375" s="13" t="n">
        <v>19257025</v>
      </c>
      <c r="L375" s="13" t="n">
        <v>13003200</v>
      </c>
      <c r="M375" s="43">
        <f>K375/L375</f>
        <v>1.4809450750584472</v>
      </c>
    </row>
    <row r="376">
      <c r="A376" s="41" t="inlineStr">
        <is>
          <t>QUBT</t>
        </is>
      </c>
      <c r="B376" s="37" t="inlineStr">
        <is>
          <t>—</t>
        </is>
      </c>
      <c r="C376" s="37" t="inlineStr">
        <is>
          <t>—</t>
        </is>
      </c>
      <c r="D376" s="6" t="inlineStr">
        <is>
          <t>量子運算</t>
        </is>
      </c>
      <c r="E376" s="76" t="n">
        <v>15</v>
      </c>
      <c r="F376" s="42" t="n">
        <v>8.449999999999999</v>
      </c>
      <c r="G376" s="42" t="n">
        <v>8</v>
      </c>
      <c r="H376" s="42" t="n">
        <v>7.82</v>
      </c>
      <c r="I376" s="11">
        <f>F376/G376-1</f>
        <v>0.05624999999999991</v>
      </c>
      <c r="J376" s="11">
        <f>F376/H376-1</f>
        <v>0.0805626598465472</v>
      </c>
      <c r="K376" s="13" t="n">
        <v>6787827</v>
      </c>
      <c r="L376" s="13" t="n">
        <v>5761750</v>
      </c>
      <c r="M376" s="43">
        <f>K376/L376</f>
        <v>1.17808426259383</v>
      </c>
    </row>
    <row r="377">
      <c r="A377" s="41" t="inlineStr">
        <is>
          <t>RBLX</t>
        </is>
      </c>
      <c r="B377" s="37" t="inlineStr">
        <is>
          <t>—</t>
        </is>
      </c>
      <c r="C377" s="37" t="inlineStr">
        <is>
          <t>—</t>
        </is>
      </c>
      <c r="D377" s="6" t="inlineStr">
        <is>
          <t>互動遊戲</t>
        </is>
      </c>
      <c r="E377" s="76" t="n">
        <v>83</v>
      </c>
      <c r="F377" s="42" t="n">
        <v>47.48</v>
      </c>
      <c r="G377" s="42" t="n">
        <v>47.43</v>
      </c>
      <c r="H377" s="42" t="n">
        <v>44.88</v>
      </c>
      <c r="I377" s="11">
        <f>F377/G377-1</f>
        <v>0.001054185114906181</v>
      </c>
      <c r="J377" s="11">
        <f>F377/H377-1</f>
        <v>0.05793226381461669</v>
      </c>
      <c r="K377" s="13" t="n">
        <v>4912462</v>
      </c>
      <c r="L377" s="13" t="n">
        <v>9159100</v>
      </c>
      <c r="M377" s="43">
        <f>K377/L377</f>
        <v>0.5363476760817111</v>
      </c>
    </row>
    <row r="378">
      <c r="A378" s="41" t="inlineStr">
        <is>
          <t>RCAT</t>
        </is>
      </c>
      <c r="B378" s="37" t="inlineStr">
        <is>
          <t>—</t>
        </is>
      </c>
      <c r="C378" s="37" t="inlineStr">
        <is>
          <t>—</t>
        </is>
      </c>
      <c r="D378" s="6" t="inlineStr">
        <is>
          <t>國防科技與無人機</t>
        </is>
      </c>
      <c r="E378" s="76" t="n">
        <v>13</v>
      </c>
      <c r="F378" s="42" t="n">
        <v>7.095</v>
      </c>
      <c r="G378" s="42" t="n">
        <v>7.095</v>
      </c>
      <c r="H378" s="42" t="n">
        <v>8.08</v>
      </c>
      <c r="I378" s="11">
        <f>F378/G378-1</f>
        <v>0.0</v>
      </c>
      <c r="J378" s="11">
        <f>F378/H378-1</f>
        <v>-0.12190594059405946</v>
      </c>
      <c r="K378" s="13" t="n">
        <v>11150891</v>
      </c>
      <c r="L378" s="13" t="n">
        <v>5824100</v>
      </c>
      <c r="M378" s="43">
        <f>K378/L378</f>
        <v>1.9146118713620988</v>
      </c>
    </row>
    <row r="379">
      <c r="A379" s="41" t="inlineStr">
        <is>
          <t>RCL</t>
        </is>
      </c>
      <c r="B379" s="37" t="inlineStr">
        <is>
          <t>—</t>
        </is>
      </c>
      <c r="C379" s="37" t="inlineStr">
        <is>
          <t>—</t>
        </is>
      </c>
      <c r="D379" s="6" t="inlineStr">
        <is>
          <t>酒店與郵輪</t>
        </is>
      </c>
      <c r="E379" s="76" t="n">
        <v>85</v>
      </c>
      <c r="F379" s="42" t="n">
        <v>249.74</v>
      </c>
      <c r="G379" s="42" t="n">
        <v>253.92</v>
      </c>
      <c r="H379" s="42" t="n">
        <v>259.01</v>
      </c>
      <c r="I379" s="11">
        <f>F379/G379-1</f>
        <v>-0.016461877756773657</v>
      </c>
      <c r="J379" s="11">
        <f>F379/H379-1</f>
        <v>-0.03579012393343883</v>
      </c>
      <c r="K379" s="13" t="n">
        <v>1295345</v>
      </c>
      <c r="L379" s="13" t="n">
        <v>1823700</v>
      </c>
      <c r="M379" s="43">
        <f>K379/L379</f>
        <v>0.7102840379448374</v>
      </c>
    </row>
    <row r="380">
      <c r="A380" s="41" t="inlineStr">
        <is>
          <t>RDDT</t>
        </is>
      </c>
      <c r="B380" s="37" t="inlineStr">
        <is>
          <t>—</t>
        </is>
      </c>
      <c r="C380" s="37" t="inlineStr">
        <is>
          <t>—</t>
        </is>
      </c>
      <c r="D380" s="6" t="inlineStr">
        <is>
          <t>社交與線上社群</t>
        </is>
      </c>
      <c r="E380" s="76" t="n">
        <v>76</v>
      </c>
      <c r="F380" s="42" t="n">
        <v>152.9</v>
      </c>
      <c r="G380" s="42" t="n">
        <v>157.6</v>
      </c>
      <c r="H380" s="42" t="n">
        <v>155.34</v>
      </c>
      <c r="I380" s="11">
        <f>F380/G380-1</f>
        <v>-0.029822335025380675</v>
      </c>
      <c r="J380" s="11">
        <f>F380/H380-1</f>
        <v>-0.015707480365649507</v>
      </c>
      <c r="K380" s="13" t="n">
        <v>5192516</v>
      </c>
      <c r="L380" s="13" t="n">
        <v>4203950</v>
      </c>
      <c r="M380" s="43">
        <f>K380/L380</f>
        <v>1.2351517025654444</v>
      </c>
    </row>
    <row r="381">
      <c r="A381" s="41" t="inlineStr">
        <is>
          <t>RDW</t>
        </is>
      </c>
      <c r="B381" s="37" t="inlineStr">
        <is>
          <t>—</t>
        </is>
      </c>
      <c r="C381" s="37" t="inlineStr">
        <is>
          <t>—</t>
        </is>
      </c>
      <c r="D381" s="6" t="inlineStr">
        <is>
          <t>太空與衛星</t>
        </is>
      </c>
      <c r="E381" s="76" t="n">
        <v>8</v>
      </c>
      <c r="F381" s="42" t="n">
        <v>11.54</v>
      </c>
      <c r="G381" s="42" t="n">
        <v>10.79</v>
      </c>
      <c r="H381" s="42" t="n">
        <v>10.87</v>
      </c>
      <c r="I381" s="11">
        <f>F381/G381-1</f>
        <v>0.06950880444856344</v>
      </c>
      <c r="J381" s="11">
        <f>F381/H381-1</f>
        <v>0.06163753449861997</v>
      </c>
      <c r="K381" s="13" t="n">
        <v>11443558</v>
      </c>
      <c r="L381" s="13" t="n">
        <v>10825900</v>
      </c>
      <c r="M381" s="43">
        <f>K381/L381</f>
        <v>1.0570537322532076</v>
      </c>
    </row>
    <row r="382">
      <c r="A382" s="41" t="inlineStr">
        <is>
          <t>REG</t>
        </is>
      </c>
      <c r="B382" s="37" t="inlineStr">
        <is>
          <t>—</t>
        </is>
      </c>
      <c r="C382" s="37" t="inlineStr">
        <is>
          <t>—</t>
        </is>
      </c>
      <c r="D382" s="6" t="inlineStr">
        <is>
          <t>零售與購物中心REIT</t>
        </is>
      </c>
      <c r="E382" s="76" t="n">
        <v>101</v>
      </c>
      <c r="F382" s="42" t="n">
        <v>73.127</v>
      </c>
      <c r="G382" s="42" t="n">
        <v>73.26000000000001</v>
      </c>
      <c r="H382" s="42" t="n">
        <v>75.31</v>
      </c>
      <c r="I382" s="11">
        <f>F382/G382-1</f>
        <v>-0.0018154518154519517</v>
      </c>
      <c r="J382" s="11">
        <f>F382/H382-1</f>
        <v>-0.028986854335413703</v>
      </c>
      <c r="K382" s="13" t="n">
        <v>787118</v>
      </c>
      <c r="L382" s="13" t="n">
        <v>1243300</v>
      </c>
      <c r="M382" s="43">
        <f>K382/L382</f>
        <v>0.6330877503418322</v>
      </c>
    </row>
    <row r="383">
      <c r="A383" s="41" t="inlineStr">
        <is>
          <t>REGN</t>
        </is>
      </c>
      <c r="B383" s="37" t="inlineStr">
        <is>
          <t>—</t>
        </is>
      </c>
      <c r="C383" s="37" t="inlineStr">
        <is>
          <t>—</t>
        </is>
      </c>
      <c r="D383" s="6" t="inlineStr">
        <is>
          <t>大型生物科技</t>
        </is>
      </c>
      <c r="E383" s="76" t="n">
        <v>19</v>
      </c>
      <c r="F383" s="42" t="n">
        <v>789.11</v>
      </c>
      <c r="G383" s="42" t="n">
        <v>774.61</v>
      </c>
      <c r="H383" s="42" t="n">
        <v>793.26</v>
      </c>
      <c r="I383" s="11">
        <f>F383/G383-1</f>
        <v>0.018719097352215996</v>
      </c>
      <c r="J383" s="11">
        <f>F383/H383-1</f>
        <v>-0.0052315760280361445</v>
      </c>
      <c r="K383" s="13" t="n">
        <v>421110</v>
      </c>
      <c r="L383" s="13" t="n">
        <v>588200</v>
      </c>
      <c r="M383" s="43">
        <f>K383/L383</f>
        <v>0.7159299557973479</v>
      </c>
    </row>
    <row r="384">
      <c r="A384" s="41" t="inlineStr">
        <is>
          <t>RGLD</t>
        </is>
      </c>
      <c r="B384" s="37" t="inlineStr">
        <is>
          <t>—</t>
        </is>
      </c>
      <c r="C384" s="37" t="inlineStr">
        <is>
          <t>—</t>
        </is>
      </c>
      <c r="D384" s="6" t="inlineStr">
        <is>
          <t>黃金與貴金屬礦</t>
        </is>
      </c>
      <c r="E384" s="76" t="n">
        <v>28</v>
      </c>
      <c r="F384" s="42" t="n">
        <v>251.37</v>
      </c>
      <c r="G384" s="42" t="n">
        <v>245.51</v>
      </c>
      <c r="H384" s="42" t="n">
        <v>253.98</v>
      </c>
      <c r="I384" s="11">
        <f>F384/G384-1</f>
        <v>0.02386868152010102</v>
      </c>
      <c r="J384" s="11">
        <f>F384/H384-1</f>
        <v>-0.010276399716513063</v>
      </c>
      <c r="K384" s="13" t="n">
        <v>347207</v>
      </c>
      <c r="L384" s="13" t="n">
        <v>662300</v>
      </c>
      <c r="M384" s="43">
        <f>K384/L384</f>
        <v>0.5242443001660879</v>
      </c>
    </row>
    <row r="385">
      <c r="A385" s="41" t="inlineStr">
        <is>
          <t>RGTI</t>
        </is>
      </c>
      <c r="B385" s="37" t="inlineStr">
        <is>
          <t>—</t>
        </is>
      </c>
      <c r="C385" s="37" t="inlineStr">
        <is>
          <t>—</t>
        </is>
      </c>
      <c r="D385" s="6" t="inlineStr">
        <is>
          <t>量子運算</t>
        </is>
      </c>
      <c r="E385" s="76" t="n">
        <v>15</v>
      </c>
      <c r="F385" s="42" t="n">
        <v>15.99</v>
      </c>
      <c r="G385" s="42" t="n">
        <v>14.79</v>
      </c>
      <c r="H385" s="42" t="n">
        <v>15.16</v>
      </c>
      <c r="I385" s="11">
        <f>F385/G385-1</f>
        <v>0.08113590263691695</v>
      </c>
      <c r="J385" s="11">
        <f>F385/H385-1</f>
        <v>0.05474934036939305</v>
      </c>
      <c r="K385" s="13" t="n">
        <v>17509045</v>
      </c>
      <c r="L385" s="13" t="n">
        <v>14500900</v>
      </c>
      <c r="M385" s="43">
        <f>K385/L385</f>
        <v>1.2074453999406933</v>
      </c>
    </row>
    <row r="386">
      <c r="A386" s="41" t="inlineStr">
        <is>
          <t>RHI</t>
        </is>
      </c>
      <c r="B386" s="37" t="inlineStr">
        <is>
          <t>—</t>
        </is>
      </c>
      <c r="C386" s="37" t="inlineStr">
        <is>
          <t>—</t>
        </is>
      </c>
      <c r="D386" s="6" t="inlineStr">
        <is>
          <t>人力與商業服務</t>
        </is>
      </c>
      <c r="E386" s="76" t="n">
        <v>36</v>
      </c>
      <c r="F386" s="42" t="n">
        <v>37.29</v>
      </c>
      <c r="G386" s="42" t="n">
        <v>37.09</v>
      </c>
      <c r="H386" s="42" t="n">
        <v>37.42</v>
      </c>
      <c r="I386" s="11">
        <f>F386/G386-1</f>
        <v>0.0053922890266917545</v>
      </c>
      <c r="J386" s="11">
        <f>F386/H386-1</f>
        <v>-0.0034740780331373733</v>
      </c>
      <c r="K386" s="13" t="n">
        <v>1297191</v>
      </c>
      <c r="L386" s="13" t="n">
        <v>1835500</v>
      </c>
      <c r="M386" s="43">
        <f>K386/L386</f>
        <v>0.7067235085807682</v>
      </c>
    </row>
    <row r="387">
      <c r="A387" s="41" t="inlineStr">
        <is>
          <t>RIG</t>
        </is>
      </c>
      <c r="B387" s="37" t="inlineStr">
        <is>
          <t>—</t>
        </is>
      </c>
      <c r="C387" s="37" t="inlineStr">
        <is>
          <t>—</t>
        </is>
      </c>
      <c r="D387" s="6" t="inlineStr">
        <is>
          <t>海上鑽井與設備</t>
        </is>
      </c>
      <c r="E387" s="76" t="n">
        <v>79</v>
      </c>
      <c r="F387" s="42" t="n">
        <v>5.65</v>
      </c>
      <c r="G387" s="42" t="n">
        <v>5.54</v>
      </c>
      <c r="H387" s="42" t="n">
        <v>5.77</v>
      </c>
      <c r="I387" s="11">
        <f>F387/G387-1</f>
        <v>0.019855595667870096</v>
      </c>
      <c r="J387" s="11">
        <f>F387/H387-1</f>
        <v>-0.020797227036394972</v>
      </c>
      <c r="K387" s="13" t="n">
        <v>38625282</v>
      </c>
      <c r="L387" s="13" t="n">
        <v>41481650</v>
      </c>
      <c r="M387" s="43">
        <f>K387/L387</f>
        <v>0.9311414083094574</v>
      </c>
    </row>
    <row r="388">
      <c r="A388" s="41" t="inlineStr">
        <is>
          <t>RIOT</t>
        </is>
      </c>
      <c r="B388" s="37" t="inlineStr">
        <is>
          <t>—</t>
        </is>
      </c>
      <c r="C388" s="37" t="inlineStr">
        <is>
          <t>—</t>
        </is>
      </c>
      <c r="D388" s="6" t="inlineStr">
        <is>
          <t>數位資產金融與礦業轉HPC</t>
        </is>
      </c>
      <c r="E388" s="76" t="n">
        <v>51</v>
      </c>
      <c r="F388" s="42" t="n">
        <v>21.88</v>
      </c>
      <c r="G388" s="42" t="n">
        <v>20.35</v>
      </c>
      <c r="H388" s="42" t="n">
        <v>20.95</v>
      </c>
      <c r="I388" s="11">
        <f>F388/G388-1</f>
        <v>0.07518427518427506</v>
      </c>
      <c r="J388" s="11">
        <f>F388/H388-1</f>
        <v>0.04439140811455844</v>
      </c>
      <c r="K388" s="13" t="n">
        <v>14627135</v>
      </c>
      <c r="L388" s="13" t="n">
        <v>15157300</v>
      </c>
      <c r="M388" s="43">
        <f>K388/L388</f>
        <v>0.9650224644230833</v>
      </c>
    </row>
    <row r="389">
      <c r="A389" s="41" t="inlineStr">
        <is>
          <t>RIVN</t>
        </is>
      </c>
      <c r="B389" s="37" t="inlineStr">
        <is>
          <t>—</t>
        </is>
      </c>
      <c r="C389" s="37" t="inlineStr">
        <is>
          <t>—</t>
        </is>
      </c>
      <c r="D389" s="6" t="inlineStr">
        <is>
          <t>電動車與新能源車</t>
        </is>
      </c>
      <c r="E389" s="76" t="n">
        <v>78</v>
      </c>
      <c r="F389" s="42" t="n">
        <v>15.39</v>
      </c>
      <c r="G389" s="42" t="n">
        <v>15.23</v>
      </c>
      <c r="H389" s="42" t="n">
        <v>16.05</v>
      </c>
      <c r="I389" s="11">
        <f>F389/G389-1</f>
        <v>0.010505581089954141</v>
      </c>
      <c r="J389" s="11">
        <f>F389/H389-1</f>
        <v>-0.04112149532710285</v>
      </c>
      <c r="K389" s="13" t="n">
        <v>23061845</v>
      </c>
      <c r="L389" s="13" t="n">
        <v>18435500</v>
      </c>
      <c r="M389" s="43">
        <f>K389/L389</f>
        <v>1.2509476282172982</v>
      </c>
    </row>
    <row r="390">
      <c r="A390" s="74" t="inlineStr">
        <is>
          <t>RKLB</t>
        </is>
      </c>
      <c r="B390" s="21" t="inlineStr">
        <is>
          <t>④</t>
        </is>
      </c>
      <c r="C390" s="99" t="inlineStr">
        <is>
          <t>—</t>
        </is>
      </c>
      <c r="D390" s="16" t="inlineStr">
        <is>
          <t>太空與衛星</t>
        </is>
      </c>
      <c r="E390" s="68" t="n">
        <v>8</v>
      </c>
      <c r="F390" s="100" t="n">
        <v>67.80500000000001</v>
      </c>
      <c r="G390" s="100" t="n">
        <v>63.7</v>
      </c>
      <c r="H390" s="100" t="n">
        <v>61.96</v>
      </c>
      <c r="I390" s="17">
        <f>F390/G390-1</f>
        <v>0.06444270015698583</v>
      </c>
      <c r="J390" s="17">
        <f>F390/H390-1</f>
        <v>0.09433505487411242</v>
      </c>
      <c r="K390" s="101" t="n">
        <v>18977980</v>
      </c>
      <c r="L390" s="101" t="n">
        <v>15903100</v>
      </c>
      <c r="M390" s="102">
        <f>K390/L390</f>
        <v>1.193350981884035</v>
      </c>
    </row>
    <row r="391">
      <c r="A391" s="41" t="inlineStr">
        <is>
          <t>RL</t>
        </is>
      </c>
      <c r="B391" s="37" t="inlineStr">
        <is>
          <t>—</t>
        </is>
      </c>
      <c r="C391" s="37" t="inlineStr">
        <is>
          <t>—</t>
        </is>
      </c>
      <c r="D391" s="6" t="inlineStr">
        <is>
          <t>服裝與奢侈品</t>
        </is>
      </c>
      <c r="E391" s="76" t="n">
        <v>41</v>
      </c>
      <c r="F391" s="42" t="n">
        <v>333.08</v>
      </c>
      <c r="G391" s="42" t="n">
        <v>338.36</v>
      </c>
      <c r="H391" s="42" t="n">
        <v>336.67</v>
      </c>
      <c r="I391" s="11">
        <f>F391/G391-1</f>
        <v>-0.015604681404421394</v>
      </c>
      <c r="J391" s="11">
        <f>F391/H391-1</f>
        <v>-0.010663260759794513</v>
      </c>
      <c r="K391" s="13" t="n">
        <v>384482</v>
      </c>
      <c r="L391" s="13" t="n">
        <v>639000</v>
      </c>
      <c r="M391" s="43">
        <f>K391/L391</f>
        <v>0.6016932707355243</v>
      </c>
    </row>
    <row r="392">
      <c r="A392" s="74" t="inlineStr">
        <is>
          <t>RNR</t>
        </is>
      </c>
      <c r="B392" s="21" t="inlineStr">
        <is>
          <t>⑦</t>
        </is>
      </c>
      <c r="C392" s="99" t="inlineStr">
        <is>
          <t>—</t>
        </is>
      </c>
      <c r="D392" s="16" t="inlineStr">
        <is>
          <t>產險與再保</t>
        </is>
      </c>
      <c r="E392" s="68" t="n">
        <v>16</v>
      </c>
      <c r="F392" s="100" t="n">
        <v>328.71</v>
      </c>
      <c r="G392" s="100" t="n">
        <v>328.43</v>
      </c>
      <c r="H392" s="100" t="n">
        <v>326.53</v>
      </c>
      <c r="I392" s="17">
        <f>F392/G392-1</f>
        <v>0.0008525408762900533</v>
      </c>
      <c r="J392" s="17">
        <f>F392/H392-1</f>
        <v>0.0066762625179921375</v>
      </c>
      <c r="K392" s="101" t="n">
        <v>183448</v>
      </c>
      <c r="L392" s="101" t="n">
        <v>234950</v>
      </c>
      <c r="M392" s="102">
        <f>K392/L392</f>
        <v>0.7807959140242605</v>
      </c>
    </row>
    <row r="393">
      <c r="A393" s="41" t="inlineStr">
        <is>
          <t>ROK</t>
        </is>
      </c>
      <c r="B393" s="37" t="inlineStr">
        <is>
          <t>—</t>
        </is>
      </c>
      <c r="C393" s="37" t="inlineStr">
        <is>
          <t>—</t>
        </is>
      </c>
      <c r="D393" s="6" t="inlineStr">
        <is>
          <t>工業自動化與機器人</t>
        </is>
      </c>
      <c r="E393" s="76" t="n">
        <v>24</v>
      </c>
      <c r="F393" s="42" t="n">
        <v>409.85</v>
      </c>
      <c r="G393" s="42" t="n">
        <v>414.92</v>
      </c>
      <c r="H393" s="42" t="n">
        <v>421.37</v>
      </c>
      <c r="I393" s="11">
        <f>F393/G393-1</f>
        <v>-0.012219222982743694</v>
      </c>
      <c r="J393" s="11">
        <f>F393/H393-1</f>
        <v>-0.027339392932577034</v>
      </c>
      <c r="K393" s="13" t="n">
        <v>804512</v>
      </c>
      <c r="L393" s="13" t="n">
        <v>665050</v>
      </c>
      <c r="M393" s="43">
        <f>K393/L393</f>
        <v>1.2097015262010375</v>
      </c>
    </row>
    <row r="394">
      <c r="A394" s="41" t="inlineStr">
        <is>
          <t>ROKU</t>
        </is>
      </c>
      <c r="B394" s="37" t="inlineStr">
        <is>
          <t>—</t>
        </is>
      </c>
      <c r="C394" s="37" t="inlineStr">
        <is>
          <t>—</t>
        </is>
      </c>
      <c r="D394" s="6" t="inlineStr">
        <is>
          <t>串流影音</t>
        </is>
      </c>
      <c r="E394" s="76" t="n">
        <v>89</v>
      </c>
      <c r="F394" s="42" t="n">
        <v>154.09</v>
      </c>
      <c r="G394" s="42" t="n">
        <v>155.12</v>
      </c>
      <c r="H394" s="42" t="n">
        <v>154.12</v>
      </c>
      <c r="I394" s="11">
        <f>F394/G394-1</f>
        <v>-0.006640020629190335</v>
      </c>
      <c r="J394" s="11">
        <f>F394/H394-1</f>
        <v>-0.00019465351674019526</v>
      </c>
      <c r="K394" s="13" t="n">
        <v>1151490</v>
      </c>
      <c r="L394" s="13" t="n">
        <v>2050050</v>
      </c>
      <c r="M394" s="43">
        <f>K394/L394</f>
        <v>0.5616887392990415</v>
      </c>
    </row>
    <row r="395">
      <c r="A395" s="41" t="inlineStr">
        <is>
          <t>ROST</t>
        </is>
      </c>
      <c r="B395" s="37" t="inlineStr">
        <is>
          <t>—</t>
        </is>
      </c>
      <c r="C395" s="37" t="inlineStr">
        <is>
          <t>—</t>
        </is>
      </c>
      <c r="D395" s="6" t="inlineStr">
        <is>
          <t>專門零售</t>
        </is>
      </c>
      <c r="E395" s="76" t="n">
        <v>62</v>
      </c>
      <c r="F395" s="42" t="n">
        <v>229.51</v>
      </c>
      <c r="G395" s="42" t="n">
        <v>224.8</v>
      </c>
      <c r="H395" s="42" t="n">
        <v>225.48</v>
      </c>
      <c r="I395" s="11">
        <f>F395/G395-1</f>
        <v>0.02095195729537358</v>
      </c>
      <c r="J395" s="11">
        <f>F395/H395-1</f>
        <v>0.017872982082668187</v>
      </c>
      <c r="K395" s="13" t="n">
        <v>1824779</v>
      </c>
      <c r="L395" s="13" t="n">
        <v>2302450</v>
      </c>
      <c r="M395" s="43">
        <f>K395/L395</f>
        <v>0.7925379487068123</v>
      </c>
    </row>
    <row r="396">
      <c r="A396" s="74" t="inlineStr">
        <is>
          <t>RS</t>
        </is>
      </c>
      <c r="B396" s="21" t="inlineStr">
        <is>
          <t>⑤</t>
        </is>
      </c>
      <c r="C396" s="99" t="inlineStr">
        <is>
          <t>—</t>
        </is>
      </c>
      <c r="D396" s="16" t="inlineStr">
        <is>
          <t>鋼鐵</t>
        </is>
      </c>
      <c r="E396" s="68" t="n">
        <v>6</v>
      </c>
      <c r="F396" s="100" t="n">
        <v>400.53</v>
      </c>
      <c r="G396" s="100" t="n">
        <v>394.3</v>
      </c>
      <c r="H396" s="100" t="n">
        <v>392.4</v>
      </c>
      <c r="I396" s="17">
        <f>F396/G396-1</f>
        <v>0.015800152168399695</v>
      </c>
      <c r="J396" s="17">
        <f>F396/H396-1</f>
        <v>0.020718654434250805</v>
      </c>
      <c r="K396" s="101" t="n">
        <v>150897</v>
      </c>
      <c r="L396" s="101" t="n">
        <v>298950</v>
      </c>
      <c r="M396" s="102">
        <f>K396/L396</f>
        <v>0.5047566482689413</v>
      </c>
    </row>
    <row r="397">
      <c r="A397" s="41" t="inlineStr">
        <is>
          <t>RSG</t>
        </is>
      </c>
      <c r="B397" s="37" t="inlineStr">
        <is>
          <t>—</t>
        </is>
      </c>
      <c r="C397" s="37" t="inlineStr">
        <is>
          <t>—</t>
        </is>
      </c>
      <c r="D397" s="6" t="inlineStr">
        <is>
          <t>廢物管理與環境服務</t>
        </is>
      </c>
      <c r="E397" s="76" t="n">
        <v>91</v>
      </c>
      <c r="F397" s="42" t="n">
        <v>218.89</v>
      </c>
      <c r="G397" s="42" t="n">
        <v>219.8</v>
      </c>
      <c r="H397" s="42" t="n">
        <v>221.08</v>
      </c>
      <c r="I397" s="11">
        <f>F397/G397-1</f>
        <v>-0.0041401273885351975</v>
      </c>
      <c r="J397" s="11">
        <f>F397/H397-1</f>
        <v>-0.009905916410349325</v>
      </c>
      <c r="K397" s="13" t="n">
        <v>892622</v>
      </c>
      <c r="L397" s="13" t="n">
        <v>1471550</v>
      </c>
      <c r="M397" s="43">
        <f>K397/L397</f>
        <v>0.6065862525908056</v>
      </c>
    </row>
    <row r="398">
      <c r="A398" s="41" t="inlineStr">
        <is>
          <t>RTX</t>
        </is>
      </c>
      <c r="B398" s="37" t="inlineStr">
        <is>
          <t>—</t>
        </is>
      </c>
      <c r="C398" s="37" t="inlineStr">
        <is>
          <t>—</t>
        </is>
      </c>
      <c r="D398" s="6" t="inlineStr">
        <is>
          <t>航太與國防</t>
        </is>
      </c>
      <c r="E398" s="76" t="n">
        <v>72</v>
      </c>
      <c r="F398" s="42" t="n">
        <v>193.53</v>
      </c>
      <c r="G398" s="42" t="n">
        <v>196.83</v>
      </c>
      <c r="H398" s="42" t="n">
        <v>198.12</v>
      </c>
      <c r="I398" s="11">
        <f>F398/G398-1</f>
        <v>-0.016765736930345998</v>
      </c>
      <c r="J398" s="11">
        <f>F398/H398-1</f>
        <v>-0.023167777104785015</v>
      </c>
      <c r="K398" s="13" t="n">
        <v>2582038</v>
      </c>
      <c r="L398" s="13" t="n">
        <v>3747200</v>
      </c>
      <c r="M398" s="43">
        <f>K398/L398</f>
        <v>0.6890579632792485</v>
      </c>
    </row>
    <row r="399">
      <c r="A399" s="41" t="inlineStr">
        <is>
          <t>RUN</t>
        </is>
      </c>
      <c r="B399" s="37" t="inlineStr">
        <is>
          <t>—</t>
        </is>
      </c>
      <c r="C399" s="37" t="inlineStr">
        <is>
          <t>—</t>
        </is>
      </c>
      <c r="D399" s="6" t="inlineStr">
        <is>
          <t>再生能源與太陽能</t>
        </is>
      </c>
      <c r="E399" s="76" t="n">
        <v>71</v>
      </c>
      <c r="F399" s="42" t="n">
        <v>8.725</v>
      </c>
      <c r="G399" s="42" t="n">
        <v>8.27</v>
      </c>
      <c r="H399" s="42" t="n">
        <v>8.630000000000001</v>
      </c>
      <c r="I399" s="11">
        <f>F399/G399-1</f>
        <v>0.0550181378476422</v>
      </c>
      <c r="J399" s="11">
        <f>F399/H399-1</f>
        <v>0.011008111239860785</v>
      </c>
      <c r="K399" s="13" t="n">
        <v>6233584</v>
      </c>
      <c r="L399" s="13" t="n">
        <v>6661100</v>
      </c>
      <c r="M399" s="43">
        <f>K399/L399</f>
        <v>0.9358190088724084</v>
      </c>
    </row>
    <row r="400">
      <c r="A400" s="41" t="inlineStr">
        <is>
          <t>RVMD</t>
        </is>
      </c>
      <c r="B400" s="37" t="inlineStr">
        <is>
          <t>—</t>
        </is>
      </c>
      <c r="C400" s="37" t="inlineStr">
        <is>
          <t>—</t>
        </is>
      </c>
      <c r="D400" s="6" t="inlineStr">
        <is>
          <t>腫瘤與細胞治療</t>
        </is>
      </c>
      <c r="E400" s="76" t="n">
        <v>30</v>
      </c>
      <c r="F400" s="42" t="n">
        <v>196.94</v>
      </c>
      <c r="G400" s="42" t="n">
        <v>195.92</v>
      </c>
      <c r="H400" s="42" t="n">
        <v>203.35</v>
      </c>
      <c r="I400" s="11">
        <f>F400/G400-1</f>
        <v>0.005206206614944975</v>
      </c>
      <c r="J400" s="11">
        <f>F400/H400-1</f>
        <v>-0.03152200639291858</v>
      </c>
      <c r="K400" s="13" t="n">
        <v>1452645</v>
      </c>
      <c r="L400" s="13" t="n">
        <v>1470950</v>
      </c>
      <c r="M400" s="43">
        <f>K400/L400</f>
        <v>0.9875556613073184</v>
      </c>
    </row>
    <row r="401">
      <c r="A401" s="41" t="inlineStr">
        <is>
          <t>S</t>
        </is>
      </c>
      <c r="B401" s="37" t="inlineStr">
        <is>
          <t>—</t>
        </is>
      </c>
      <c r="C401" s="37" t="inlineStr">
        <is>
          <t>—</t>
        </is>
      </c>
      <c r="D401" s="6" t="inlineStr">
        <is>
          <t>網絡安全</t>
        </is>
      </c>
      <c r="E401" s="76" t="n">
        <v>5</v>
      </c>
      <c r="F401" s="42" t="n">
        <v>23.18</v>
      </c>
      <c r="G401" s="42" t="n">
        <v>23.17</v>
      </c>
      <c r="H401" s="42" t="n">
        <v>19.81</v>
      </c>
      <c r="I401" s="11">
        <f>F401/G401-1</f>
        <v>0.0004315925766076312</v>
      </c>
      <c r="J401" s="11">
        <f>F401/H401-1</f>
        <v>0.17011610297829383</v>
      </c>
      <c r="K401" s="13" t="n">
        <v>12817139</v>
      </c>
      <c r="L401" s="13" t="n">
        <v>6759900</v>
      </c>
      <c r="M401" s="43">
        <f>K401/L401</f>
        <v>1.8960545274338378</v>
      </c>
    </row>
    <row r="402">
      <c r="A402" s="41" t="inlineStr">
        <is>
          <t>SANA</t>
        </is>
      </c>
      <c r="B402" s="37" t="inlineStr">
        <is>
          <t>—</t>
        </is>
      </c>
      <c r="C402" s="37" t="inlineStr">
        <is>
          <t>—</t>
        </is>
      </c>
      <c r="D402" s="6" t="inlineStr">
        <is>
          <t>臨床期中小型生技</t>
        </is>
      </c>
      <c r="E402" s="76" t="n">
        <v>108</v>
      </c>
      <c r="F402" s="42" t="n">
        <v>3.1</v>
      </c>
      <c r="G402" s="42" t="n">
        <v>2.92</v>
      </c>
      <c r="H402" s="42" t="n">
        <v>3.09</v>
      </c>
      <c r="I402" s="11">
        <f>F402/G402-1</f>
        <v>0.06164383561643838</v>
      </c>
      <c r="J402" s="11">
        <f>F402/H402-1</f>
        <v>0.003236245954692629</v>
      </c>
      <c r="K402" s="13" t="n">
        <v>2475910</v>
      </c>
      <c r="L402" s="13" t="n">
        <v>2552800</v>
      </c>
      <c r="M402" s="43">
        <f>K402/L402</f>
        <v>0.9698801316201817</v>
      </c>
    </row>
    <row r="403">
      <c r="A403" s="41" t="inlineStr">
        <is>
          <t>SBAC</t>
        </is>
      </c>
      <c r="B403" s="37" t="inlineStr">
        <is>
          <t>—</t>
        </is>
      </c>
      <c r="C403" s="37" t="inlineStr">
        <is>
          <t>—</t>
        </is>
      </c>
      <c r="D403" s="6" t="inlineStr">
        <is>
          <t>通訊塔REIT</t>
        </is>
      </c>
      <c r="E403" s="76" t="n">
        <v>40</v>
      </c>
      <c r="F403" s="42" t="n">
        <v>181.15</v>
      </c>
      <c r="G403" s="42" t="n">
        <v>180.02</v>
      </c>
      <c r="H403" s="42" t="n">
        <v>181.42</v>
      </c>
      <c r="I403" s="11">
        <f>F403/G403-1</f>
        <v>0.006277080324408324</v>
      </c>
      <c r="J403" s="11">
        <f>F403/H403-1</f>
        <v>-0.0014882592878402434</v>
      </c>
      <c r="K403" s="13" t="n">
        <v>453511</v>
      </c>
      <c r="L403" s="13" t="n">
        <v>830800</v>
      </c>
      <c r="M403" s="43">
        <f>K403/L403</f>
        <v>0.5458726528647088</v>
      </c>
    </row>
    <row r="404">
      <c r="A404" s="41" t="inlineStr">
        <is>
          <t>SBUX</t>
        </is>
      </c>
      <c r="B404" s="37" t="inlineStr">
        <is>
          <t>—</t>
        </is>
      </c>
      <c r="C404" s="37" t="inlineStr">
        <is>
          <t>—</t>
        </is>
      </c>
      <c r="D404" s="6" t="inlineStr">
        <is>
          <t>餐飲連鎖</t>
        </is>
      </c>
      <c r="E404" s="76" t="n">
        <v>106</v>
      </c>
      <c r="F404" s="42" t="n">
        <v>96.68000000000001</v>
      </c>
      <c r="G404" s="42" t="n">
        <v>97.34</v>
      </c>
      <c r="H404" s="42" t="n">
        <v>99.22</v>
      </c>
      <c r="I404" s="11">
        <f>F404/G404-1</f>
        <v>-0.0067803575097595825</v>
      </c>
      <c r="J404" s="11">
        <f>F404/H404-1</f>
        <v>-0.02559967748437808</v>
      </c>
      <c r="K404" s="13" t="n">
        <v>4638769</v>
      </c>
      <c r="L404" s="13" t="n">
        <v>5989100</v>
      </c>
      <c r="M404" s="43">
        <f>K404/L404</f>
        <v>0.7745352390175485</v>
      </c>
    </row>
    <row r="405">
      <c r="A405" s="41" t="inlineStr">
        <is>
          <t>SCCO</t>
        </is>
      </c>
      <c r="B405" s="37" t="inlineStr">
        <is>
          <t>—</t>
        </is>
      </c>
      <c r="C405" s="37" t="inlineStr">
        <is>
          <t>—</t>
        </is>
      </c>
      <c r="D405" s="6" t="inlineStr">
        <is>
          <t>銅與基本金屬</t>
        </is>
      </c>
      <c r="E405" s="76" t="n">
        <v>25</v>
      </c>
      <c r="F405" s="42" t="n">
        <v>195.97</v>
      </c>
      <c r="G405" s="42" t="n">
        <v>189.88</v>
      </c>
      <c r="H405" s="42" t="n">
        <v>194.14</v>
      </c>
      <c r="I405" s="11">
        <f>F405/G405-1</f>
        <v>0.03207288813987774</v>
      </c>
      <c r="J405" s="11">
        <f>F405/H405-1</f>
        <v>0.009426187287524534</v>
      </c>
      <c r="K405" s="13" t="n">
        <v>753916</v>
      </c>
      <c r="L405" s="13" t="n">
        <v>1102200</v>
      </c>
      <c r="M405" s="43">
        <f>K405/L405</f>
        <v>0.6840101614951914</v>
      </c>
    </row>
    <row r="406">
      <c r="A406" s="41" t="inlineStr">
        <is>
          <t>SCI</t>
        </is>
      </c>
      <c r="B406" s="37" t="inlineStr">
        <is>
          <t>—</t>
        </is>
      </c>
      <c r="C406" s="37" t="inlineStr">
        <is>
          <t>—</t>
        </is>
      </c>
      <c r="D406" s="6" t="inlineStr">
        <is>
          <t>教育與消費服務</t>
        </is>
      </c>
      <c r="E406" s="76" t="n">
        <v>74</v>
      </c>
      <c r="F406" s="42" t="n">
        <v>79.04000000000001</v>
      </c>
      <c r="G406" s="42" t="n">
        <v>80.69</v>
      </c>
      <c r="H406" s="42" t="n">
        <v>79.73</v>
      </c>
      <c r="I406" s="11">
        <f>F406/G406-1</f>
        <v>-0.020448630561407777</v>
      </c>
      <c r="J406" s="11">
        <f>F406/H406-1</f>
        <v>-0.008654207951837467</v>
      </c>
      <c r="K406" s="13" t="n">
        <v>678904</v>
      </c>
      <c r="L406" s="13" t="n">
        <v>658050</v>
      </c>
      <c r="M406" s="43">
        <f>K406/L406</f>
        <v>1.0316906010181597</v>
      </c>
    </row>
    <row r="407">
      <c r="A407" s="41" t="inlineStr">
        <is>
          <t>SHOP</t>
        </is>
      </c>
      <c r="B407" s="37" t="inlineStr">
        <is>
          <t>—</t>
        </is>
      </c>
      <c r="C407" s="37" t="inlineStr">
        <is>
          <t>—</t>
        </is>
      </c>
      <c r="D407" s="6" t="inlineStr">
        <is>
          <t>電商平台</t>
        </is>
      </c>
      <c r="E407" s="76" t="n">
        <v>35</v>
      </c>
      <c r="F407" s="42" t="n">
        <v>128.64</v>
      </c>
      <c r="G407" s="42" t="n">
        <v>129.96</v>
      </c>
      <c r="H407" s="42" t="n">
        <v>126.6</v>
      </c>
      <c r="I407" s="11">
        <f>F407/G407-1</f>
        <v>-0.010156971375808066</v>
      </c>
      <c r="J407" s="11">
        <f>F407/H407-1</f>
        <v>0.016113744075829217</v>
      </c>
      <c r="K407" s="13" t="n">
        <v>6185232</v>
      </c>
      <c r="L407" s="13" t="n">
        <v>6294150</v>
      </c>
      <c r="M407" s="43">
        <f>K407/L407</f>
        <v>0.9826953599771217</v>
      </c>
    </row>
    <row r="408">
      <c r="A408" s="41" t="inlineStr">
        <is>
          <t>SHW</t>
        </is>
      </c>
      <c r="B408" s="37" t="inlineStr">
        <is>
          <t>—</t>
        </is>
      </c>
      <c r="C408" s="37" t="inlineStr">
        <is>
          <t>—</t>
        </is>
      </c>
      <c r="D408" s="6" t="inlineStr">
        <is>
          <t>特種化工</t>
        </is>
      </c>
      <c r="E408" s="76" t="n">
        <v>61</v>
      </c>
      <c r="F408" s="42" t="n">
        <v>320.985</v>
      </c>
      <c r="G408" s="42" t="n">
        <v>321.46</v>
      </c>
      <c r="H408" s="42" t="n">
        <v>317.44</v>
      </c>
      <c r="I408" s="11">
        <f>F408/G408-1</f>
        <v>-0.0014776332980773743</v>
      </c>
      <c r="J408" s="11">
        <f>F408/H408-1</f>
        <v>0.011167464717741993</v>
      </c>
      <c r="K408" s="13" t="n">
        <v>827772</v>
      </c>
      <c r="L408" s="13" t="n">
        <v>1597700</v>
      </c>
      <c r="M408" s="43">
        <f>K408/L408</f>
        <v>0.518102272016023</v>
      </c>
    </row>
    <row r="409">
      <c r="A409" s="60" t="inlineStr">
        <is>
          <t>SLB</t>
        </is>
      </c>
      <c r="B409" s="103" t="inlineStr">
        <is>
          <t>—</t>
        </is>
      </c>
      <c r="C409" s="104" t="inlineStr">
        <is>
          <t>A 結構性迴避｜油田服務</t>
        </is>
      </c>
      <c r="D409" s="23" t="inlineStr">
        <is>
          <t>油田服務</t>
        </is>
      </c>
      <c r="E409" s="91" t="n">
        <v>103</v>
      </c>
      <c r="F409" s="61" t="n">
        <v>52.085</v>
      </c>
      <c r="G409" s="61" t="n">
        <v>52.3</v>
      </c>
      <c r="H409" s="61" t="n">
        <v>56.01</v>
      </c>
      <c r="I409" s="24">
        <f>F409/G409-1</f>
        <v>-0.0041108986615677745</v>
      </c>
      <c r="J409" s="24">
        <f>F409/H409-1</f>
        <v>-0.07007677200499907</v>
      </c>
      <c r="K409" s="62" t="n">
        <v>6869904</v>
      </c>
      <c r="L409" s="62" t="n">
        <v>13457850</v>
      </c>
      <c r="M409" s="63">
        <f>K409/L409</f>
        <v>0.5104755960275973</v>
      </c>
    </row>
    <row r="410">
      <c r="A410" s="41" t="inlineStr">
        <is>
          <t>SLG</t>
        </is>
      </c>
      <c r="B410" s="37" t="inlineStr">
        <is>
          <t>—</t>
        </is>
      </c>
      <c r="C410" s="37" t="inlineStr">
        <is>
          <t>—</t>
        </is>
      </c>
      <c r="D410" s="6" t="inlineStr">
        <is>
          <t>辦公樓REIT</t>
        </is>
      </c>
      <c r="E410" s="76" t="n">
        <v>29</v>
      </c>
      <c r="F410" s="42" t="n">
        <v>52.35</v>
      </c>
      <c r="G410" s="42" t="n">
        <v>51.75</v>
      </c>
      <c r="H410" s="42" t="n">
        <v>51.63</v>
      </c>
      <c r="I410" s="11">
        <f>F410/G410-1</f>
        <v>0.011594202898550732</v>
      </c>
      <c r="J410" s="11">
        <f>F410/H410-1</f>
        <v>0.01394538059267858</v>
      </c>
      <c r="K410" s="13" t="n">
        <v>828918</v>
      </c>
      <c r="L410" s="13" t="n">
        <v>717100</v>
      </c>
      <c r="M410" s="43">
        <f>K410/L410</f>
        <v>1.1559308325198716</v>
      </c>
    </row>
    <row r="411">
      <c r="A411" s="41" t="inlineStr">
        <is>
          <t>SMCI</t>
        </is>
      </c>
      <c r="B411" s="37" t="inlineStr">
        <is>
          <t>—</t>
        </is>
      </c>
      <c r="C411" s="37" t="inlineStr">
        <is>
          <t>—</t>
        </is>
      </c>
      <c r="D411" s="6" t="inlineStr">
        <is>
          <t>AI資料中心建設</t>
        </is>
      </c>
      <c r="E411" s="76" t="n">
        <v>10</v>
      </c>
      <c r="F411" s="42" t="n">
        <v>40.345</v>
      </c>
      <c r="G411" s="42" t="n">
        <v>36.85</v>
      </c>
      <c r="H411" s="42" t="n">
        <v>37.38</v>
      </c>
      <c r="I411" s="11">
        <f>F411/G411-1</f>
        <v>0.09484396200814094</v>
      </c>
      <c r="J411" s="11">
        <f>F411/H411-1</f>
        <v>0.07932049224184046</v>
      </c>
      <c r="K411" s="13" t="n">
        <v>58353893</v>
      </c>
      <c r="L411" s="13" t="n">
        <v>34951300</v>
      </c>
      <c r="M411" s="43">
        <f>K411/L411</f>
        <v>1.6695771831090689</v>
      </c>
    </row>
    <row r="412">
      <c r="A412" s="60" t="inlineStr">
        <is>
          <t>SMR</t>
        </is>
      </c>
      <c r="B412" s="103" t="inlineStr">
        <is>
          <t>—</t>
        </is>
      </c>
      <c r="C412" s="104" t="inlineStr">
        <is>
          <t>B 由迴避改為中性｜SMR</t>
        </is>
      </c>
      <c r="D412" s="23" t="inlineStr">
        <is>
          <t>小型模組化核能SMR</t>
        </is>
      </c>
      <c r="E412" s="91" t="n">
        <v>54</v>
      </c>
      <c r="F412" s="61" t="n">
        <v>9.07</v>
      </c>
      <c r="G412" s="61" t="n">
        <v>8.300000000000001</v>
      </c>
      <c r="H412" s="61" t="n">
        <v>10.21</v>
      </c>
      <c r="I412" s="24">
        <f>F412/G412-1</f>
        <v>0.09277108433734926</v>
      </c>
      <c r="J412" s="24">
        <f>F412/H412-1</f>
        <v>-0.11165523996082272</v>
      </c>
      <c r="K412" s="62" t="n">
        <v>44385934</v>
      </c>
      <c r="L412" s="62" t="n">
        <v>36589050</v>
      </c>
      <c r="M412" s="63">
        <f>K412/L412</f>
        <v>1.2130933708308906</v>
      </c>
    </row>
    <row r="413">
      <c r="A413" s="41" t="inlineStr">
        <is>
          <t>SNAP</t>
        </is>
      </c>
      <c r="B413" s="37" t="inlineStr">
        <is>
          <t>—</t>
        </is>
      </c>
      <c r="C413" s="37" t="inlineStr">
        <is>
          <t>—</t>
        </is>
      </c>
      <c r="D413" s="6" t="inlineStr">
        <is>
          <t>社交與線上社群</t>
        </is>
      </c>
      <c r="E413" s="76" t="n">
        <v>76</v>
      </c>
      <c r="F413" s="42" t="n">
        <v>5.6401</v>
      </c>
      <c r="G413" s="42" t="n">
        <v>5.72</v>
      </c>
      <c r="H413" s="42" t="n">
        <v>5.52</v>
      </c>
      <c r="I413" s="11">
        <f>F413/G413-1</f>
        <v>-0.013968531468531387</v>
      </c>
      <c r="J413" s="11">
        <f>F413/H413-1</f>
        <v>0.021757246376811645</v>
      </c>
      <c r="K413" s="13" t="n">
        <v>47154343</v>
      </c>
      <c r="L413" s="13" t="n">
        <v>31356200</v>
      </c>
      <c r="M413" s="43">
        <f>K413/L413</f>
        <v>1.5038283656820661</v>
      </c>
    </row>
    <row r="414">
      <c r="A414" s="41" t="inlineStr">
        <is>
          <t>SNDK</t>
        </is>
      </c>
      <c r="B414" s="37" t="inlineStr">
        <is>
          <t>—</t>
        </is>
      </c>
      <c r="C414" s="37" t="inlineStr">
        <is>
          <t>—</t>
        </is>
      </c>
      <c r="D414" s="6" t="inlineStr">
        <is>
          <t>記憶體/HBM</t>
        </is>
      </c>
      <c r="E414" s="76" t="n">
        <v>42</v>
      </c>
      <c r="F414" s="42" t="n">
        <v>1614.39</v>
      </c>
      <c r="G414" s="42" t="n">
        <v>1519.97</v>
      </c>
      <c r="H414" s="42" t="n">
        <v>1692.59</v>
      </c>
      <c r="I414" s="11">
        <f>F414/G414-1</f>
        <v>0.06211964709829809</v>
      </c>
      <c r="J414" s="11">
        <f>F414/H414-1</f>
        <v>-0.04620138367826809</v>
      </c>
      <c r="K414" s="13" t="n">
        <v>7777145</v>
      </c>
      <c r="L414" s="13" t="n">
        <v>9201850</v>
      </c>
      <c r="M414" s="43">
        <f>K414/L414</f>
        <v>0.8451718947820275</v>
      </c>
    </row>
    <row r="415">
      <c r="A415" s="41" t="inlineStr">
        <is>
          <t>SNOW</t>
        </is>
      </c>
      <c r="B415" s="37" t="inlineStr">
        <is>
          <t>—</t>
        </is>
      </c>
      <c r="C415" s="37" t="inlineStr">
        <is>
          <t>—</t>
        </is>
      </c>
      <c r="D415" s="6" t="inlineStr">
        <is>
          <t>資料/分析平台</t>
        </is>
      </c>
      <c r="E415" s="76" t="n">
        <v>4</v>
      </c>
      <c r="F415" s="42" t="n">
        <v>338.63</v>
      </c>
      <c r="G415" s="42" t="n">
        <v>331.02</v>
      </c>
      <c r="H415" s="42" t="n">
        <v>329.72</v>
      </c>
      <c r="I415" s="11">
        <f>F415/G415-1</f>
        <v>0.022989547459367987</v>
      </c>
      <c r="J415" s="11">
        <f>F415/H415-1</f>
        <v>0.027022928545432423</v>
      </c>
      <c r="K415" s="13" t="n">
        <v>3799183</v>
      </c>
      <c r="L415" s="13" t="n">
        <v>4034300</v>
      </c>
      <c r="M415" s="43">
        <f>K415/L415</f>
        <v>0.9417204967404507</v>
      </c>
    </row>
    <row r="416">
      <c r="A416" s="74" t="inlineStr">
        <is>
          <t>SNPS</t>
        </is>
      </c>
      <c r="B416" s="21" t="inlineStr">
        <is>
          <t>③</t>
        </is>
      </c>
      <c r="C416" s="99" t="inlineStr">
        <is>
          <t>—</t>
        </is>
      </c>
      <c r="D416" s="16" t="inlineStr">
        <is>
          <t>EDA與半導體IP</t>
        </is>
      </c>
      <c r="E416" s="68" t="n">
        <v>23</v>
      </c>
      <c r="F416" s="100" t="n">
        <v>381.18</v>
      </c>
      <c r="G416" s="100" t="n">
        <v>378.47</v>
      </c>
      <c r="H416" s="100" t="n">
        <v>397.17</v>
      </c>
      <c r="I416" s="17">
        <f>F416/G416-1</f>
        <v>0.007160409015245506</v>
      </c>
      <c r="J416" s="17">
        <f>F416/H416-1</f>
        <v>-0.04025983835637137</v>
      </c>
      <c r="K416" s="101" t="n">
        <v>1224298</v>
      </c>
      <c r="L416" s="101" t="n">
        <v>1700650</v>
      </c>
      <c r="M416" s="102">
        <f>K416/L416</f>
        <v>0.7199000382206804</v>
      </c>
    </row>
    <row r="417">
      <c r="A417" s="41" t="inlineStr">
        <is>
          <t>SO</t>
        </is>
      </c>
      <c r="B417" s="37" t="inlineStr">
        <is>
          <t>—</t>
        </is>
      </c>
      <c r="C417" s="37" t="inlineStr">
        <is>
          <t>—</t>
        </is>
      </c>
      <c r="D417" s="6" t="inlineStr">
        <is>
          <t>受監管電力公用</t>
        </is>
      </c>
      <c r="E417" s="76" t="n">
        <v>56</v>
      </c>
      <c r="F417" s="42" t="n">
        <v>86.72</v>
      </c>
      <c r="G417" s="42" t="n">
        <v>86.23</v>
      </c>
      <c r="H417" s="42" t="n">
        <v>87.75</v>
      </c>
      <c r="I417" s="11">
        <f>F417/G417-1</f>
        <v>0.005682477096138117</v>
      </c>
      <c r="J417" s="11">
        <f>F417/H417-1</f>
        <v>-0.011737891737891748</v>
      </c>
      <c r="K417" s="13" t="n">
        <v>3385331</v>
      </c>
      <c r="L417" s="13" t="n">
        <v>5899000</v>
      </c>
      <c r="M417" s="43">
        <f>K417/L417</f>
        <v>0.5738821834209188</v>
      </c>
    </row>
    <row r="418">
      <c r="A418" s="41" t="inlineStr">
        <is>
          <t>SOFI</t>
        </is>
      </c>
      <c r="B418" s="37" t="inlineStr">
        <is>
          <t>—</t>
        </is>
      </c>
      <c r="C418" s="37" t="inlineStr">
        <is>
          <t>—</t>
        </is>
      </c>
      <c r="D418" s="6" t="inlineStr">
        <is>
          <t>消費金融與BNPL</t>
        </is>
      </c>
      <c r="E418" s="76" t="n">
        <v>95</v>
      </c>
      <c r="F418" s="42" t="n">
        <v>16.74</v>
      </c>
      <c r="G418" s="42" t="n">
        <v>16.84</v>
      </c>
      <c r="H418" s="42" t="n">
        <v>17.21</v>
      </c>
      <c r="I418" s="11">
        <f>F418/G418-1</f>
        <v>-0.005938242280285166</v>
      </c>
      <c r="J418" s="11">
        <f>F418/H418-1</f>
        <v>-0.027309703660662543</v>
      </c>
      <c r="K418" s="13" t="n">
        <v>41212963</v>
      </c>
      <c r="L418" s="13" t="n">
        <v>40052400</v>
      </c>
      <c r="M418" s="43">
        <f>K418/L418</f>
        <v>1.0289761162876632</v>
      </c>
    </row>
    <row r="419">
      <c r="A419" s="41" t="inlineStr">
        <is>
          <t>SPG</t>
        </is>
      </c>
      <c r="B419" s="37" t="inlineStr">
        <is>
          <t>—</t>
        </is>
      </c>
      <c r="C419" s="37" t="inlineStr">
        <is>
          <t>—</t>
        </is>
      </c>
      <c r="D419" s="6" t="inlineStr">
        <is>
          <t>零售與購物中心REIT</t>
        </is>
      </c>
      <c r="E419" s="76" t="n">
        <v>101</v>
      </c>
      <c r="F419" s="42" t="n">
        <v>204.42</v>
      </c>
      <c r="G419" s="42" t="n">
        <v>202.94</v>
      </c>
      <c r="H419" s="42" t="n">
        <v>204.67</v>
      </c>
      <c r="I419" s="11">
        <f>F419/G419-1</f>
        <v>0.0072927959002659914</v>
      </c>
      <c r="J419" s="11">
        <f>F419/H419-1</f>
        <v>-0.001221478477549276</v>
      </c>
      <c r="K419" s="13" t="n">
        <v>675166</v>
      </c>
      <c r="L419" s="13" t="n">
        <v>1047850</v>
      </c>
      <c r="M419" s="43">
        <f>K419/L419</f>
        <v>0.644334589874505</v>
      </c>
    </row>
    <row r="420">
      <c r="A420" s="41" t="inlineStr">
        <is>
          <t>SPGI</t>
        </is>
      </c>
      <c r="B420" s="37" t="inlineStr">
        <is>
          <t>—</t>
        </is>
      </c>
      <c r="C420" s="37" t="inlineStr">
        <is>
          <t>—</t>
        </is>
      </c>
      <c r="D420" s="6" t="inlineStr">
        <is>
          <t>交易所與金融數據</t>
        </is>
      </c>
      <c r="E420" s="76" t="n">
        <v>90</v>
      </c>
      <c r="F420" s="42" t="n">
        <v>404.12</v>
      </c>
      <c r="G420" s="42" t="n">
        <v>406.76</v>
      </c>
      <c r="H420" s="42" t="n">
        <v>410.42</v>
      </c>
      <c r="I420" s="11">
        <f>F420/G420-1</f>
        <v>-0.006490313698495398</v>
      </c>
      <c r="J420" s="11">
        <f>F420/H420-1</f>
        <v>-0.015350129136007085</v>
      </c>
      <c r="K420" s="13" t="n">
        <v>1180444</v>
      </c>
      <c r="L420" s="13" t="n">
        <v>1764300</v>
      </c>
      <c r="M420" s="43">
        <f>K420/L420</f>
        <v>0.6690721532619169</v>
      </c>
    </row>
    <row r="421">
      <c r="A421" s="41" t="inlineStr">
        <is>
          <t>SR</t>
        </is>
      </c>
      <c r="B421" s="37" t="inlineStr">
        <is>
          <t>—</t>
        </is>
      </c>
      <c r="C421" s="37" t="inlineStr">
        <is>
          <t>—</t>
        </is>
      </c>
      <c r="D421" s="6" t="inlineStr">
        <is>
          <t>燃氣公用</t>
        </is>
      </c>
      <c r="E421" s="76" t="n">
        <v>80</v>
      </c>
      <c r="F421" s="42" t="n">
        <v>80.29000000000001</v>
      </c>
      <c r="G421" s="42" t="n">
        <v>79.90000000000001</v>
      </c>
      <c r="H421" s="42" t="n">
        <v>81.47</v>
      </c>
      <c r="I421" s="11">
        <f>F421/G421-1</f>
        <v>0.004881101376720931</v>
      </c>
      <c r="J421" s="11">
        <f>F421/H421-1</f>
        <v>-0.014483859089235218</v>
      </c>
      <c r="K421" s="13" t="n">
        <v>275011</v>
      </c>
      <c r="L421" s="13" t="n">
        <v>504650</v>
      </c>
      <c r="M421" s="43">
        <f>K421/L421</f>
        <v>0.5449539284652729</v>
      </c>
    </row>
    <row r="422">
      <c r="A422" s="41" t="inlineStr">
        <is>
          <t>STAG</t>
        </is>
      </c>
      <c r="B422" s="37" t="inlineStr">
        <is>
          <t>—</t>
        </is>
      </c>
      <c r="C422" s="37" t="inlineStr">
        <is>
          <t>—</t>
        </is>
      </c>
      <c r="D422" s="6" t="inlineStr">
        <is>
          <t>工業與物流REIT</t>
        </is>
      </c>
      <c r="E422" s="76" t="n">
        <v>11</v>
      </c>
      <c r="F422" s="42" t="n">
        <v>37.49</v>
      </c>
      <c r="G422" s="42" t="n">
        <v>37.08</v>
      </c>
      <c r="H422" s="42" t="n">
        <v>36.87</v>
      </c>
      <c r="I422" s="11">
        <f>F422/G422-1</f>
        <v>0.011057173678532983</v>
      </c>
      <c r="J422" s="11">
        <f>F422/H422-1</f>
        <v>0.01681583943585574</v>
      </c>
      <c r="K422" s="13" t="n">
        <v>1004773</v>
      </c>
      <c r="L422" s="13" t="n">
        <v>1424850</v>
      </c>
      <c r="M422" s="43">
        <f>K422/L422</f>
        <v>0.7051780889216409</v>
      </c>
    </row>
    <row r="423">
      <c r="A423" s="74" t="inlineStr">
        <is>
          <t>STLD</t>
        </is>
      </c>
      <c r="B423" s="21" t="inlineStr">
        <is>
          <t>⑤</t>
        </is>
      </c>
      <c r="C423" s="99" t="inlineStr">
        <is>
          <t>—</t>
        </is>
      </c>
      <c r="D423" s="16" t="inlineStr">
        <is>
          <t>鋼鐵</t>
        </is>
      </c>
      <c r="E423" s="68" t="n">
        <v>6</v>
      </c>
      <c r="F423" s="100" t="n">
        <v>245.31</v>
      </c>
      <c r="G423" s="100" t="n">
        <v>238.23</v>
      </c>
      <c r="H423" s="100" t="n">
        <v>237.08</v>
      </c>
      <c r="I423" s="17">
        <f>F423/G423-1</f>
        <v>0.029719178944717317</v>
      </c>
      <c r="J423" s="17">
        <f>F423/H423-1</f>
        <v>0.034714020583769045</v>
      </c>
      <c r="K423" s="101" t="n">
        <v>613203</v>
      </c>
      <c r="L423" s="101" t="n">
        <v>1089900</v>
      </c>
      <c r="M423" s="102">
        <f>K423/L423</f>
        <v>0.5626231764382054</v>
      </c>
    </row>
    <row r="424">
      <c r="A424" s="41" t="inlineStr">
        <is>
          <t>STX</t>
        </is>
      </c>
      <c r="B424" s="37" t="inlineStr">
        <is>
          <t>—</t>
        </is>
      </c>
      <c r="C424" s="37" t="inlineStr">
        <is>
          <t>—</t>
        </is>
      </c>
      <c r="D424" s="6" t="inlineStr">
        <is>
          <t>記憶體/HBM</t>
        </is>
      </c>
      <c r="E424" s="76" t="n">
        <v>42</v>
      </c>
      <c r="F424" s="42" t="n">
        <v>797.5599999999999</v>
      </c>
      <c r="G424" s="42" t="n">
        <v>783.1799999999999</v>
      </c>
      <c r="H424" s="42" t="n">
        <v>862.33</v>
      </c>
      <c r="I424" s="11">
        <f>F424/G424-1</f>
        <v>0.018361040884598667</v>
      </c>
      <c r="J424" s="11">
        <f>F424/H424-1</f>
        <v>-0.07511045655375559</v>
      </c>
      <c r="K424" s="13" t="n">
        <v>2499983</v>
      </c>
      <c r="L424" s="13" t="n">
        <v>3237550</v>
      </c>
      <c r="M424" s="43">
        <f>K424/L424</f>
        <v>0.7721835956201448</v>
      </c>
    </row>
    <row r="425">
      <c r="A425" s="41" t="inlineStr">
        <is>
          <t>STZ</t>
        </is>
      </c>
      <c r="B425" s="37" t="inlineStr">
        <is>
          <t>—</t>
        </is>
      </c>
      <c r="C425" s="37" t="inlineStr">
        <is>
          <t>—</t>
        </is>
      </c>
      <c r="D425" s="6" t="inlineStr">
        <is>
          <t>酒精飲品</t>
        </is>
      </c>
      <c r="E425" s="76" t="n">
        <v>53</v>
      </c>
      <c r="F425" s="42" t="n">
        <v>122.45</v>
      </c>
      <c r="G425" s="42" t="n">
        <v>123.03</v>
      </c>
      <c r="H425" s="42" t="n">
        <v>123.81</v>
      </c>
      <c r="I425" s="11">
        <f>F425/G425-1</f>
        <v>-0.004714297325855488</v>
      </c>
      <c r="J425" s="11">
        <f>F425/H425-1</f>
        <v>-0.010984573136257114</v>
      </c>
      <c r="K425" s="13" t="n">
        <v>1245248</v>
      </c>
      <c r="L425" s="13" t="n">
        <v>2013250</v>
      </c>
      <c r="M425" s="43">
        <f>K425/L425</f>
        <v>0.6185262635042841</v>
      </c>
    </row>
    <row r="426">
      <c r="A426" s="41" t="inlineStr">
        <is>
          <t>SYF</t>
        </is>
      </c>
      <c r="B426" s="37" t="inlineStr">
        <is>
          <t>—</t>
        </is>
      </c>
      <c r="C426" s="37" t="inlineStr">
        <is>
          <t>—</t>
        </is>
      </c>
      <c r="D426" s="6" t="inlineStr">
        <is>
          <t>消費金融與BNPL</t>
        </is>
      </c>
      <c r="E426" s="76" t="n">
        <v>95</v>
      </c>
      <c r="F426" s="42" t="n">
        <v>74.42</v>
      </c>
      <c r="G426" s="42" t="n">
        <v>74.88</v>
      </c>
      <c r="H426" s="42" t="n">
        <v>75.44</v>
      </c>
      <c r="I426" s="11">
        <f>F426/G426-1</f>
        <v>-0.00614316239316226</v>
      </c>
      <c r="J426" s="11">
        <f>F426/H426-1</f>
        <v>-0.013520678685047693</v>
      </c>
      <c r="K426" s="13" t="n">
        <v>1299238</v>
      </c>
      <c r="L426" s="13" t="n">
        <v>2951700</v>
      </c>
      <c r="M426" s="43">
        <f>K426/L426</f>
        <v>0.44016600603042316</v>
      </c>
    </row>
    <row r="427">
      <c r="A427" s="41" t="inlineStr">
        <is>
          <t>SYK</t>
        </is>
      </c>
      <c r="B427" s="37" t="inlineStr">
        <is>
          <t>—</t>
        </is>
      </c>
      <c r="C427" s="37" t="inlineStr">
        <is>
          <t>—</t>
        </is>
      </c>
      <c r="D427" s="6" t="inlineStr">
        <is>
          <t>醫療器械</t>
        </is>
      </c>
      <c r="E427" s="76" t="n">
        <v>27</v>
      </c>
      <c r="F427" s="42" t="n">
        <v>280.34</v>
      </c>
      <c r="G427" s="42" t="n">
        <v>284.76</v>
      </c>
      <c r="H427" s="42" t="n">
        <v>270.01</v>
      </c>
      <c r="I427" s="11">
        <f>F427/G427-1</f>
        <v>-0.015521842955471321</v>
      </c>
      <c r="J427" s="11">
        <f>F427/H427-1</f>
        <v>0.03825784230213691</v>
      </c>
      <c r="K427" s="13" t="n">
        <v>1440086</v>
      </c>
      <c r="L427" s="13" t="n">
        <v>2316750</v>
      </c>
      <c r="M427" s="43">
        <f>K427/L427</f>
        <v>0.621597496492932</v>
      </c>
    </row>
    <row r="428">
      <c r="A428" s="41" t="inlineStr">
        <is>
          <t>SYM</t>
        </is>
      </c>
      <c r="B428" s="37" t="inlineStr">
        <is>
          <t>—</t>
        </is>
      </c>
      <c r="C428" s="37" t="inlineStr">
        <is>
          <t>—</t>
        </is>
      </c>
      <c r="D428" s="6" t="inlineStr">
        <is>
          <t>工業自動化與機器人</t>
        </is>
      </c>
      <c r="E428" s="76" t="n">
        <v>24</v>
      </c>
      <c r="F428" s="42" t="n">
        <v>44.6</v>
      </c>
      <c r="G428" s="42" t="n">
        <v>43.11</v>
      </c>
      <c r="H428" s="42" t="n">
        <v>41.1</v>
      </c>
      <c r="I428" s="11">
        <f>F428/G428-1</f>
        <v>0.03456274646253776</v>
      </c>
      <c r="J428" s="11">
        <f>F428/H428-1</f>
        <v>0.08515815085158152</v>
      </c>
      <c r="K428" s="13" t="n">
        <v>1588482</v>
      </c>
      <c r="L428" s="13" t="n">
        <v>1497600</v>
      </c>
      <c r="M428" s="43">
        <f>K428/L428</f>
        <v>1.060685096153846</v>
      </c>
    </row>
    <row r="429">
      <c r="A429" s="41" t="inlineStr">
        <is>
          <t>SYY</t>
        </is>
      </c>
      <c r="B429" s="37" t="inlineStr">
        <is>
          <t>—</t>
        </is>
      </c>
      <c r="C429" s="37" t="inlineStr">
        <is>
          <t>—</t>
        </is>
      </c>
      <c r="D429" s="6" t="inlineStr">
        <is>
          <t>必需品分銷</t>
        </is>
      </c>
      <c r="E429" s="76" t="n">
        <v>105</v>
      </c>
      <c r="F429" s="42" t="n">
        <v>79.09999999999999</v>
      </c>
      <c r="G429" s="42" t="n">
        <v>78.70999999999999</v>
      </c>
      <c r="H429" s="42" t="n">
        <v>82.31</v>
      </c>
      <c r="I429" s="11">
        <f>F429/G429-1</f>
        <v>0.004954897725828911</v>
      </c>
      <c r="J429" s="11">
        <f>F429/H429-1</f>
        <v>-0.03899890657271299</v>
      </c>
      <c r="K429" s="13" t="n">
        <v>2977758</v>
      </c>
      <c r="L429" s="13" t="n">
        <v>2283300</v>
      </c>
      <c r="M429" s="43">
        <f>K429/L429</f>
        <v>1.3041466298778084</v>
      </c>
    </row>
    <row r="430">
      <c r="A430" s="60" t="inlineStr">
        <is>
          <t>T</t>
        </is>
      </c>
      <c r="B430" s="103" t="inlineStr">
        <is>
          <t>—</t>
        </is>
      </c>
      <c r="C430" s="104" t="inlineStr">
        <is>
          <t>A 結構性迴避｜電信</t>
        </is>
      </c>
      <c r="D430" s="23" t="inlineStr">
        <is>
          <t>電信營運商</t>
        </is>
      </c>
      <c r="E430" s="91" t="n">
        <v>100</v>
      </c>
      <c r="F430" s="61" t="n">
        <v>25.38</v>
      </c>
      <c r="G430" s="61" t="n">
        <v>25.86</v>
      </c>
      <c r="H430" s="61" t="n">
        <v>25.55</v>
      </c>
      <c r="I430" s="24">
        <f>F430/G430-1</f>
        <v>-0.018561484918793503</v>
      </c>
      <c r="J430" s="24">
        <f>F430/H430-1</f>
        <v>-0.006653620352250589</v>
      </c>
      <c r="K430" s="62" t="n">
        <v>27356100</v>
      </c>
      <c r="L430" s="62" t="n">
        <v>32823800</v>
      </c>
      <c r="M430" s="63">
        <f>K430/L430</f>
        <v>0.8334226993827649</v>
      </c>
    </row>
    <row r="431">
      <c r="A431" s="41" t="inlineStr">
        <is>
          <t>TAP</t>
        </is>
      </c>
      <c r="B431" s="37" t="inlineStr">
        <is>
          <t>—</t>
        </is>
      </c>
      <c r="C431" s="37" t="inlineStr">
        <is>
          <t>—</t>
        </is>
      </c>
      <c r="D431" s="6" t="inlineStr">
        <is>
          <t>酒精飲品</t>
        </is>
      </c>
      <c r="E431" s="76" t="n">
        <v>53</v>
      </c>
      <c r="F431" s="42" t="n">
        <v>39.085</v>
      </c>
      <c r="G431" s="42" t="n">
        <v>39.11</v>
      </c>
      <c r="H431" s="42" t="n">
        <v>38.44</v>
      </c>
      <c r="I431" s="11">
        <f>F431/G431-1</f>
        <v>-0.0006392227051904564</v>
      </c>
      <c r="J431" s="11">
        <f>F431/H431-1</f>
        <v>0.01677939646201887</v>
      </c>
      <c r="K431" s="13" t="n">
        <v>2376466</v>
      </c>
      <c r="L431" s="13" t="n">
        <v>2680300</v>
      </c>
      <c r="M431" s="43">
        <f>K431/L431</f>
        <v>0.886641793829049</v>
      </c>
    </row>
    <row r="432">
      <c r="A432" s="41" t="inlineStr">
        <is>
          <t>TDOC</t>
        </is>
      </c>
      <c r="B432" s="37" t="inlineStr">
        <is>
          <t>—</t>
        </is>
      </c>
      <c r="C432" s="37" t="inlineStr">
        <is>
          <t>—</t>
        </is>
      </c>
      <c r="D432" s="6" t="inlineStr">
        <is>
          <t>數位醫療與遠距醫療</t>
        </is>
      </c>
      <c r="E432" s="76" t="n">
        <v>55</v>
      </c>
      <c r="F432" s="42" t="n">
        <v>6.28</v>
      </c>
      <c r="G432" s="42" t="n">
        <v>6.43</v>
      </c>
      <c r="H432" s="42" t="n">
        <v>6.09</v>
      </c>
      <c r="I432" s="11">
        <f>F432/G432-1</f>
        <v>-0.023328149300155476</v>
      </c>
      <c r="J432" s="11">
        <f>F432/H432-1</f>
        <v>0.031198686371100237</v>
      </c>
      <c r="K432" s="13" t="n">
        <v>2093839</v>
      </c>
      <c r="L432" s="13" t="n">
        <v>3246000</v>
      </c>
      <c r="M432" s="43">
        <f>K432/L432</f>
        <v>0.6450520640788663</v>
      </c>
    </row>
    <row r="433">
      <c r="A433" s="41" t="inlineStr">
        <is>
          <t>TDW</t>
        </is>
      </c>
      <c r="B433" s="37" t="inlineStr">
        <is>
          <t>—</t>
        </is>
      </c>
      <c r="C433" s="37" t="inlineStr">
        <is>
          <t>—</t>
        </is>
      </c>
      <c r="D433" s="6" t="inlineStr">
        <is>
          <t>海上鑽井與設備</t>
        </is>
      </c>
      <c r="E433" s="76" t="n">
        <v>79</v>
      </c>
      <c r="F433" s="42" t="n">
        <v>87.83</v>
      </c>
      <c r="G433" s="42" t="n">
        <v>88.17</v>
      </c>
      <c r="H433" s="42" t="n">
        <v>91.98999999999999</v>
      </c>
      <c r="I433" s="11">
        <f>F433/G433-1</f>
        <v>-0.0038561869116480185</v>
      </c>
      <c r="J433" s="11">
        <f>F433/H433-1</f>
        <v>-0.045222306772475185</v>
      </c>
      <c r="K433" s="13" t="n">
        <v>448986</v>
      </c>
      <c r="L433" s="13" t="n">
        <v>605850</v>
      </c>
      <c r="M433" s="43">
        <f>K433/L433</f>
        <v>0.7410844268383263</v>
      </c>
    </row>
    <row r="434">
      <c r="A434" s="41" t="inlineStr">
        <is>
          <t>TEAM</t>
        </is>
      </c>
      <c r="B434" s="37" t="inlineStr">
        <is>
          <t>—</t>
        </is>
      </c>
      <c r="C434" s="37" t="inlineStr">
        <is>
          <t>—</t>
        </is>
      </c>
      <c r="D434" s="6" t="inlineStr">
        <is>
          <t>企業軟體/SaaS</t>
        </is>
      </c>
      <c r="E434" s="76" t="n">
        <v>50</v>
      </c>
      <c r="F434" s="42" t="n">
        <v>192.52</v>
      </c>
      <c r="G434" s="42" t="n">
        <v>190.28</v>
      </c>
      <c r="H434" s="42" t="n">
        <v>179.57</v>
      </c>
      <c r="I434" s="11">
        <f>F434/G434-1</f>
        <v>0.011772125289047697</v>
      </c>
      <c r="J434" s="11">
        <f>F434/H434-1</f>
        <v>0.07211672328339924</v>
      </c>
      <c r="K434" s="13" t="n">
        <v>2051411</v>
      </c>
      <c r="L434" s="13" t="n">
        <v>3531600</v>
      </c>
      <c r="M434" s="43">
        <f>K434/L434</f>
        <v>0.5808729754219051</v>
      </c>
    </row>
    <row r="435">
      <c r="A435" s="41" t="inlineStr">
        <is>
          <t>TECK</t>
        </is>
      </c>
      <c r="B435" s="37" t="inlineStr">
        <is>
          <t>—</t>
        </is>
      </c>
      <c r="C435" s="37" t="inlineStr">
        <is>
          <t>—</t>
        </is>
      </c>
      <c r="D435" s="6" t="inlineStr">
        <is>
          <t>銅與基本金屬</t>
        </is>
      </c>
      <c r="E435" s="76" t="n">
        <v>25</v>
      </c>
      <c r="F435" s="42" t="n">
        <v>65.22499999999999</v>
      </c>
      <c r="G435" s="42" t="n">
        <v>64.25</v>
      </c>
      <c r="H435" s="42" t="n">
        <v>65.90000000000001</v>
      </c>
      <c r="I435" s="11">
        <f>F435/G435-1</f>
        <v>0.015175097276264538</v>
      </c>
      <c r="J435" s="11">
        <f>F435/H435-1</f>
        <v>-0.010242792109256604</v>
      </c>
      <c r="K435" s="13" t="n">
        <v>1421050</v>
      </c>
      <c r="L435" s="13" t="n">
        <v>2914050</v>
      </c>
      <c r="M435" s="43">
        <f>K435/L435</f>
        <v>0.4876546387330348</v>
      </c>
    </row>
    <row r="436">
      <c r="A436" s="41" t="inlineStr">
        <is>
          <t>TEL</t>
        </is>
      </c>
      <c r="B436" s="37" t="inlineStr">
        <is>
          <t>—</t>
        </is>
      </c>
      <c r="C436" s="37" t="inlineStr">
        <is>
          <t>—</t>
        </is>
      </c>
      <c r="D436" s="6" t="inlineStr">
        <is>
          <t>電子硬件與EMS/連接器</t>
        </is>
      </c>
      <c r="E436" s="76" t="n">
        <v>3</v>
      </c>
      <c r="F436" s="42" t="n">
        <v>206.5425</v>
      </c>
      <c r="G436" s="42" t="n">
        <v>202.2</v>
      </c>
      <c r="H436" s="42" t="n">
        <v>204.63</v>
      </c>
      <c r="I436" s="11">
        <f>F436/G436-1</f>
        <v>0.021476261127596485</v>
      </c>
      <c r="J436" s="11">
        <f>F436/H436-1</f>
        <v>0.009346136930068916</v>
      </c>
      <c r="K436" s="13" t="n">
        <v>1827691</v>
      </c>
      <c r="L436" s="13" t="n">
        <v>1830000</v>
      </c>
      <c r="M436" s="43">
        <f>K436/L436</f>
        <v>0.9987382513661203</v>
      </c>
    </row>
    <row r="437">
      <c r="A437" s="41" t="inlineStr">
        <is>
          <t>TER</t>
        </is>
      </c>
      <c r="B437" s="37" t="inlineStr">
        <is>
          <t>—</t>
        </is>
      </c>
      <c r="C437" s="37" t="inlineStr">
        <is>
          <t>—</t>
        </is>
      </c>
      <c r="D437" s="6" t="inlineStr">
        <is>
          <t>工業自動化與機器人、半導體設備</t>
        </is>
      </c>
      <c r="E437" s="76" t="n">
        <v>24</v>
      </c>
      <c r="F437" s="42" t="n">
        <v>353.18</v>
      </c>
      <c r="G437" s="42" t="n">
        <v>341.15</v>
      </c>
      <c r="H437" s="42" t="n">
        <v>370.19</v>
      </c>
      <c r="I437" s="11">
        <f>F437/G437-1</f>
        <v>0.03526308075626572</v>
      </c>
      <c r="J437" s="11">
        <f>F437/H437-1</f>
        <v>-0.04594937734676785</v>
      </c>
      <c r="K437" s="13" t="n">
        <v>1764309</v>
      </c>
      <c r="L437" s="13" t="n">
        <v>2351700</v>
      </c>
      <c r="M437" s="43">
        <f>K437/L437</f>
        <v>0.7502270697793085</v>
      </c>
    </row>
    <row r="438">
      <c r="A438" s="41" t="inlineStr">
        <is>
          <t>TFC</t>
        </is>
      </c>
      <c r="B438" s="37" t="inlineStr">
        <is>
          <t>—</t>
        </is>
      </c>
      <c r="C438" s="37" t="inlineStr">
        <is>
          <t>—</t>
        </is>
      </c>
      <c r="D438" s="6" t="inlineStr">
        <is>
          <t>區域與社區銀行</t>
        </is>
      </c>
      <c r="E438" s="76" t="n">
        <v>104</v>
      </c>
      <c r="F438" s="42" t="n">
        <v>48.445</v>
      </c>
      <c r="G438" s="42" t="n">
        <v>48.44</v>
      </c>
      <c r="H438" s="42" t="n">
        <v>50.33</v>
      </c>
      <c r="I438" s="11">
        <f>F438/G438-1</f>
        <v>0.00010322047894306685</v>
      </c>
      <c r="J438" s="11">
        <f>F438/H438-1</f>
        <v>-0.03745281144446644</v>
      </c>
      <c r="K438" s="13" t="n">
        <v>5427750</v>
      </c>
      <c r="L438" s="13" t="n">
        <v>5505000</v>
      </c>
      <c r="M438" s="43">
        <f>K438/L438</f>
        <v>0.9859673024523161</v>
      </c>
    </row>
    <row r="439">
      <c r="A439" s="41" t="inlineStr">
        <is>
          <t>THC</t>
        </is>
      </c>
      <c r="B439" s="37" t="inlineStr">
        <is>
          <t>—</t>
        </is>
      </c>
      <c r="C439" s="37" t="inlineStr">
        <is>
          <t>—</t>
        </is>
      </c>
      <c r="D439" s="6" t="inlineStr">
        <is>
          <t>醫院與醫療服務</t>
        </is>
      </c>
      <c r="E439" s="76" t="n">
        <v>20</v>
      </c>
      <c r="F439" s="42" t="n">
        <v>262.2</v>
      </c>
      <c r="G439" s="42" t="n">
        <v>265.78</v>
      </c>
      <c r="H439" s="42" t="n">
        <v>263.46</v>
      </c>
      <c r="I439" s="11">
        <f>F439/G439-1</f>
        <v>-0.01346978704191426</v>
      </c>
      <c r="J439" s="11">
        <f>F439/H439-1</f>
        <v>-0.004782509678888602</v>
      </c>
      <c r="K439" s="13" t="n">
        <v>488281</v>
      </c>
      <c r="L439" s="13" t="n">
        <v>713550</v>
      </c>
      <c r="M439" s="43">
        <f>K439/L439</f>
        <v>0.6842982271739892</v>
      </c>
    </row>
    <row r="440">
      <c r="A440" s="41" t="inlineStr">
        <is>
          <t>TJX</t>
        </is>
      </c>
      <c r="B440" s="37" t="inlineStr">
        <is>
          <t>—</t>
        </is>
      </c>
      <c r="C440" s="37" t="inlineStr">
        <is>
          <t>—</t>
        </is>
      </c>
      <c r="D440" s="6" t="inlineStr">
        <is>
          <t>專門零售</t>
        </is>
      </c>
      <c r="E440" s="76" t="n">
        <v>62</v>
      </c>
      <c r="F440" s="42" t="n">
        <v>126.56</v>
      </c>
      <c r="G440" s="42" t="n">
        <v>122.84</v>
      </c>
      <c r="H440" s="42" t="n">
        <v>126.42</v>
      </c>
      <c r="I440" s="11">
        <f>F440/G440-1</f>
        <v>0.030283295343536354</v>
      </c>
      <c r="J440" s="11">
        <f>F440/H440-1</f>
        <v>0.001107419712070845</v>
      </c>
      <c r="K440" s="13" t="n">
        <v>9906617</v>
      </c>
      <c r="L440" s="13" t="n">
        <v>7716700</v>
      </c>
      <c r="M440" s="43">
        <f>K440/L440</f>
        <v>1.2837893140850363</v>
      </c>
    </row>
    <row r="441">
      <c r="A441" s="41" t="inlineStr">
        <is>
          <t>TLN</t>
        </is>
      </c>
      <c r="B441" s="37" t="inlineStr">
        <is>
          <t>—</t>
        </is>
      </c>
      <c r="C441" s="37" t="inlineStr">
        <is>
          <t>—</t>
        </is>
      </c>
      <c r="D441" s="6" t="inlineStr">
        <is>
          <t>IPP與電力交易商</t>
        </is>
      </c>
      <c r="E441" s="76" t="n">
        <v>69</v>
      </c>
      <c r="F441" s="42" t="n">
        <v>293.31</v>
      </c>
      <c r="G441" s="42" t="n">
        <v>287.6</v>
      </c>
      <c r="H441" s="42" t="n">
        <v>311.54</v>
      </c>
      <c r="I441" s="11">
        <f>F441/G441-1</f>
        <v>0.01985396383866478</v>
      </c>
      <c r="J441" s="11">
        <f>F441/H441-1</f>
        <v>-0.05851576041599804</v>
      </c>
      <c r="K441" s="13" t="n">
        <v>571353</v>
      </c>
      <c r="L441" s="13" t="n">
        <v>821500</v>
      </c>
      <c r="M441" s="43">
        <f>K441/L441</f>
        <v>0.6954996956786367</v>
      </c>
    </row>
    <row r="442">
      <c r="A442" s="41" t="inlineStr">
        <is>
          <t>TMC</t>
        </is>
      </c>
      <c r="B442" s="37" t="inlineStr">
        <is>
          <t>—</t>
        </is>
      </c>
      <c r="C442" s="37" t="inlineStr">
        <is>
          <t>—</t>
        </is>
      </c>
      <c r="D442" s="6" t="inlineStr">
        <is>
          <t>稀土與關鍵礦產</t>
        </is>
      </c>
      <c r="E442" s="76" t="n">
        <v>94</v>
      </c>
      <c r="F442" s="42" t="n">
        <v>3.73</v>
      </c>
      <c r="G442" s="42" t="n">
        <v>3.63</v>
      </c>
      <c r="H442" s="42" t="n">
        <v>4.01</v>
      </c>
      <c r="I442" s="11">
        <f>F442/G442-1</f>
        <v>0.02754820936639124</v>
      </c>
      <c r="J442" s="11">
        <f>F442/H442-1</f>
        <v>-0.06982543640897754</v>
      </c>
      <c r="K442" s="13" t="n">
        <v>3472018</v>
      </c>
      <c r="L442" s="13" t="n">
        <v>5732150</v>
      </c>
      <c r="M442" s="43">
        <f>K442/L442</f>
        <v>0.605709550517694</v>
      </c>
    </row>
    <row r="443">
      <c r="A443" s="74" t="inlineStr">
        <is>
          <t>TMO</t>
        </is>
      </c>
      <c r="B443" s="21" t="inlineStr">
        <is>
          <t>②</t>
        </is>
      </c>
      <c r="C443" s="99" t="inlineStr">
        <is>
          <t>—</t>
        </is>
      </c>
      <c r="D443" s="16" t="inlineStr">
        <is>
          <t>診斷與生命科學工具</t>
        </is>
      </c>
      <c r="E443" s="68" t="n">
        <v>1</v>
      </c>
      <c r="F443" s="100" t="n">
        <v>658.26</v>
      </c>
      <c r="G443" s="100" t="n">
        <v>648.4299999999999</v>
      </c>
      <c r="H443" s="100" t="n">
        <v>603.1799999999999</v>
      </c>
      <c r="I443" s="17">
        <f>F443/G443-1</f>
        <v>0.015159693413321573</v>
      </c>
      <c r="J443" s="17">
        <f>F443/H443-1</f>
        <v>0.09131602506714431</v>
      </c>
      <c r="K443" s="101" t="n">
        <v>2593716</v>
      </c>
      <c r="L443" s="101" t="n">
        <v>1672050</v>
      </c>
      <c r="M443" s="102">
        <f>K443/L443</f>
        <v>1.5512191621063964</v>
      </c>
    </row>
    <row r="444">
      <c r="A444" s="41" t="inlineStr">
        <is>
          <t>TMUS</t>
        </is>
      </c>
      <c r="B444" s="37" t="inlineStr">
        <is>
          <t>—</t>
        </is>
      </c>
      <c r="C444" s="37" t="inlineStr">
        <is>
          <t>—</t>
        </is>
      </c>
      <c r="D444" s="6" t="inlineStr">
        <is>
          <t>電信營運商</t>
        </is>
      </c>
      <c r="E444" s="76" t="n">
        <v>100</v>
      </c>
      <c r="F444" s="42" t="n">
        <v>166.44</v>
      </c>
      <c r="G444" s="42" t="n">
        <v>176.26</v>
      </c>
      <c r="H444" s="42" t="n">
        <v>177.16</v>
      </c>
      <c r="I444" s="11">
        <f>F444/G444-1</f>
        <v>-0.055713151026892005</v>
      </c>
      <c r="J444" s="11">
        <f>F444/H444-1</f>
        <v>-0.06051027319936775</v>
      </c>
      <c r="K444" s="13" t="n">
        <v>5712191</v>
      </c>
      <c r="L444" s="13" t="n">
        <v>3942450</v>
      </c>
      <c r="M444" s="43">
        <f>K444/L444</f>
        <v>1.4488937082271176</v>
      </c>
    </row>
    <row r="445">
      <c r="A445" s="41" t="inlineStr">
        <is>
          <t>TOL</t>
        </is>
      </c>
      <c r="B445" s="37" t="inlineStr">
        <is>
          <t>—</t>
        </is>
      </c>
      <c r="C445" s="37" t="inlineStr">
        <is>
          <t>—</t>
        </is>
      </c>
      <c r="D445" s="6" t="inlineStr">
        <is>
          <t>住宅建築商</t>
        </is>
      </c>
      <c r="E445" s="76" t="n">
        <v>17</v>
      </c>
      <c r="F445" s="42" t="n">
        <v>134.27</v>
      </c>
      <c r="G445" s="42" t="n">
        <v>132.64</v>
      </c>
      <c r="H445" s="42" t="n">
        <v>132.48</v>
      </c>
      <c r="I445" s="11">
        <f>F445/G445-1</f>
        <v>0.012288902291918147</v>
      </c>
      <c r="J445" s="11">
        <f>F445/H445-1</f>
        <v>0.013511473429951737</v>
      </c>
      <c r="K445" s="13" t="n">
        <v>641048</v>
      </c>
      <c r="L445" s="13" t="n">
        <v>861400</v>
      </c>
      <c r="M445" s="43">
        <f>K445/L445</f>
        <v>0.7441931739029487</v>
      </c>
    </row>
    <row r="446">
      <c r="A446" s="41" t="inlineStr">
        <is>
          <t>TOST</t>
        </is>
      </c>
      <c r="B446" s="37" t="inlineStr">
        <is>
          <t>—</t>
        </is>
      </c>
      <c r="C446" s="37" t="inlineStr">
        <is>
          <t>—</t>
        </is>
      </c>
      <c r="D446" s="6" t="inlineStr">
        <is>
          <t>支付與收單</t>
        </is>
      </c>
      <c r="E446" s="76" t="n">
        <v>58</v>
      </c>
      <c r="F446" s="42" t="n">
        <v>30.645</v>
      </c>
      <c r="G446" s="42" t="n">
        <v>31.12</v>
      </c>
      <c r="H446" s="42" t="n">
        <v>31.94</v>
      </c>
      <c r="I446" s="11">
        <f>F446/G446-1</f>
        <v>-0.015263496143958943</v>
      </c>
      <c r="J446" s="11">
        <f>F446/H446-1</f>
        <v>-0.04054477144646218</v>
      </c>
      <c r="K446" s="13" t="n">
        <v>5108323</v>
      </c>
      <c r="L446" s="13" t="n">
        <v>7490850</v>
      </c>
      <c r="M446" s="43">
        <f>K446/L446</f>
        <v>0.6819417022100296</v>
      </c>
    </row>
    <row r="447">
      <c r="A447" s="41" t="inlineStr">
        <is>
          <t>TPB</t>
        </is>
      </c>
      <c r="B447" s="37" t="inlineStr">
        <is>
          <t>—</t>
        </is>
      </c>
      <c r="C447" s="37" t="inlineStr">
        <is>
          <t>—</t>
        </is>
      </c>
      <c r="D447" s="6" t="inlineStr">
        <is>
          <t>煙草與尼古丁</t>
        </is>
      </c>
      <c r="E447" s="76" t="n">
        <v>63</v>
      </c>
      <c r="F447" s="42" t="n">
        <v>68.62</v>
      </c>
      <c r="G447" s="42" t="n">
        <v>70.12</v>
      </c>
      <c r="H447" s="42" t="n">
        <v>71.95</v>
      </c>
      <c r="I447" s="11">
        <f>F447/G447-1</f>
        <v>-0.02139189960068455</v>
      </c>
      <c r="J447" s="11">
        <f>F447/H447-1</f>
        <v>-0.04628214037526057</v>
      </c>
      <c r="K447" s="13" t="n">
        <v>201214</v>
      </c>
      <c r="L447" s="13" t="n">
        <v>235450</v>
      </c>
      <c r="M447" s="43">
        <f>K447/L447</f>
        <v>0.8545933319176046</v>
      </c>
    </row>
    <row r="448">
      <c r="A448" s="41" t="inlineStr">
        <is>
          <t>TROW</t>
        </is>
      </c>
      <c r="B448" s="37" t="inlineStr">
        <is>
          <t>—</t>
        </is>
      </c>
      <c r="C448" s="37" t="inlineStr">
        <is>
          <t>—</t>
        </is>
      </c>
      <c r="D448" s="6" t="inlineStr">
        <is>
          <t>資產管理</t>
        </is>
      </c>
      <c r="E448" s="76" t="n">
        <v>77</v>
      </c>
      <c r="F448" s="42" t="n">
        <v>102.81</v>
      </c>
      <c r="G448" s="42" t="n">
        <v>102.4</v>
      </c>
      <c r="H448" s="42" t="n">
        <v>107.55</v>
      </c>
      <c r="I448" s="11">
        <f>F448/G448-1</f>
        <v>0.004003906249999911</v>
      </c>
      <c r="J448" s="11">
        <f>F448/H448-1</f>
        <v>-0.0440725244072524</v>
      </c>
      <c r="K448" s="13" t="n">
        <v>1026595</v>
      </c>
      <c r="L448" s="13" t="n">
        <v>1213200</v>
      </c>
      <c r="M448" s="43">
        <f>K448/L448</f>
        <v>0.8461877678865809</v>
      </c>
    </row>
    <row r="449">
      <c r="A449" s="74" t="inlineStr">
        <is>
          <t>TRV</t>
        </is>
      </c>
      <c r="B449" s="21" t="inlineStr">
        <is>
          <t>⑦</t>
        </is>
      </c>
      <c r="C449" s="99" t="inlineStr">
        <is>
          <t>—</t>
        </is>
      </c>
      <c r="D449" s="16" t="inlineStr">
        <is>
          <t>產險與再保</t>
        </is>
      </c>
      <c r="E449" s="68" t="n">
        <v>16</v>
      </c>
      <c r="F449" s="100" t="n">
        <v>379.5</v>
      </c>
      <c r="G449" s="100" t="n">
        <v>378.92</v>
      </c>
      <c r="H449" s="100" t="n">
        <v>367.56</v>
      </c>
      <c r="I449" s="17">
        <f>F449/G449-1</f>
        <v>0.0015306661036629254</v>
      </c>
      <c r="J449" s="17">
        <f>F449/H449-1</f>
        <v>0.032484492327783165</v>
      </c>
      <c r="K449" s="101" t="n">
        <v>799793</v>
      </c>
      <c r="L449" s="101" t="n">
        <v>1474800</v>
      </c>
      <c r="M449" s="102">
        <f>K449/L449</f>
        <v>0.5423060754000543</v>
      </c>
    </row>
    <row r="450">
      <c r="A450" s="41" t="inlineStr">
        <is>
          <t>TSLA</t>
        </is>
      </c>
      <c r="B450" s="37" t="inlineStr">
        <is>
          <t>—</t>
        </is>
      </c>
      <c r="C450" s="37" t="inlineStr">
        <is>
          <t>—</t>
        </is>
      </c>
      <c r="D450" s="6" t="inlineStr">
        <is>
          <t>電動車與新能源車</t>
        </is>
      </c>
      <c r="E450" s="76" t="n">
        <v>78</v>
      </c>
      <c r="F450" s="42" t="n">
        <v>366.04</v>
      </c>
      <c r="G450" s="42" t="n">
        <v>358.08</v>
      </c>
      <c r="H450" s="42" t="n">
        <v>363.56</v>
      </c>
      <c r="I450" s="11">
        <f>F450/G450-1</f>
        <v>0.02222966934763182</v>
      </c>
      <c r="J450" s="11">
        <f>F450/H450-1</f>
        <v>0.00682143250082512</v>
      </c>
      <c r="K450" s="13" t="n">
        <v>34544536</v>
      </c>
      <c r="L450" s="13" t="n">
        <v>32768250</v>
      </c>
      <c r="M450" s="43">
        <f>K450/L450</f>
        <v>1.0542075332066863</v>
      </c>
    </row>
    <row r="451">
      <c r="A451" s="74" t="inlineStr">
        <is>
          <t>TSM</t>
        </is>
      </c>
      <c r="B451" s="21" t="inlineStr">
        <is>
          <t>③</t>
        </is>
      </c>
      <c r="C451" s="99" t="inlineStr">
        <is>
          <t>—</t>
        </is>
      </c>
      <c r="D451" s="16" t="inlineStr">
        <is>
          <t>晶圓代工/IDM</t>
        </is>
      </c>
      <c r="E451" s="68" t="n">
        <v>9</v>
      </c>
      <c r="F451" s="100" t="n">
        <v>430.14</v>
      </c>
      <c r="G451" s="100" t="n">
        <v>417.72</v>
      </c>
      <c r="H451" s="100" t="n">
        <v>428.03</v>
      </c>
      <c r="I451" s="17">
        <f>F451/G451-1</f>
        <v>0.029732835392128676</v>
      </c>
      <c r="J451" s="17">
        <f>F451/H451-1</f>
        <v>0.004929561012078532</v>
      </c>
      <c r="K451" s="101" t="n">
        <v>7894769</v>
      </c>
      <c r="L451" s="101" t="n">
        <v>8922050</v>
      </c>
      <c r="M451" s="102">
        <f>K451/L451</f>
        <v>0.8848604300581144</v>
      </c>
    </row>
    <row r="452">
      <c r="A452" s="41" t="inlineStr">
        <is>
          <t>TSN</t>
        </is>
      </c>
      <c r="B452" s="37" t="inlineStr">
        <is>
          <t>—</t>
        </is>
      </c>
      <c r="C452" s="37" t="inlineStr">
        <is>
          <t>—</t>
        </is>
      </c>
      <c r="D452" s="6" t="inlineStr">
        <is>
          <t>農產品與農業投入</t>
        </is>
      </c>
      <c r="E452" s="76" t="n">
        <v>70</v>
      </c>
      <c r="F452" s="42" t="n">
        <v>52.25</v>
      </c>
      <c r="G452" s="42" t="n">
        <v>52.12</v>
      </c>
      <c r="H452" s="42" t="n">
        <v>52.46</v>
      </c>
      <c r="I452" s="11">
        <f>F452/G452-1</f>
        <v>0.0024942440521873444</v>
      </c>
      <c r="J452" s="11">
        <f>F452/H452-1</f>
        <v>-0.004003049942813641</v>
      </c>
      <c r="K452" s="13" t="n">
        <v>2169400</v>
      </c>
      <c r="L452" s="13" t="n">
        <v>3075550</v>
      </c>
      <c r="M452" s="43">
        <f>K452/L452</f>
        <v>0.705369771260425</v>
      </c>
    </row>
    <row r="453">
      <c r="A453" s="41" t="inlineStr">
        <is>
          <t>TT</t>
        </is>
      </c>
      <c r="B453" s="37" t="inlineStr">
        <is>
          <t>—</t>
        </is>
      </c>
      <c r="C453" s="37" t="inlineStr">
        <is>
          <t>—</t>
        </is>
      </c>
      <c r="D453" s="6" t="inlineStr">
        <is>
          <t>樓宇產品與HVAC</t>
        </is>
      </c>
      <c r="E453" s="76" t="n">
        <v>75</v>
      </c>
      <c r="F453" s="42" t="n">
        <v>423.32</v>
      </c>
      <c r="G453" s="42" t="n">
        <v>421.68</v>
      </c>
      <c r="H453" s="42" t="n">
        <v>439.83</v>
      </c>
      <c r="I453" s="11">
        <f>F453/G453-1</f>
        <v>0.003889205084424141</v>
      </c>
      <c r="J453" s="11">
        <f>F453/H453-1</f>
        <v>-0.03753723029352252</v>
      </c>
      <c r="K453" s="13" t="n">
        <v>673111</v>
      </c>
      <c r="L453" s="13" t="n">
        <v>929400</v>
      </c>
      <c r="M453" s="43">
        <f>K453/L453</f>
        <v>0.7242425220572413</v>
      </c>
    </row>
    <row r="454">
      <c r="A454" s="41" t="inlineStr">
        <is>
          <t>TTWO</t>
        </is>
      </c>
      <c r="B454" s="37" t="inlineStr">
        <is>
          <t>—</t>
        </is>
      </c>
      <c r="C454" s="37" t="inlineStr">
        <is>
          <t>—</t>
        </is>
      </c>
      <c r="D454" s="6" t="inlineStr">
        <is>
          <t>互動遊戲</t>
        </is>
      </c>
      <c r="E454" s="76" t="n">
        <v>83</v>
      </c>
      <c r="F454" s="42" t="n">
        <v>210.635</v>
      </c>
      <c r="G454" s="42" t="n">
        <v>211.81</v>
      </c>
      <c r="H454" s="42" t="n">
        <v>216.96</v>
      </c>
      <c r="I454" s="11">
        <f>F454/G454-1</f>
        <v>-0.005547424578631888</v>
      </c>
      <c r="J454" s="11">
        <f>F454/H454-1</f>
        <v>-0.029152839233038463</v>
      </c>
      <c r="K454" s="13" t="n">
        <v>2108334</v>
      </c>
      <c r="L454" s="13" t="n">
        <v>2478850</v>
      </c>
      <c r="M454" s="43">
        <f>K454/L454</f>
        <v>0.8505290759828146</v>
      </c>
    </row>
    <row r="455">
      <c r="A455" s="41" t="inlineStr">
        <is>
          <t>TXN</t>
        </is>
      </c>
      <c r="B455" s="37" t="inlineStr">
        <is>
          <t>—</t>
        </is>
      </c>
      <c r="C455" s="37" t="inlineStr">
        <is>
          <t>—</t>
        </is>
      </c>
      <c r="D455" s="6" t="inlineStr">
        <is>
          <t>類比/功率半導體</t>
        </is>
      </c>
      <c r="E455" s="76" t="n">
        <v>47</v>
      </c>
      <c r="F455" s="42" t="n">
        <v>258.11</v>
      </c>
      <c r="G455" s="42" t="n">
        <v>260.67</v>
      </c>
      <c r="H455" s="42" t="n">
        <v>258.82</v>
      </c>
      <c r="I455" s="11">
        <f>F455/G455-1</f>
        <v>-0.009820846280738094</v>
      </c>
      <c r="J455" s="11">
        <f>F455/H455-1</f>
        <v>-0.002743219225716631</v>
      </c>
      <c r="K455" s="13" t="n">
        <v>4174539</v>
      </c>
      <c r="L455" s="13" t="n">
        <v>5357300</v>
      </c>
      <c r="M455" s="43">
        <f>K455/L455</f>
        <v>0.779224422750266</v>
      </c>
    </row>
    <row r="456">
      <c r="A456" s="41" t="inlineStr">
        <is>
          <t>UAL</t>
        </is>
      </c>
      <c r="B456" s="37" t="inlineStr">
        <is>
          <t>—</t>
        </is>
      </c>
      <c r="C456" s="37" t="inlineStr">
        <is>
          <t>—</t>
        </is>
      </c>
      <c r="D456" s="6" t="inlineStr">
        <is>
          <t>航空公司</t>
        </is>
      </c>
      <c r="E456" s="76" t="n">
        <v>33</v>
      </c>
      <c r="F456" s="42" t="n">
        <v>107.66</v>
      </c>
      <c r="G456" s="42" t="n">
        <v>106.3</v>
      </c>
      <c r="H456" s="42" t="n">
        <v>106.49</v>
      </c>
      <c r="I456" s="11">
        <f>F456/G456-1</f>
        <v>0.01279397930385695</v>
      </c>
      <c r="J456" s="11">
        <f>F456/H456-1</f>
        <v>0.010986947131186087</v>
      </c>
      <c r="K456" s="13" t="n">
        <v>2775386</v>
      </c>
      <c r="L456" s="13" t="n">
        <v>3376750</v>
      </c>
      <c r="M456" s="43">
        <f>K456/L456</f>
        <v>0.8219104168209077</v>
      </c>
    </row>
    <row r="457">
      <c r="A457" s="60" t="inlineStr">
        <is>
          <t>UEC</t>
        </is>
      </c>
      <c r="B457" s="103" t="inlineStr">
        <is>
          <t>—</t>
        </is>
      </c>
      <c r="C457" s="104" t="inlineStr">
        <is>
          <t>B 由迴避改為中性｜鈾</t>
        </is>
      </c>
      <c r="D457" s="23" t="inlineStr">
        <is>
          <t>鈾與核燃料</t>
        </is>
      </c>
      <c r="E457" s="91" t="n">
        <v>96</v>
      </c>
      <c r="F457" s="61" t="n">
        <v>10.13</v>
      </c>
      <c r="G457" s="61" t="n">
        <v>10.08</v>
      </c>
      <c r="H457" s="61" t="n">
        <v>11.02</v>
      </c>
      <c r="I457" s="24">
        <f>F457/G457-1</f>
        <v>0.004960317460317443</v>
      </c>
      <c r="J457" s="24">
        <f>F457/H457-1</f>
        <v>-0.08076225045372043</v>
      </c>
      <c r="K457" s="62" t="n">
        <v>5755549</v>
      </c>
      <c r="L457" s="62" t="n">
        <v>8724100</v>
      </c>
      <c r="M457" s="63">
        <f>K457/L457</f>
        <v>0.6597298288648685</v>
      </c>
    </row>
    <row r="458">
      <c r="A458" s="41" t="inlineStr">
        <is>
          <t>UHS</t>
        </is>
      </c>
      <c r="B458" s="37" t="inlineStr">
        <is>
          <t>—</t>
        </is>
      </c>
      <c r="C458" s="37" t="inlineStr">
        <is>
          <t>—</t>
        </is>
      </c>
      <c r="D458" s="6" t="inlineStr">
        <is>
          <t>醫院與醫療服務</t>
        </is>
      </c>
      <c r="E458" s="76" t="n">
        <v>20</v>
      </c>
      <c r="F458" s="42" t="n">
        <v>180.75</v>
      </c>
      <c r="G458" s="42" t="n">
        <v>181.21</v>
      </c>
      <c r="H458" s="42" t="n">
        <v>172.72</v>
      </c>
      <c r="I458" s="11">
        <f>F458/G458-1</f>
        <v>-0.0025384912532421255</v>
      </c>
      <c r="J458" s="11">
        <f>F458/H458-1</f>
        <v>0.046491431218156576</v>
      </c>
      <c r="K458" s="13" t="n">
        <v>780429</v>
      </c>
      <c r="L458" s="13" t="n">
        <v>621000</v>
      </c>
      <c r="M458" s="43">
        <f>K458/L458</f>
        <v>1.2567294685990338</v>
      </c>
    </row>
    <row r="459">
      <c r="A459" s="41" t="inlineStr">
        <is>
          <t>UMC</t>
        </is>
      </c>
      <c r="B459" s="37" t="inlineStr">
        <is>
          <t>—</t>
        </is>
      </c>
      <c r="C459" s="37" t="inlineStr">
        <is>
          <t>—</t>
        </is>
      </c>
      <c r="D459" s="6" t="inlineStr">
        <is>
          <t>晶圓代工/IDM</t>
        </is>
      </c>
      <c r="E459" s="76" t="n">
        <v>9</v>
      </c>
      <c r="F459" s="42" t="n">
        <v>24.465</v>
      </c>
      <c r="G459" s="42" t="n">
        <v>22.53</v>
      </c>
      <c r="H459" s="42" t="n">
        <v>22.12</v>
      </c>
      <c r="I459" s="11">
        <f>F459/G459-1</f>
        <v>0.08588548601864177</v>
      </c>
      <c r="J459" s="11">
        <f>F459/H459-1</f>
        <v>0.106012658227848</v>
      </c>
      <c r="K459" s="13" t="n">
        <v>13898812</v>
      </c>
      <c r="L459" s="13" t="n">
        <v>10115050</v>
      </c>
      <c r="M459" s="43">
        <f>K459/L459</f>
        <v>1.374072495934276</v>
      </c>
    </row>
    <row r="460">
      <c r="A460" s="41" t="inlineStr">
        <is>
          <t>UNH</t>
        </is>
      </c>
      <c r="B460" s="37" t="inlineStr">
        <is>
          <t>—</t>
        </is>
      </c>
      <c r="C460" s="37" t="inlineStr">
        <is>
          <t>—</t>
        </is>
      </c>
      <c r="D460" s="6" t="inlineStr">
        <is>
          <t>醫療保險與管理式醫療</t>
        </is>
      </c>
      <c r="E460" s="76" t="n">
        <v>93</v>
      </c>
      <c r="F460" s="42" t="n">
        <v>375.32</v>
      </c>
      <c r="G460" s="42" t="n">
        <v>375.26</v>
      </c>
      <c r="H460" s="42" t="n">
        <v>388.28</v>
      </c>
      <c r="I460" s="11">
        <f>F460/G460-1</f>
        <v>0.0001598891435272698</v>
      </c>
      <c r="J460" s="11">
        <f>F460/H460-1</f>
        <v>-0.033377974657463616</v>
      </c>
      <c r="K460" s="13" t="n">
        <v>2925907</v>
      </c>
      <c r="L460" s="13" t="n">
        <v>4485600</v>
      </c>
      <c r="M460" s="43">
        <f>K460/L460</f>
        <v>0.6522888799714642</v>
      </c>
    </row>
    <row r="461">
      <c r="A461" s="41" t="inlineStr">
        <is>
          <t>UNP</t>
        </is>
      </c>
      <c r="B461" s="37" t="inlineStr">
        <is>
          <t>—</t>
        </is>
      </c>
      <c r="C461" s="37" t="inlineStr">
        <is>
          <t>—</t>
        </is>
      </c>
      <c r="D461" s="6" t="inlineStr">
        <is>
          <t>鐵路運輸</t>
        </is>
      </c>
      <c r="E461" s="76" t="n">
        <v>73</v>
      </c>
      <c r="F461" s="42" t="n">
        <v>282.48</v>
      </c>
      <c r="G461" s="42" t="n">
        <v>280.92</v>
      </c>
      <c r="H461" s="42" t="n">
        <v>285.78</v>
      </c>
      <c r="I461" s="11">
        <f>F461/G461-1</f>
        <v>0.005553182400683587</v>
      </c>
      <c r="J461" s="11">
        <f>F461/H461-1</f>
        <v>-0.01154734411085434</v>
      </c>
      <c r="K461" s="13" t="n">
        <v>1354833</v>
      </c>
      <c r="L461" s="13" t="n">
        <v>2171500</v>
      </c>
      <c r="M461" s="43">
        <f>K461/L461</f>
        <v>0.6239157264563666</v>
      </c>
    </row>
    <row r="462">
      <c r="A462" s="60" t="inlineStr">
        <is>
          <t>UPS</t>
        </is>
      </c>
      <c r="B462" s="103" t="inlineStr">
        <is>
          <t>—</t>
        </is>
      </c>
      <c r="C462" s="104" t="inlineStr">
        <is>
          <t>A 結構性迴避｜貨運物流</t>
        </is>
      </c>
      <c r="D462" s="23" t="inlineStr">
        <is>
          <t>貨運與物流</t>
        </is>
      </c>
      <c r="E462" s="91" t="n">
        <v>88</v>
      </c>
      <c r="F462" s="61" t="n">
        <v>100.18</v>
      </c>
      <c r="G462" s="61" t="n">
        <v>98.77</v>
      </c>
      <c r="H462" s="61" t="n">
        <v>99.97</v>
      </c>
      <c r="I462" s="24">
        <f>F462/G462-1</f>
        <v>0.014275589753973916</v>
      </c>
      <c r="J462" s="24">
        <f>F462/H462-1</f>
        <v>0.002100630189056707</v>
      </c>
      <c r="K462" s="62" t="n">
        <v>2525673</v>
      </c>
      <c r="L462" s="62" t="n">
        <v>3735150</v>
      </c>
      <c r="M462" s="63">
        <f>K462/L462</f>
        <v>0.6761905144371712</v>
      </c>
    </row>
    <row r="463">
      <c r="A463" s="41" t="inlineStr">
        <is>
          <t>USAR</t>
        </is>
      </c>
      <c r="B463" s="37" t="inlineStr">
        <is>
          <t>—</t>
        </is>
      </c>
      <c r="C463" s="37" t="inlineStr">
        <is>
          <t>—</t>
        </is>
      </c>
      <c r="D463" s="6" t="inlineStr">
        <is>
          <t>稀土與關鍵礦產</t>
        </is>
      </c>
      <c r="E463" s="76" t="n">
        <v>94</v>
      </c>
      <c r="F463" s="42" t="n">
        <v>15.62</v>
      </c>
      <c r="G463" s="42" t="n">
        <v>15.1</v>
      </c>
      <c r="H463" s="42" t="n">
        <v>16.04</v>
      </c>
      <c r="I463" s="11">
        <f>F463/G463-1</f>
        <v>0.03443708609271523</v>
      </c>
      <c r="J463" s="11">
        <f>F463/H463-1</f>
        <v>-0.026184538653366562</v>
      </c>
      <c r="K463" s="13" t="n">
        <v>10870856</v>
      </c>
      <c r="L463" s="13" t="n">
        <v>13410800</v>
      </c>
      <c r="M463" s="43">
        <f>K463/L463</f>
        <v>0.810604587347511</v>
      </c>
    </row>
    <row r="464">
      <c r="A464" s="60" t="inlineStr">
        <is>
          <t>USB</t>
        </is>
      </c>
      <c r="B464" s="103" t="inlineStr">
        <is>
          <t>—</t>
        </is>
      </c>
      <c r="C464" s="104" t="inlineStr">
        <is>
          <t>A 結構性迴避｜區域銀行</t>
        </is>
      </c>
      <c r="D464" s="23" t="inlineStr">
        <is>
          <t>區域與社區銀行</t>
        </is>
      </c>
      <c r="E464" s="91" t="n">
        <v>104</v>
      </c>
      <c r="F464" s="61" t="n">
        <v>60.25</v>
      </c>
      <c r="G464" s="61" t="n">
        <v>59.73</v>
      </c>
      <c r="H464" s="61" t="n">
        <v>62.41</v>
      </c>
      <c r="I464" s="24">
        <f>F464/G464-1</f>
        <v>0.008705842959986665</v>
      </c>
      <c r="J464" s="24">
        <f>F464/H464-1</f>
        <v>-0.034609838166960394</v>
      </c>
      <c r="K464" s="62" t="n">
        <v>5244310</v>
      </c>
      <c r="L464" s="62" t="n">
        <v>6336150</v>
      </c>
      <c r="M464" s="63">
        <f>K464/L464</f>
        <v>0.8276808472021654</v>
      </c>
    </row>
    <row r="465">
      <c r="A465" s="41" t="inlineStr">
        <is>
          <t>USFD</t>
        </is>
      </c>
      <c r="B465" s="37" t="inlineStr">
        <is>
          <t>—</t>
        </is>
      </c>
      <c r="C465" s="37" t="inlineStr">
        <is>
          <t>—</t>
        </is>
      </c>
      <c r="D465" s="6" t="inlineStr">
        <is>
          <t>必需品分銷</t>
        </is>
      </c>
      <c r="E465" s="76" t="n">
        <v>105</v>
      </c>
      <c r="F465" s="42" t="n">
        <v>92.20999999999999</v>
      </c>
      <c r="G465" s="42" t="n">
        <v>92.51000000000001</v>
      </c>
      <c r="H465" s="42" t="n">
        <v>96.06</v>
      </c>
      <c r="I465" s="11">
        <f>F465/G465-1</f>
        <v>-0.003242892660253016</v>
      </c>
      <c r="J465" s="11">
        <f>F465/H465-1</f>
        <v>-0.04007911721840529</v>
      </c>
      <c r="K465" s="13" t="n">
        <v>2706363</v>
      </c>
      <c r="L465" s="13" t="n">
        <v>1759650</v>
      </c>
      <c r="M465" s="43">
        <f>K465/L465</f>
        <v>1.538012104679908</v>
      </c>
    </row>
    <row r="466">
      <c r="A466" s="41" t="inlineStr">
        <is>
          <t>UUUU</t>
        </is>
      </c>
      <c r="B466" s="37" t="inlineStr">
        <is>
          <t>—</t>
        </is>
      </c>
      <c r="C466" s="37" t="inlineStr">
        <is>
          <t>—</t>
        </is>
      </c>
      <c r="D466" s="6" t="inlineStr">
        <is>
          <t>稀土與關鍵礦產、鈾與核燃料</t>
        </is>
      </c>
      <c r="E466" s="76" t="n">
        <v>94</v>
      </c>
      <c r="F466" s="42" t="n">
        <v>12</v>
      </c>
      <c r="G466" s="42" t="n">
        <v>11.73</v>
      </c>
      <c r="H466" s="42" t="n">
        <v>13.63</v>
      </c>
      <c r="I466" s="11">
        <f>F466/G466-1</f>
        <v>0.023017902813299296</v>
      </c>
      <c r="J466" s="11">
        <f>F466/H466-1</f>
        <v>-0.11958914159941314</v>
      </c>
      <c r="K466" s="13" t="n">
        <v>6486549</v>
      </c>
      <c r="L466" s="13" t="n">
        <v>6554750</v>
      </c>
      <c r="M466" s="43">
        <f>K466/L466</f>
        <v>0.9895951790686144</v>
      </c>
    </row>
    <row r="467">
      <c r="A467" s="41" t="inlineStr">
        <is>
          <t>V</t>
        </is>
      </c>
      <c r="B467" s="37" t="inlineStr">
        <is>
          <t>—</t>
        </is>
      </c>
      <c r="C467" s="37" t="inlineStr">
        <is>
          <t>—</t>
        </is>
      </c>
      <c r="D467" s="6" t="inlineStr">
        <is>
          <t>支付與收單</t>
        </is>
      </c>
      <c r="E467" s="76" t="n">
        <v>58</v>
      </c>
      <c r="F467" s="42" t="n">
        <v>369.935</v>
      </c>
      <c r="G467" s="42" t="n">
        <v>370.93</v>
      </c>
      <c r="H467" s="42" t="n">
        <v>367.21</v>
      </c>
      <c r="I467" s="11">
        <f>F467/G467-1</f>
        <v>-0.0026824468228506815</v>
      </c>
      <c r="J467" s="11">
        <f>F467/H467-1</f>
        <v>0.0074208218730427156</v>
      </c>
      <c r="K467" s="13" t="n">
        <v>3076284</v>
      </c>
      <c r="L467" s="13" t="n">
        <v>5861900</v>
      </c>
      <c r="M467" s="43">
        <f>K467/L467</f>
        <v>0.5247929852095737</v>
      </c>
    </row>
    <row r="468">
      <c r="A468" s="41" t="inlineStr">
        <is>
          <t>VAL</t>
        </is>
      </c>
      <c r="B468" s="37" t="inlineStr">
        <is>
          <t>—</t>
        </is>
      </c>
      <c r="C468" s="37" t="inlineStr">
        <is>
          <t>—</t>
        </is>
      </c>
      <c r="D468" s="6" t="inlineStr">
        <is>
          <t>海上鑽井與設備</t>
        </is>
      </c>
      <c r="E468" s="76" t="n">
        <v>79</v>
      </c>
      <c r="F468" s="42" t="n">
        <v>84.04000000000001</v>
      </c>
      <c r="G468" s="42" t="n">
        <v>82.52</v>
      </c>
      <c r="H468" s="42" t="n">
        <v>85.70999999999999</v>
      </c>
      <c r="I468" s="11">
        <f>F468/G468-1</f>
        <v>0.01841977702375197</v>
      </c>
      <c r="J468" s="11">
        <f>F468/H468-1</f>
        <v>-0.019484307548710667</v>
      </c>
      <c r="K468" s="13" t="n">
        <v>862567</v>
      </c>
      <c r="L468" s="13" t="n">
        <v>1157800</v>
      </c>
      <c r="M468" s="43">
        <f>K468/L468</f>
        <v>0.7450051822421835</v>
      </c>
    </row>
    <row r="469">
      <c r="A469" s="41" t="inlineStr">
        <is>
          <t>VG</t>
        </is>
      </c>
      <c r="B469" s="37" t="inlineStr">
        <is>
          <t>—</t>
        </is>
      </c>
      <c r="C469" s="37" t="inlineStr">
        <is>
          <t>—</t>
        </is>
      </c>
      <c r="D469" s="6" t="inlineStr">
        <is>
          <t>LNG液化天然氣</t>
        </is>
      </c>
      <c r="E469" s="76" t="n">
        <v>92</v>
      </c>
      <c r="F469" s="42" t="n">
        <v>14.4</v>
      </c>
      <c r="G469" s="42" t="n">
        <v>14.65</v>
      </c>
      <c r="H469" s="42" t="n">
        <v>15.5</v>
      </c>
      <c r="I469" s="11">
        <f>F469/G469-1</f>
        <v>-0.017064846416382284</v>
      </c>
      <c r="J469" s="11">
        <f>F469/H469-1</f>
        <v>-0.07096774193548383</v>
      </c>
      <c r="K469" s="13" t="n">
        <v>9250946</v>
      </c>
      <c r="L469" s="13" t="n">
        <v>13014250</v>
      </c>
      <c r="M469" s="43">
        <f>K469/L469</f>
        <v>0.7108320494842192</v>
      </c>
    </row>
    <row r="470">
      <c r="A470" s="41" t="inlineStr">
        <is>
          <t>VICI</t>
        </is>
      </c>
      <c r="B470" s="37" t="inlineStr">
        <is>
          <t>—</t>
        </is>
      </c>
      <c r="C470" s="37" t="inlineStr">
        <is>
          <t>—</t>
        </is>
      </c>
      <c r="D470" s="6" t="inlineStr">
        <is>
          <t>特殊型REIT（自存倉/賭場/廣告牌）</t>
        </is>
      </c>
      <c r="E470" s="76" t="n">
        <v>49</v>
      </c>
      <c r="F470" s="42" t="n">
        <v>24.105</v>
      </c>
      <c r="G470" s="42" t="n">
        <v>24.53</v>
      </c>
      <c r="H470" s="42" t="n">
        <v>24.73</v>
      </c>
      <c r="I470" s="11">
        <f>F470/G470-1</f>
        <v>-0.01732572360375051</v>
      </c>
      <c r="J470" s="11">
        <f>F470/H470-1</f>
        <v>-0.025272947836635695</v>
      </c>
      <c r="K470" s="13" t="n">
        <v>5993941</v>
      </c>
      <c r="L470" s="13" t="n">
        <v>9152950</v>
      </c>
      <c r="M470" s="43">
        <f>K470/L470</f>
        <v>0.6548643879842018</v>
      </c>
    </row>
    <row r="471">
      <c r="A471" s="41" t="inlineStr">
        <is>
          <t>VKTX</t>
        </is>
      </c>
      <c r="B471" s="37" t="inlineStr">
        <is>
          <t>—</t>
        </is>
      </c>
      <c r="C471" s="37" t="inlineStr">
        <is>
          <t>—</t>
        </is>
      </c>
      <c r="D471" s="6" t="inlineStr">
        <is>
          <t>GLP-1減重與代謝、臨床期中小型生技</t>
        </is>
      </c>
      <c r="E471" s="76" t="n">
        <v>65</v>
      </c>
      <c r="F471" s="42" t="n">
        <v>29.36</v>
      </c>
      <c r="G471" s="42" t="n">
        <v>29.52</v>
      </c>
      <c r="H471" s="42" t="n">
        <v>32.13</v>
      </c>
      <c r="I471" s="11">
        <f>F471/G471-1</f>
        <v>-0.005420054200542035</v>
      </c>
      <c r="J471" s="11">
        <f>F471/H471-1</f>
        <v>-0.08621226268285098</v>
      </c>
      <c r="K471" s="13" t="n">
        <v>1857252</v>
      </c>
      <c r="L471" s="13" t="n">
        <v>1811400</v>
      </c>
      <c r="M471" s="43">
        <f>K471/L471</f>
        <v>1.0253130175554819</v>
      </c>
    </row>
    <row r="472">
      <c r="A472" s="74" t="inlineStr">
        <is>
          <t>VLO</t>
        </is>
      </c>
      <c r="B472" s="21" t="inlineStr">
        <is>
          <t>①</t>
        </is>
      </c>
      <c r="C472" s="99" t="inlineStr">
        <is>
          <t>—</t>
        </is>
      </c>
      <c r="D472" s="16" t="inlineStr">
        <is>
          <t>煉油與成品油</t>
        </is>
      </c>
      <c r="E472" s="68" t="n">
        <v>2</v>
      </c>
      <c r="F472" s="100" t="n">
        <v>412.33</v>
      </c>
      <c r="G472" s="100" t="n">
        <v>403.28</v>
      </c>
      <c r="H472" s="100" t="n">
        <v>385.43</v>
      </c>
      <c r="I472" s="17">
        <f>F472/G472-1</f>
        <v>0.02244098393175964</v>
      </c>
      <c r="J472" s="17">
        <f>F472/H472-1</f>
        <v>0.06979218016241595</v>
      </c>
      <c r="K472" s="101" t="n">
        <v>2741747</v>
      </c>
      <c r="L472" s="101" t="n">
        <v>2735900</v>
      </c>
      <c r="M472" s="102">
        <f>K472/L472</f>
        <v>1.0021371395153331</v>
      </c>
    </row>
    <row r="473">
      <c r="A473" s="41" t="inlineStr">
        <is>
          <t>VMC</t>
        </is>
      </c>
      <c r="B473" s="37" t="inlineStr">
        <is>
          <t>—</t>
        </is>
      </c>
      <c r="C473" s="37" t="inlineStr">
        <is>
          <t>—</t>
        </is>
      </c>
      <c r="D473" s="6" t="inlineStr">
        <is>
          <t>包裝與建材</t>
        </is>
      </c>
      <c r="E473" s="76" t="n">
        <v>60</v>
      </c>
      <c r="F473" s="42" t="n">
        <v>244.49</v>
      </c>
      <c r="G473" s="42" t="n">
        <v>244.3</v>
      </c>
      <c r="H473" s="42" t="n">
        <v>250.6</v>
      </c>
      <c r="I473" s="11">
        <f>F473/G473-1</f>
        <v>0.0007777322963569144</v>
      </c>
      <c r="J473" s="11">
        <f>F473/H473-1</f>
        <v>-0.02438148443735033</v>
      </c>
      <c r="K473" s="13" t="n">
        <v>690562</v>
      </c>
      <c r="L473" s="13" t="n">
        <v>977450</v>
      </c>
      <c r="M473" s="43">
        <f>K473/L473</f>
        <v>0.706493426773748</v>
      </c>
    </row>
    <row r="474">
      <c r="A474" s="41" t="inlineStr">
        <is>
          <t>VNO</t>
        </is>
      </c>
      <c r="B474" s="37" t="inlineStr">
        <is>
          <t>—</t>
        </is>
      </c>
      <c r="C474" s="37" t="inlineStr">
        <is>
          <t>—</t>
        </is>
      </c>
      <c r="D474" s="6" t="inlineStr">
        <is>
          <t>辦公樓REIT</t>
        </is>
      </c>
      <c r="E474" s="76" t="n">
        <v>29</v>
      </c>
      <c r="F474" s="42" t="n">
        <v>34.83</v>
      </c>
      <c r="G474" s="42" t="n">
        <v>34.82</v>
      </c>
      <c r="H474" s="42" t="n">
        <v>34.37</v>
      </c>
      <c r="I474" s="11">
        <f>F474/G474-1</f>
        <v>0.0002871912693853673</v>
      </c>
      <c r="J474" s="11">
        <f>F474/H474-1</f>
        <v>0.01338376491125981</v>
      </c>
      <c r="K474" s="13" t="n">
        <v>889712</v>
      </c>
      <c r="L474" s="13" t="n">
        <v>1202450</v>
      </c>
      <c r="M474" s="43">
        <f>K474/L474</f>
        <v>0.7399160048234854</v>
      </c>
    </row>
    <row r="475">
      <c r="A475" s="41" t="inlineStr">
        <is>
          <t>VRT</t>
        </is>
      </c>
      <c r="B475" s="37" t="inlineStr">
        <is>
          <t>—</t>
        </is>
      </c>
      <c r="C475" s="37" t="inlineStr">
        <is>
          <t>—</t>
        </is>
      </c>
      <c r="D475" s="6" t="inlineStr">
        <is>
          <t>AI資料中心建設</t>
        </is>
      </c>
      <c r="E475" s="76" t="n">
        <v>10</v>
      </c>
      <c r="F475" s="42" t="n">
        <v>241.39</v>
      </c>
      <c r="G475" s="42" t="n">
        <v>239.41</v>
      </c>
      <c r="H475" s="42" t="n">
        <v>248.13</v>
      </c>
      <c r="I475" s="11">
        <f>F475/G475-1</f>
        <v>0.008270331230942674</v>
      </c>
      <c r="J475" s="11">
        <f>F475/H475-1</f>
        <v>-0.027163180590819347</v>
      </c>
      <c r="K475" s="13" t="n">
        <v>4408085</v>
      </c>
      <c r="L475" s="13" t="n">
        <v>4442000</v>
      </c>
      <c r="M475" s="43">
        <f>K475/L475</f>
        <v>0.99236492570914</v>
      </c>
    </row>
    <row r="476">
      <c r="A476" s="41" t="inlineStr">
        <is>
          <t>VRTX</t>
        </is>
      </c>
      <c r="B476" s="37" t="inlineStr">
        <is>
          <t>—</t>
        </is>
      </c>
      <c r="C476" s="37" t="inlineStr">
        <is>
          <t>—</t>
        </is>
      </c>
      <c r="D476" s="6" t="inlineStr">
        <is>
          <t>大型生物科技</t>
        </is>
      </c>
      <c r="E476" s="76" t="n">
        <v>19</v>
      </c>
      <c r="F476" s="42" t="n">
        <v>516.35</v>
      </c>
      <c r="G476" s="42" t="n">
        <v>513.26</v>
      </c>
      <c r="H476" s="42" t="n">
        <v>514.5599999999999</v>
      </c>
      <c r="I476" s="11">
        <f>F476/G476-1</f>
        <v>0.0060203405681331645</v>
      </c>
      <c r="J476" s="11">
        <f>F476/H476-1</f>
        <v>0.0034787002487564056</v>
      </c>
      <c r="K476" s="13" t="n">
        <v>532879</v>
      </c>
      <c r="L476" s="13" t="n">
        <v>840400</v>
      </c>
      <c r="M476" s="43">
        <f>K476/L476</f>
        <v>0.6340778200856735</v>
      </c>
    </row>
    <row r="477">
      <c r="A477" s="41" t="inlineStr">
        <is>
          <t>VST</t>
        </is>
      </c>
      <c r="B477" s="37" t="inlineStr">
        <is>
          <t>—</t>
        </is>
      </c>
      <c r="C477" s="37" t="inlineStr">
        <is>
          <t>—</t>
        </is>
      </c>
      <c r="D477" s="6" t="inlineStr">
        <is>
          <t>IPP與電力交易商</t>
        </is>
      </c>
      <c r="E477" s="76" t="n">
        <v>69</v>
      </c>
      <c r="F477" s="42" t="n">
        <v>143.55</v>
      </c>
      <c r="G477" s="42" t="n">
        <v>140.39</v>
      </c>
      <c r="H477" s="42" t="n">
        <v>147.05</v>
      </c>
      <c r="I477" s="11">
        <f>F477/G477-1</f>
        <v>0.022508725692713227</v>
      </c>
      <c r="J477" s="11">
        <f>F477/H477-1</f>
        <v>-0.023801428085685195</v>
      </c>
      <c r="K477" s="13" t="n">
        <v>3326885</v>
      </c>
      <c r="L477" s="13" t="n">
        <v>4305250</v>
      </c>
      <c r="M477" s="43">
        <f>K477/L477</f>
        <v>0.7727507113408049</v>
      </c>
    </row>
    <row r="478">
      <c r="A478" s="41" t="inlineStr">
        <is>
          <t>VTR</t>
        </is>
      </c>
      <c r="B478" s="37" t="inlineStr">
        <is>
          <t>—</t>
        </is>
      </c>
      <c r="C478" s="37" t="inlineStr">
        <is>
          <t>—</t>
        </is>
      </c>
      <c r="D478" s="6" t="inlineStr">
        <is>
          <t>醫療與長者住宅REIT</t>
        </is>
      </c>
      <c r="E478" s="76" t="n">
        <v>81</v>
      </c>
      <c r="F478" s="42" t="n">
        <v>87.70999999999999</v>
      </c>
      <c r="G478" s="42" t="n">
        <v>88.20999999999999</v>
      </c>
      <c r="H478" s="42" t="n">
        <v>90.44</v>
      </c>
      <c r="I478" s="11">
        <f>F478/G478-1</f>
        <v>-0.005668291576918727</v>
      </c>
      <c r="J478" s="11">
        <f>F478/H478-1</f>
        <v>-0.030185758513931904</v>
      </c>
      <c r="K478" s="13" t="n">
        <v>1634861</v>
      </c>
      <c r="L478" s="13" t="n">
        <v>2866950</v>
      </c>
      <c r="M478" s="43">
        <f>K478/L478</f>
        <v>0.5702439875128621</v>
      </c>
    </row>
    <row r="479">
      <c r="A479" s="60" t="inlineStr">
        <is>
          <t>VZ</t>
        </is>
      </c>
      <c r="B479" s="103" t="inlineStr">
        <is>
          <t>—</t>
        </is>
      </c>
      <c r="C479" s="104" t="inlineStr">
        <is>
          <t>A 結構性迴避｜電信</t>
        </is>
      </c>
      <c r="D479" s="23" t="inlineStr">
        <is>
          <t>電信營運商</t>
        </is>
      </c>
      <c r="E479" s="91" t="n">
        <v>100</v>
      </c>
      <c r="F479" s="61" t="n">
        <v>48.33</v>
      </c>
      <c r="G479" s="61" t="n">
        <v>49.76</v>
      </c>
      <c r="H479" s="61" t="n">
        <v>49.97</v>
      </c>
      <c r="I479" s="24">
        <f>F479/G479-1</f>
        <v>-0.0287379421221865</v>
      </c>
      <c r="J479" s="24">
        <f>F479/H479-1</f>
        <v>-0.032819691815089036</v>
      </c>
      <c r="K479" s="62" t="n">
        <v>18656140</v>
      </c>
      <c r="L479" s="62" t="n">
        <v>18296250</v>
      </c>
      <c r="M479" s="63">
        <f>K479/L479</f>
        <v>1.0196701509872241</v>
      </c>
    </row>
    <row r="480">
      <c r="A480" s="41" t="inlineStr">
        <is>
          <t>W</t>
        </is>
      </c>
      <c r="B480" s="37" t="inlineStr">
        <is>
          <t>—</t>
        </is>
      </c>
      <c r="C480" s="37" t="inlineStr">
        <is>
          <t>—</t>
        </is>
      </c>
      <c r="D480" s="6" t="inlineStr">
        <is>
          <t>電商平台</t>
        </is>
      </c>
      <c r="E480" s="76" t="n">
        <v>35</v>
      </c>
      <c r="F480" s="42" t="n">
        <v>102.5</v>
      </c>
      <c r="G480" s="42" t="n">
        <v>103.24</v>
      </c>
      <c r="H480" s="42" t="n">
        <v>97.45</v>
      </c>
      <c r="I480" s="11">
        <f>F480/G480-1</f>
        <v>-0.007167764432390533</v>
      </c>
      <c r="J480" s="11">
        <f>F480/H480-1</f>
        <v>0.051821446895844</v>
      </c>
      <c r="K480" s="13" t="n">
        <v>1743639</v>
      </c>
      <c r="L480" s="13" t="n">
        <v>2306650</v>
      </c>
      <c r="M480" s="43">
        <f>K480/L480</f>
        <v>0.755918323109271</v>
      </c>
    </row>
    <row r="481">
      <c r="A481" s="41" t="inlineStr">
        <is>
          <t>WBD</t>
        </is>
      </c>
      <c r="B481" s="37" t="inlineStr">
        <is>
          <t>—</t>
        </is>
      </c>
      <c r="C481" s="37" t="inlineStr">
        <is>
          <t>—</t>
        </is>
      </c>
      <c r="D481" s="6" t="inlineStr">
        <is>
          <t>串流影音</t>
        </is>
      </c>
      <c r="E481" s="76" t="n">
        <v>89</v>
      </c>
      <c r="F481" s="42" t="n">
        <v>28.22</v>
      </c>
      <c r="G481" s="42" t="n">
        <v>28.07</v>
      </c>
      <c r="H481" s="42" t="n">
        <v>28.2</v>
      </c>
      <c r="I481" s="11">
        <f>F481/G481-1</f>
        <v>0.0053437833986462735</v>
      </c>
      <c r="J481" s="11">
        <f>F481/H481-1</f>
        <v>0.0007092198581559739</v>
      </c>
      <c r="K481" s="13" t="n">
        <v>17554111</v>
      </c>
      <c r="L481" s="13" t="n">
        <v>14921800</v>
      </c>
      <c r="M481" s="43">
        <f>K481/L481</f>
        <v>1.1764070688522832</v>
      </c>
    </row>
    <row r="482">
      <c r="A482" s="41" t="inlineStr">
        <is>
          <t>WCN</t>
        </is>
      </c>
      <c r="B482" s="37" t="inlineStr">
        <is>
          <t>—</t>
        </is>
      </c>
      <c r="C482" s="37" t="inlineStr">
        <is>
          <t>—</t>
        </is>
      </c>
      <c r="D482" s="6" t="inlineStr">
        <is>
          <t>廢物管理與環境服務</t>
        </is>
      </c>
      <c r="E482" s="76" t="n">
        <v>91</v>
      </c>
      <c r="F482" s="42" t="n">
        <v>155.17</v>
      </c>
      <c r="G482" s="42" t="n">
        <v>156.5</v>
      </c>
      <c r="H482" s="42" t="n">
        <v>159.44</v>
      </c>
      <c r="I482" s="11">
        <f>F482/G482-1</f>
        <v>-0.008498402555910611</v>
      </c>
      <c r="J482" s="11">
        <f>F482/H482-1</f>
        <v>-0.026781234320120473</v>
      </c>
      <c r="K482" s="13" t="n">
        <v>1006585</v>
      </c>
      <c r="L482" s="13" t="n">
        <v>879300</v>
      </c>
      <c r="M482" s="43">
        <f>K482/L482</f>
        <v>1.144757193221881</v>
      </c>
    </row>
    <row r="483">
      <c r="A483" s="41" t="inlineStr">
        <is>
          <t>WDAY</t>
        </is>
      </c>
      <c r="B483" s="37" t="inlineStr">
        <is>
          <t>—</t>
        </is>
      </c>
      <c r="C483" s="37" t="inlineStr">
        <is>
          <t>—</t>
        </is>
      </c>
      <c r="D483" s="6" t="inlineStr">
        <is>
          <t>企業軟體/SaaS</t>
        </is>
      </c>
      <c r="E483" s="76" t="n">
        <v>50</v>
      </c>
      <c r="F483" s="42" t="n">
        <v>199.205</v>
      </c>
      <c r="G483" s="42" t="n">
        <v>187.76</v>
      </c>
      <c r="H483" s="42" t="n">
        <v>185.09</v>
      </c>
      <c r="I483" s="11">
        <f>F483/G483-1</f>
        <v>0.06095547507456334</v>
      </c>
      <c r="J483" s="11">
        <f>F483/H483-1</f>
        <v>0.07626019774163928</v>
      </c>
      <c r="K483" s="13" t="n">
        <v>3392667</v>
      </c>
      <c r="L483" s="13" t="n">
        <v>3044650</v>
      </c>
      <c r="M483" s="43">
        <f>K483/L483</f>
        <v>1.1143044356494178</v>
      </c>
    </row>
    <row r="484">
      <c r="A484" s="41" t="inlineStr">
        <is>
          <t>WDC</t>
        </is>
      </c>
      <c r="B484" s="37" t="inlineStr">
        <is>
          <t>—</t>
        </is>
      </c>
      <c r="C484" s="37" t="inlineStr">
        <is>
          <t>—</t>
        </is>
      </c>
      <c r="D484" s="6" t="inlineStr">
        <is>
          <t>記憶體/HBM</t>
        </is>
      </c>
      <c r="E484" s="76" t="n">
        <v>42</v>
      </c>
      <c r="F484" s="42" t="n">
        <v>423.99</v>
      </c>
      <c r="G484" s="42" t="n">
        <v>416.97</v>
      </c>
      <c r="H484" s="42" t="n">
        <v>460.93</v>
      </c>
      <c r="I484" s="11">
        <f>F484/G484-1</f>
        <v>0.01683574357867479</v>
      </c>
      <c r="J484" s="11">
        <f>F484/H484-1</f>
        <v>-0.08014232095979867</v>
      </c>
      <c r="K484" s="13" t="n">
        <v>4142704</v>
      </c>
      <c r="L484" s="13" t="n">
        <v>5506100</v>
      </c>
      <c r="M484" s="43">
        <f>K484/L484</f>
        <v>0.7523844463413305</v>
      </c>
    </row>
    <row r="485">
      <c r="A485" s="41" t="inlineStr">
        <is>
          <t>WELL</t>
        </is>
      </c>
      <c r="B485" s="37" t="inlineStr">
        <is>
          <t>—</t>
        </is>
      </c>
      <c r="C485" s="37" t="inlineStr">
        <is>
          <t>—</t>
        </is>
      </c>
      <c r="D485" s="6" t="inlineStr">
        <is>
          <t>醫療與長者住宅REIT</t>
        </is>
      </c>
      <c r="E485" s="76" t="n">
        <v>81</v>
      </c>
      <c r="F485" s="42" t="n">
        <v>232.25</v>
      </c>
      <c r="G485" s="42" t="n">
        <v>234.5</v>
      </c>
      <c r="H485" s="42" t="n">
        <v>235.71</v>
      </c>
      <c r="I485" s="11">
        <f>F485/G485-1</f>
        <v>-0.009594882729211052</v>
      </c>
      <c r="J485" s="11">
        <f>F485/H485-1</f>
        <v>-0.014679054770692868</v>
      </c>
      <c r="K485" s="13" t="n">
        <v>1256592</v>
      </c>
      <c r="L485" s="13" t="n">
        <v>2281150</v>
      </c>
      <c r="M485" s="43">
        <f>K485/L485</f>
        <v>0.5508589965587533</v>
      </c>
    </row>
    <row r="486">
      <c r="A486" s="41" t="inlineStr">
        <is>
          <t>WFC</t>
        </is>
      </c>
      <c r="B486" s="37" t="inlineStr">
        <is>
          <t>—</t>
        </is>
      </c>
      <c r="C486" s="37" t="inlineStr">
        <is>
          <t>—</t>
        </is>
      </c>
      <c r="D486" s="6" t="inlineStr">
        <is>
          <t>大型全能銀行</t>
        </is>
      </c>
      <c r="E486" s="76" t="n">
        <v>82</v>
      </c>
      <c r="F486" s="42" t="n">
        <v>86.89</v>
      </c>
      <c r="G486" s="42" t="n">
        <v>87.05</v>
      </c>
      <c r="H486" s="42" t="n">
        <v>89.45</v>
      </c>
      <c r="I486" s="11">
        <f>F486/G486-1</f>
        <v>-0.0018380241240666395</v>
      </c>
      <c r="J486" s="11">
        <f>F486/H486-1</f>
        <v>-0.028619340413638894</v>
      </c>
      <c r="K486" s="13" t="n">
        <v>9143037</v>
      </c>
      <c r="L486" s="13" t="n">
        <v>13147550</v>
      </c>
      <c r="M486" s="43">
        <f>K486/L486</f>
        <v>0.6954175492772418</v>
      </c>
    </row>
    <row r="487">
      <c r="A487" s="41" t="inlineStr">
        <is>
          <t>WFRD</t>
        </is>
      </c>
      <c r="B487" s="37" t="inlineStr">
        <is>
          <t>—</t>
        </is>
      </c>
      <c r="C487" s="37" t="inlineStr">
        <is>
          <t>—</t>
        </is>
      </c>
      <c r="D487" s="6" t="inlineStr">
        <is>
          <t>油田服務</t>
        </is>
      </c>
      <c r="E487" s="76" t="n">
        <v>103</v>
      </c>
      <c r="F487" s="42" t="n">
        <v>82.03</v>
      </c>
      <c r="G487" s="42" t="n">
        <v>82.3</v>
      </c>
      <c r="H487" s="42" t="n">
        <v>89.92</v>
      </c>
      <c r="I487" s="11">
        <f>F487/G487-1</f>
        <v>-0.0032806804374240217</v>
      </c>
      <c r="J487" s="11">
        <f>F487/H487-1</f>
        <v>-0.08774466192170816</v>
      </c>
      <c r="K487" s="13" t="n">
        <v>477034</v>
      </c>
      <c r="L487" s="13" t="n">
        <v>836150</v>
      </c>
      <c r="M487" s="43">
        <f>K487/L487</f>
        <v>0.5705124678586379</v>
      </c>
    </row>
    <row r="488">
      <c r="A488" s="41" t="inlineStr">
        <is>
          <t>WHR</t>
        </is>
      </c>
      <c r="B488" s="37" t="inlineStr">
        <is>
          <t>—</t>
        </is>
      </c>
      <c r="C488" s="37" t="inlineStr">
        <is>
          <t>—</t>
        </is>
      </c>
      <c r="D488" s="6" t="inlineStr">
        <is>
          <t>家居耐用與休閒用品</t>
        </is>
      </c>
      <c r="E488" s="76" t="n">
        <v>102</v>
      </c>
      <c r="F488" s="42" t="n">
        <v>33.02</v>
      </c>
      <c r="G488" s="42" t="n">
        <v>32.42</v>
      </c>
      <c r="H488" s="42" t="n">
        <v>35.89</v>
      </c>
      <c r="I488" s="11">
        <f>F488/G488-1</f>
        <v>0.018507094386181366</v>
      </c>
      <c r="J488" s="11">
        <f>F488/H488-1</f>
        <v>-0.07996656450264694</v>
      </c>
      <c r="K488" s="13" t="n">
        <v>2884990</v>
      </c>
      <c r="L488" s="13" t="n">
        <v>2130350</v>
      </c>
      <c r="M488" s="43">
        <f>K488/L488</f>
        <v>1.3542328725326824</v>
      </c>
    </row>
    <row r="489">
      <c r="A489" s="41" t="inlineStr">
        <is>
          <t>WM</t>
        </is>
      </c>
      <c r="B489" s="37" t="inlineStr">
        <is>
          <t>—</t>
        </is>
      </c>
      <c r="C489" s="37" t="inlineStr">
        <is>
          <t>—</t>
        </is>
      </c>
      <c r="D489" s="6" t="inlineStr">
        <is>
          <t>廢物管理與環境服務</t>
        </is>
      </c>
      <c r="E489" s="76" t="n">
        <v>91</v>
      </c>
      <c r="F489" s="42" t="n">
        <v>213.33</v>
      </c>
      <c r="G489" s="42" t="n">
        <v>214</v>
      </c>
      <c r="H489" s="42" t="n">
        <v>214.77</v>
      </c>
      <c r="I489" s="11">
        <f>F489/G489-1</f>
        <v>-0.003130841121495309</v>
      </c>
      <c r="J489" s="11">
        <f>F489/H489-1</f>
        <v>-0.006704847045676754</v>
      </c>
      <c r="K489" s="13" t="n">
        <v>1829729</v>
      </c>
      <c r="L489" s="13" t="n">
        <v>2185100</v>
      </c>
      <c r="M489" s="43">
        <f>K489/L489</f>
        <v>0.8373662532607203</v>
      </c>
    </row>
    <row r="490">
      <c r="A490" s="41" t="inlineStr">
        <is>
          <t>WMB</t>
        </is>
      </c>
      <c r="B490" s="37" t="inlineStr">
        <is>
          <t>—</t>
        </is>
      </c>
      <c r="C490" s="37" t="inlineStr">
        <is>
          <t>—</t>
        </is>
      </c>
      <c r="D490" s="6" t="inlineStr">
        <is>
          <t>中游與管道</t>
        </is>
      </c>
      <c r="E490" s="76" t="n">
        <v>52</v>
      </c>
      <c r="F490" s="42" t="n">
        <v>71.815</v>
      </c>
      <c r="G490" s="42" t="n">
        <v>70.90000000000001</v>
      </c>
      <c r="H490" s="42" t="n">
        <v>72.81999999999999</v>
      </c>
      <c r="I490" s="11">
        <f>F490/G490-1</f>
        <v>0.012905500705218564</v>
      </c>
      <c r="J490" s="11">
        <f>F490/H490-1</f>
        <v>-0.013801153529250154</v>
      </c>
      <c r="K490" s="13" t="n">
        <v>3911883</v>
      </c>
      <c r="L490" s="13" t="n">
        <v>7415050</v>
      </c>
      <c r="M490" s="43">
        <f>K490/L490</f>
        <v>0.527559895078253</v>
      </c>
    </row>
    <row r="491">
      <c r="A491" s="41" t="inlineStr">
        <is>
          <t>WMT</t>
        </is>
      </c>
      <c r="B491" s="37" t="inlineStr">
        <is>
          <t>—</t>
        </is>
      </c>
      <c r="C491" s="37" t="inlineStr">
        <is>
          <t>—</t>
        </is>
      </c>
      <c r="D491" s="6" t="inlineStr">
        <is>
          <t>大賣場與超巿</t>
        </is>
      </c>
      <c r="E491" s="76" t="n">
        <v>48</v>
      </c>
      <c r="F491" s="42" t="n">
        <v>106.77</v>
      </c>
      <c r="G491" s="42" t="n">
        <v>107.5</v>
      </c>
      <c r="H491" s="42" t="n">
        <v>105.73</v>
      </c>
      <c r="I491" s="11">
        <f>F491/G491-1</f>
        <v>-0.006790697674418644</v>
      </c>
      <c r="J491" s="11">
        <f>F491/H491-1</f>
        <v>0.009836375673886177</v>
      </c>
      <c r="K491" s="13" t="n">
        <v>12801641</v>
      </c>
      <c r="L491" s="13" t="n">
        <v>24529600</v>
      </c>
      <c r="M491" s="43">
        <f>K491/L491</f>
        <v>0.521885436370752</v>
      </c>
    </row>
    <row r="492">
      <c r="A492" s="41" t="inlineStr">
        <is>
          <t>WTRG</t>
        </is>
      </c>
      <c r="B492" s="37" t="inlineStr">
        <is>
          <t>—</t>
        </is>
      </c>
      <c r="C492" s="37" t="inlineStr">
        <is>
          <t>—</t>
        </is>
      </c>
      <c r="D492" s="6" t="inlineStr">
        <is>
          <t>水務公用</t>
        </is>
      </c>
      <c r="E492" s="76" t="n">
        <v>39</v>
      </c>
      <c r="F492" s="42" t="n">
        <v>41.625</v>
      </c>
      <c r="G492" s="42" t="n">
        <v>41.37</v>
      </c>
      <c r="H492" s="42" t="n">
        <v>41.8</v>
      </c>
      <c r="I492" s="11">
        <f>F492/G492-1</f>
        <v>0.006163886874546831</v>
      </c>
      <c r="J492" s="11">
        <f>F492/H492-1</f>
        <v>-0.004186602870813294</v>
      </c>
      <c r="K492" s="13" t="n">
        <v>1759052</v>
      </c>
      <c r="L492" s="13" t="n">
        <v>2296500</v>
      </c>
      <c r="M492" s="43">
        <f>K492/L492</f>
        <v>0.765970825168735</v>
      </c>
    </row>
    <row r="493">
      <c r="A493" s="41" t="inlineStr">
        <is>
          <t>WTW</t>
        </is>
      </c>
      <c r="B493" s="37" t="inlineStr">
        <is>
          <t>—</t>
        </is>
      </c>
      <c r="C493" s="37" t="inlineStr">
        <is>
          <t>—</t>
        </is>
      </c>
      <c r="D493" s="6" t="inlineStr">
        <is>
          <t>保險經紀</t>
        </is>
      </c>
      <c r="E493" s="76" t="n">
        <v>110</v>
      </c>
      <c r="F493" s="42" t="n">
        <v>311.05</v>
      </c>
      <c r="G493" s="42" t="n">
        <v>312.91</v>
      </c>
      <c r="H493" s="42" t="n">
        <v>315.41</v>
      </c>
      <c r="I493" s="11">
        <f>F493/G493-1</f>
        <v>-0.0059442012080150874</v>
      </c>
      <c r="J493" s="11">
        <f>F493/H493-1</f>
        <v>-0.013823277638629117</v>
      </c>
      <c r="K493" s="13" t="n">
        <v>216089</v>
      </c>
      <c r="L493" s="13" t="n">
        <v>443850</v>
      </c>
      <c r="M493" s="43">
        <f>K493/L493</f>
        <v>0.4868514137659119</v>
      </c>
    </row>
    <row r="494">
      <c r="A494" s="41" t="inlineStr">
        <is>
          <t>XEL</t>
        </is>
      </c>
      <c r="B494" s="37" t="inlineStr">
        <is>
          <t>—</t>
        </is>
      </c>
      <c r="C494" s="37" t="inlineStr">
        <is>
          <t>—</t>
        </is>
      </c>
      <c r="D494" s="6" t="inlineStr">
        <is>
          <t>受監管電力公用</t>
        </is>
      </c>
      <c r="E494" s="76" t="n">
        <v>56</v>
      </c>
      <c r="F494" s="42" t="n">
        <v>73.62</v>
      </c>
      <c r="G494" s="42" t="n">
        <v>72.70999999999999</v>
      </c>
      <c r="H494" s="42" t="n">
        <v>75.41</v>
      </c>
      <c r="I494" s="11">
        <f>F494/G494-1</f>
        <v>0.012515472424700969</v>
      </c>
      <c r="J494" s="11">
        <f>F494/H494-1</f>
        <v>-0.023736904919771762</v>
      </c>
      <c r="K494" s="13" t="n">
        <v>3460480</v>
      </c>
      <c r="L494" s="13" t="n">
        <v>5439450</v>
      </c>
      <c r="M494" s="43">
        <f>K494/L494</f>
        <v>0.6361819669268033</v>
      </c>
    </row>
    <row r="495">
      <c r="A495" s="60" t="inlineStr">
        <is>
          <t>XOM</t>
        </is>
      </c>
      <c r="B495" s="103" t="inlineStr">
        <is>
          <t>—</t>
        </is>
      </c>
      <c r="C495" s="104" t="inlineStr">
        <is>
          <t>A 結構性迴避｜綜合油氣</t>
        </is>
      </c>
      <c r="D495" s="23" t="inlineStr">
        <is>
          <t>綜合油氣巨頭</t>
        </is>
      </c>
      <c r="E495" s="91" t="n">
        <v>45</v>
      </c>
      <c r="F495" s="61" t="n">
        <v>163.26</v>
      </c>
      <c r="G495" s="61" t="n">
        <v>163.32</v>
      </c>
      <c r="H495" s="61" t="n">
        <v>165.23</v>
      </c>
      <c r="I495" s="24">
        <f>F495/G495-1</f>
        <v>-0.00036737692872890193</v>
      </c>
      <c r="J495" s="24">
        <f>F495/H495-1</f>
        <v>-0.011922774314591766</v>
      </c>
      <c r="K495" s="62" t="n">
        <v>7719504</v>
      </c>
      <c r="L495" s="62" t="n">
        <v>13702000</v>
      </c>
      <c r="M495" s="63">
        <f>K495/L495</f>
        <v>0.5633851992409867</v>
      </c>
    </row>
    <row r="496">
      <c r="A496" s="41" t="inlineStr">
        <is>
          <t>XPO</t>
        </is>
      </c>
      <c r="B496" s="37" t="inlineStr">
        <is>
          <t>—</t>
        </is>
      </c>
      <c r="C496" s="37" t="inlineStr">
        <is>
          <t>—</t>
        </is>
      </c>
      <c r="D496" s="6" t="inlineStr">
        <is>
          <t>貨運與物流</t>
        </is>
      </c>
      <c r="E496" s="76" t="n">
        <v>88</v>
      </c>
      <c r="F496" s="42" t="n">
        <v>175.34</v>
      </c>
      <c r="G496" s="42" t="n">
        <v>174.41</v>
      </c>
      <c r="H496" s="42" t="n">
        <v>182.34</v>
      </c>
      <c r="I496" s="11">
        <f>F496/G496-1</f>
        <v>0.005332263058311026</v>
      </c>
      <c r="J496" s="11">
        <f>F496/H496-1</f>
        <v>-0.0383898212131184</v>
      </c>
      <c r="K496" s="13" t="n">
        <v>1078756</v>
      </c>
      <c r="L496" s="13" t="n">
        <v>981450</v>
      </c>
      <c r="M496" s="43">
        <f>K496/L496</f>
        <v>1.0991451423913596</v>
      </c>
    </row>
    <row r="497">
      <c r="A497" s="41" t="inlineStr">
        <is>
          <t>YUM</t>
        </is>
      </c>
      <c r="B497" s="37" t="inlineStr">
        <is>
          <t>—</t>
        </is>
      </c>
      <c r="C497" s="37" t="inlineStr">
        <is>
          <t>—</t>
        </is>
      </c>
      <c r="D497" s="6" t="inlineStr">
        <is>
          <t>餐飲連鎖</t>
        </is>
      </c>
      <c r="E497" s="76" t="n">
        <v>106</v>
      </c>
      <c r="F497" s="42" t="n">
        <v>135.76</v>
      </c>
      <c r="G497" s="42" t="n">
        <v>137.96</v>
      </c>
      <c r="H497" s="42" t="n">
        <v>143.89</v>
      </c>
      <c r="I497" s="11">
        <f>F497/G497-1</f>
        <v>-0.015946651203247453</v>
      </c>
      <c r="J497" s="11">
        <f>F497/H497-1</f>
        <v>-0.05650149419695594</v>
      </c>
      <c r="K497" s="13" t="n">
        <v>1479795</v>
      </c>
      <c r="L497" s="13" t="n">
        <v>2107700</v>
      </c>
      <c r="M497" s="43">
        <f>K497/L497</f>
        <v>0.7020899558760735</v>
      </c>
    </row>
    <row r="498">
      <c r="A498" s="41" t="inlineStr">
        <is>
          <t>Z</t>
        </is>
      </c>
      <c r="B498" s="37" t="inlineStr">
        <is>
          <t>—</t>
        </is>
      </c>
      <c r="C498" s="37" t="inlineStr">
        <is>
          <t>—</t>
        </is>
      </c>
      <c r="D498" s="6" t="inlineStr">
        <is>
          <t>地產開發與服務</t>
        </is>
      </c>
      <c r="E498" s="76" t="n">
        <v>86</v>
      </c>
      <c r="F498" s="42" t="n">
        <v>30.11</v>
      </c>
      <c r="G498" s="42" t="n">
        <v>31.31</v>
      </c>
      <c r="H498" s="42" t="n">
        <v>31.25</v>
      </c>
      <c r="I498" s="11">
        <f>F498/G498-1</f>
        <v>-0.03832641328648989</v>
      </c>
      <c r="J498" s="11">
        <f>F498/H498-1</f>
        <v>-0.03648000000000007</v>
      </c>
      <c r="K498" s="13" t="n">
        <v>3745157</v>
      </c>
      <c r="L498" s="13" t="n">
        <v>2999000</v>
      </c>
      <c r="M498" s="43">
        <f>K498/L498</f>
        <v>1.2488019339779928</v>
      </c>
    </row>
    <row r="499">
      <c r="A499" s="60" t="inlineStr">
        <is>
          <t>ZION</t>
        </is>
      </c>
      <c r="B499" s="103" t="inlineStr">
        <is>
          <t>—</t>
        </is>
      </c>
      <c r="C499" s="104" t="inlineStr">
        <is>
          <t>A 結構性迴避｜區域銀行</t>
        </is>
      </c>
      <c r="D499" s="23" t="inlineStr">
        <is>
          <t>區域與社區銀行</t>
        </is>
      </c>
      <c r="E499" s="91" t="n">
        <v>104</v>
      </c>
      <c r="F499" s="61" t="n">
        <v>65.72</v>
      </c>
      <c r="G499" s="61" t="n">
        <v>65.47</v>
      </c>
      <c r="H499" s="61" t="n">
        <v>68.29000000000001</v>
      </c>
      <c r="I499" s="24">
        <f>F499/G499-1</f>
        <v>0.0038185428440506985</v>
      </c>
      <c r="J499" s="24">
        <f>F499/H499-1</f>
        <v>-0.037633621320837696</v>
      </c>
      <c r="K499" s="62" t="n">
        <v>1368599</v>
      </c>
      <c r="L499" s="62" t="n">
        <v>1385800</v>
      </c>
      <c r="M499" s="63">
        <f>K499/L499</f>
        <v>0.9875876749891759</v>
      </c>
    </row>
    <row r="500">
      <c r="A500" s="41" t="inlineStr">
        <is>
          <t>ZS</t>
        </is>
      </c>
      <c r="B500" s="37" t="inlineStr">
        <is>
          <t>—</t>
        </is>
      </c>
      <c r="C500" s="37" t="inlineStr">
        <is>
          <t>—</t>
        </is>
      </c>
      <c r="D500" s="6" t="inlineStr">
        <is>
          <t>網絡安全</t>
        </is>
      </c>
      <c r="E500" s="76" t="n">
        <v>5</v>
      </c>
      <c r="F500" s="42" t="n">
        <v>197.35</v>
      </c>
      <c r="G500" s="42" t="n">
        <v>191.58</v>
      </c>
      <c r="H500" s="42" t="n">
        <v>163.48</v>
      </c>
      <c r="I500" s="11">
        <f>F500/G500-1</f>
        <v>0.03011796638479991</v>
      </c>
      <c r="J500" s="11">
        <f>F500/H500-1</f>
        <v>0.20718130658184486</v>
      </c>
      <c r="K500" s="13" t="n">
        <v>2686024</v>
      </c>
      <c r="L500" s="13" t="n">
        <v>2580250</v>
      </c>
      <c r="M500" s="43">
        <f>K500/L500</f>
        <v>1.0409937021606432</v>
      </c>
    </row>
    <row r="502">
      <c r="A502" s="9" t="inlineStr">
        <is>
          <t>綠底＝在「3日受惠清單」內（20 檔）　紅底＝在「迴避清單」內（25 檔）　其餘為 111 個子板塊籃子的成分股。子板塊排名為該代號所屬板塊中 5 日綜合分最高者的名次（1 = 最強）。</t>
        </is>
      </c>
    </row>
  </sheetData>
  <autoFilter ref="A8:M500"/>
  <mergeCells count="3">
    <mergeCell ref="A502:M502"/>
    <mergeCell ref="A2:M2"/>
    <mergeCell ref="A1:M1"/>
  </mergeCells>
  <hyperlinks>
    <hyperlink ref="A9" r:id="rId1"/>
    <hyperlink ref="A10" r:id="rId2"/>
    <hyperlink ref="A11" r:id="rId3"/>
    <hyperlink ref="A12" r:id="rId4"/>
    <hyperlink ref="A13" r:id="rId5"/>
    <hyperlink ref="A14" r:id="rId6"/>
    <hyperlink ref="A15" r:id="rId7"/>
    <hyperlink ref="A16" r:id="rId8"/>
    <hyperlink ref="A17" r:id="rId9"/>
    <hyperlink ref="A18" r:id="rId10"/>
    <hyperlink ref="A19" r:id="rId11"/>
    <hyperlink ref="A20" r:id="rId12"/>
    <hyperlink ref="A21" r:id="rId13"/>
    <hyperlink ref="A22" r:id="rId14"/>
    <hyperlink ref="A23" r:id="rId15"/>
    <hyperlink ref="A24" r:id="rId16"/>
    <hyperlink ref="A25" r:id="rId17"/>
    <hyperlink ref="A26" r:id="rId18"/>
    <hyperlink ref="A27" r:id="rId19"/>
    <hyperlink ref="A28" r:id="rId20"/>
    <hyperlink ref="A29" r:id="rId21"/>
    <hyperlink ref="A30" r:id="rId22"/>
    <hyperlink ref="A31" r:id="rId23"/>
    <hyperlink ref="A32" r:id="rId24"/>
    <hyperlink ref="A33" r:id="rId25"/>
    <hyperlink ref="A34" r:id="rId26"/>
    <hyperlink ref="A35" r:id="rId27"/>
    <hyperlink ref="A36" r:id="rId28"/>
    <hyperlink ref="A37" r:id="rId29"/>
    <hyperlink ref="A38" r:id="rId30"/>
    <hyperlink ref="A39" r:id="rId31"/>
    <hyperlink ref="A40" r:id="rId32"/>
    <hyperlink ref="A41" r:id="rId33"/>
    <hyperlink ref="A42" r:id="rId34"/>
    <hyperlink ref="A43" r:id="rId35"/>
    <hyperlink ref="A44" r:id="rId36"/>
    <hyperlink ref="A45" r:id="rId37"/>
    <hyperlink ref="A46" r:id="rId38"/>
    <hyperlink ref="A47" r:id="rId39"/>
    <hyperlink ref="A48" r:id="rId40"/>
    <hyperlink ref="A49" r:id="rId41"/>
    <hyperlink ref="A50" r:id="rId42"/>
    <hyperlink ref="A51" r:id="rId43"/>
    <hyperlink ref="A52" r:id="rId44"/>
    <hyperlink ref="A53" r:id="rId45"/>
    <hyperlink ref="A54" r:id="rId46"/>
    <hyperlink ref="A55" r:id="rId47"/>
    <hyperlink ref="A56" r:id="rId48"/>
    <hyperlink ref="A57" r:id="rId49"/>
    <hyperlink ref="A58" r:id="rId50"/>
    <hyperlink ref="A59" r:id="rId51"/>
    <hyperlink ref="A60" r:id="rId52"/>
    <hyperlink ref="A61" r:id="rId53"/>
    <hyperlink ref="A62" r:id="rId54"/>
    <hyperlink ref="A63" r:id="rId55"/>
    <hyperlink ref="A64" r:id="rId56"/>
    <hyperlink ref="A65" r:id="rId57"/>
    <hyperlink ref="A66" r:id="rId58"/>
    <hyperlink ref="A67" r:id="rId59"/>
    <hyperlink ref="A68" r:id="rId60"/>
    <hyperlink ref="A69" r:id="rId61"/>
    <hyperlink ref="A70" r:id="rId62"/>
    <hyperlink ref="A71" r:id="rId63"/>
    <hyperlink ref="A72" r:id="rId64"/>
    <hyperlink ref="A73" r:id="rId65"/>
    <hyperlink ref="A74" r:id="rId66"/>
    <hyperlink ref="A75" r:id="rId67"/>
    <hyperlink ref="A76" r:id="rId68"/>
    <hyperlink ref="A77" r:id="rId69"/>
    <hyperlink ref="A78" r:id="rId70"/>
    <hyperlink ref="A79" r:id="rId71"/>
    <hyperlink ref="A80" r:id="rId72"/>
    <hyperlink ref="A81" r:id="rId73"/>
    <hyperlink ref="A82" r:id="rId74"/>
    <hyperlink ref="A83" r:id="rId75"/>
    <hyperlink ref="A84" r:id="rId76"/>
    <hyperlink ref="A85" r:id="rId77"/>
    <hyperlink ref="A86" r:id="rId78"/>
    <hyperlink ref="A87" r:id="rId79"/>
    <hyperlink ref="A88" r:id="rId80"/>
    <hyperlink ref="A89" r:id="rId81"/>
    <hyperlink ref="A90" r:id="rId82"/>
    <hyperlink ref="A91" r:id="rId83"/>
    <hyperlink ref="A92" r:id="rId84"/>
    <hyperlink ref="A93" r:id="rId85"/>
    <hyperlink ref="A94" r:id="rId86"/>
    <hyperlink ref="A95" r:id="rId87"/>
    <hyperlink ref="A96" r:id="rId88"/>
    <hyperlink ref="A97" r:id="rId89"/>
    <hyperlink ref="A98" r:id="rId90"/>
    <hyperlink ref="A99" r:id="rId91"/>
    <hyperlink ref="A100" r:id="rId92"/>
    <hyperlink ref="A101" r:id="rId93"/>
    <hyperlink ref="A102" r:id="rId94"/>
    <hyperlink ref="A103" r:id="rId95"/>
    <hyperlink ref="A104" r:id="rId96"/>
    <hyperlink ref="A105" r:id="rId97"/>
    <hyperlink ref="A106" r:id="rId98"/>
    <hyperlink ref="A107" r:id="rId99"/>
    <hyperlink ref="A108" r:id="rId100"/>
    <hyperlink ref="A109" r:id="rId101"/>
    <hyperlink ref="A110" r:id="rId102"/>
    <hyperlink ref="A111" r:id="rId103"/>
    <hyperlink ref="A112" r:id="rId104"/>
    <hyperlink ref="A113" r:id="rId105"/>
    <hyperlink ref="A114" r:id="rId106"/>
    <hyperlink ref="A115" r:id="rId107"/>
    <hyperlink ref="A116" r:id="rId108"/>
    <hyperlink ref="A117" r:id="rId109"/>
    <hyperlink ref="A118" r:id="rId110"/>
    <hyperlink ref="A119" r:id="rId111"/>
    <hyperlink ref="A120" r:id="rId112"/>
    <hyperlink ref="A121" r:id="rId113"/>
    <hyperlink ref="A122" r:id="rId114"/>
    <hyperlink ref="A123" r:id="rId115"/>
    <hyperlink ref="A124" r:id="rId116"/>
    <hyperlink ref="A125" r:id="rId117"/>
    <hyperlink ref="A126" r:id="rId118"/>
    <hyperlink ref="A127" r:id="rId119"/>
    <hyperlink ref="A128" r:id="rId120"/>
    <hyperlink ref="A129" r:id="rId121"/>
    <hyperlink ref="A130" r:id="rId122"/>
    <hyperlink ref="A131" r:id="rId123"/>
    <hyperlink ref="A132" r:id="rId124"/>
    <hyperlink ref="A133" r:id="rId125"/>
    <hyperlink ref="A134" r:id="rId126"/>
    <hyperlink ref="A135" r:id="rId127"/>
    <hyperlink ref="A136" r:id="rId128"/>
    <hyperlink ref="A137" r:id="rId129"/>
    <hyperlink ref="A138" r:id="rId130"/>
    <hyperlink ref="A139" r:id="rId131"/>
    <hyperlink ref="A140" r:id="rId132"/>
    <hyperlink ref="A141" r:id="rId133"/>
    <hyperlink ref="A142" r:id="rId134"/>
    <hyperlink ref="A143" r:id="rId135"/>
    <hyperlink ref="A144" r:id="rId136"/>
    <hyperlink ref="A145" r:id="rId137"/>
    <hyperlink ref="A146" r:id="rId138"/>
    <hyperlink ref="A147" r:id="rId139"/>
    <hyperlink ref="A148" r:id="rId140"/>
    <hyperlink ref="A149" r:id="rId141"/>
    <hyperlink ref="A150" r:id="rId142"/>
    <hyperlink ref="A151" r:id="rId143"/>
    <hyperlink ref="A152" r:id="rId144"/>
    <hyperlink ref="A153" r:id="rId145"/>
    <hyperlink ref="A154" r:id="rId146"/>
    <hyperlink ref="A155" r:id="rId147"/>
    <hyperlink ref="A156" r:id="rId148"/>
    <hyperlink ref="A157" r:id="rId149"/>
    <hyperlink ref="A158" r:id="rId150"/>
    <hyperlink ref="A159" r:id="rId151"/>
    <hyperlink ref="A160" r:id="rId152"/>
    <hyperlink ref="A161" r:id="rId153"/>
    <hyperlink ref="A162" r:id="rId154"/>
    <hyperlink ref="A163" r:id="rId155"/>
    <hyperlink ref="A164" r:id="rId156"/>
    <hyperlink ref="A165" r:id="rId157"/>
    <hyperlink ref="A166" r:id="rId158"/>
    <hyperlink ref="A167" r:id="rId159"/>
    <hyperlink ref="A168" r:id="rId160"/>
    <hyperlink ref="A169" r:id="rId161"/>
    <hyperlink ref="A170" r:id="rId162"/>
    <hyperlink ref="A171" r:id="rId163"/>
    <hyperlink ref="A172" r:id="rId164"/>
    <hyperlink ref="A173" r:id="rId165"/>
    <hyperlink ref="A174" r:id="rId166"/>
    <hyperlink ref="A175" r:id="rId167"/>
    <hyperlink ref="A176" r:id="rId168"/>
    <hyperlink ref="A177" r:id="rId169"/>
    <hyperlink ref="A178" r:id="rId170"/>
    <hyperlink ref="A179" r:id="rId171"/>
    <hyperlink ref="A180" r:id="rId172"/>
    <hyperlink ref="A181" r:id="rId173"/>
    <hyperlink ref="A182" r:id="rId174"/>
    <hyperlink ref="A183" r:id="rId175"/>
    <hyperlink ref="A184" r:id="rId176"/>
    <hyperlink ref="A185" r:id="rId177"/>
    <hyperlink ref="A186" r:id="rId178"/>
    <hyperlink ref="A187" r:id="rId179"/>
    <hyperlink ref="A188" r:id="rId180"/>
    <hyperlink ref="A189" r:id="rId181"/>
    <hyperlink ref="A190" r:id="rId182"/>
    <hyperlink ref="A191" r:id="rId183"/>
    <hyperlink ref="A192" r:id="rId184"/>
    <hyperlink ref="A193" r:id="rId185"/>
    <hyperlink ref="A194" r:id="rId186"/>
    <hyperlink ref="A195" r:id="rId187"/>
    <hyperlink ref="A196" r:id="rId188"/>
    <hyperlink ref="A197" r:id="rId189"/>
    <hyperlink ref="A198" r:id="rId190"/>
    <hyperlink ref="A199" r:id="rId191"/>
    <hyperlink ref="A200" r:id="rId192"/>
    <hyperlink ref="A201" r:id="rId193"/>
    <hyperlink ref="A202" r:id="rId194"/>
    <hyperlink ref="A203" r:id="rId195"/>
    <hyperlink ref="A204" r:id="rId196"/>
    <hyperlink ref="A205" r:id="rId197"/>
    <hyperlink ref="A206" r:id="rId198"/>
    <hyperlink ref="A207" r:id="rId199"/>
    <hyperlink ref="A208" r:id="rId200"/>
    <hyperlink ref="A209" r:id="rId201"/>
    <hyperlink ref="A210" r:id="rId202"/>
    <hyperlink ref="A211" r:id="rId203"/>
    <hyperlink ref="A212" r:id="rId204"/>
    <hyperlink ref="A213" r:id="rId205"/>
    <hyperlink ref="A214" r:id="rId206"/>
    <hyperlink ref="A215" r:id="rId207"/>
    <hyperlink ref="A216" r:id="rId208"/>
    <hyperlink ref="A217" r:id="rId209"/>
    <hyperlink ref="A218" r:id="rId210"/>
    <hyperlink ref="A219" r:id="rId211"/>
    <hyperlink ref="A220" r:id="rId212"/>
    <hyperlink ref="A221" r:id="rId213"/>
    <hyperlink ref="A222" r:id="rId214"/>
    <hyperlink ref="A223" r:id="rId215"/>
    <hyperlink ref="A224" r:id="rId216"/>
    <hyperlink ref="A225" r:id="rId217"/>
    <hyperlink ref="A226" r:id="rId218"/>
    <hyperlink ref="A227" r:id="rId219"/>
    <hyperlink ref="A228" r:id="rId220"/>
    <hyperlink ref="A229" r:id="rId221"/>
    <hyperlink ref="A230" r:id="rId222"/>
    <hyperlink ref="A231" r:id="rId223"/>
    <hyperlink ref="A232" r:id="rId224"/>
    <hyperlink ref="A233" r:id="rId225"/>
    <hyperlink ref="A234" r:id="rId226"/>
    <hyperlink ref="A235" r:id="rId227"/>
    <hyperlink ref="A236" r:id="rId228"/>
    <hyperlink ref="A237" r:id="rId229"/>
    <hyperlink ref="A238" r:id="rId230"/>
    <hyperlink ref="A239" r:id="rId231"/>
    <hyperlink ref="A240" r:id="rId232"/>
    <hyperlink ref="A241" r:id="rId233"/>
    <hyperlink ref="A242" r:id="rId234"/>
    <hyperlink ref="A243" r:id="rId235"/>
    <hyperlink ref="A244" r:id="rId236"/>
    <hyperlink ref="A245" r:id="rId237"/>
    <hyperlink ref="A246" r:id="rId238"/>
    <hyperlink ref="A247" r:id="rId239"/>
    <hyperlink ref="A248" r:id="rId240"/>
    <hyperlink ref="A249" r:id="rId241"/>
    <hyperlink ref="A250" r:id="rId242"/>
    <hyperlink ref="A251" r:id="rId243"/>
    <hyperlink ref="A252" r:id="rId244"/>
    <hyperlink ref="A253" r:id="rId245"/>
    <hyperlink ref="A254" r:id="rId246"/>
    <hyperlink ref="A255" r:id="rId247"/>
    <hyperlink ref="A256" r:id="rId248"/>
    <hyperlink ref="A257" r:id="rId249"/>
    <hyperlink ref="A258" r:id="rId250"/>
    <hyperlink ref="A259" r:id="rId251"/>
    <hyperlink ref="A260" r:id="rId252"/>
    <hyperlink ref="A261" r:id="rId253"/>
    <hyperlink ref="A262" r:id="rId254"/>
    <hyperlink ref="A263" r:id="rId255"/>
    <hyperlink ref="A264" r:id="rId256"/>
    <hyperlink ref="A265" r:id="rId257"/>
    <hyperlink ref="A266" r:id="rId258"/>
    <hyperlink ref="A267" r:id="rId259"/>
    <hyperlink ref="A268" r:id="rId260"/>
    <hyperlink ref="A269" r:id="rId261"/>
    <hyperlink ref="A270" r:id="rId262"/>
    <hyperlink ref="A271" r:id="rId263"/>
    <hyperlink ref="A272" r:id="rId264"/>
    <hyperlink ref="A273" r:id="rId265"/>
    <hyperlink ref="A274" r:id="rId266"/>
    <hyperlink ref="A275" r:id="rId267"/>
    <hyperlink ref="A276" r:id="rId268"/>
    <hyperlink ref="A277" r:id="rId269"/>
    <hyperlink ref="A278" r:id="rId270"/>
    <hyperlink ref="A279" r:id="rId271"/>
    <hyperlink ref="A280" r:id="rId272"/>
    <hyperlink ref="A281" r:id="rId273"/>
    <hyperlink ref="A282" r:id="rId274"/>
    <hyperlink ref="A283" r:id="rId275"/>
    <hyperlink ref="A284" r:id="rId276"/>
    <hyperlink ref="A285" r:id="rId277"/>
    <hyperlink ref="A286" r:id="rId278"/>
    <hyperlink ref="A287" r:id="rId279"/>
    <hyperlink ref="A288" r:id="rId280"/>
    <hyperlink ref="A289" r:id="rId281"/>
    <hyperlink ref="A290" r:id="rId282"/>
    <hyperlink ref="A291" r:id="rId283"/>
    <hyperlink ref="A292" r:id="rId284"/>
    <hyperlink ref="A293" r:id="rId285"/>
    <hyperlink ref="A294" r:id="rId286"/>
    <hyperlink ref="A295" r:id="rId287"/>
    <hyperlink ref="A296" r:id="rId288"/>
    <hyperlink ref="A297" r:id="rId289"/>
    <hyperlink ref="A298" r:id="rId290"/>
    <hyperlink ref="A299" r:id="rId291"/>
    <hyperlink ref="A300" r:id="rId292"/>
    <hyperlink ref="A301" r:id="rId293"/>
    <hyperlink ref="A302" r:id="rId294"/>
    <hyperlink ref="A303" r:id="rId295"/>
    <hyperlink ref="A304" r:id="rId296"/>
    <hyperlink ref="A305" r:id="rId297"/>
    <hyperlink ref="A306" r:id="rId298"/>
    <hyperlink ref="A307" r:id="rId299"/>
    <hyperlink ref="A308" r:id="rId300"/>
    <hyperlink ref="A309" r:id="rId301"/>
    <hyperlink ref="A310" r:id="rId302"/>
    <hyperlink ref="A311" r:id="rId303"/>
    <hyperlink ref="A312" r:id="rId304"/>
    <hyperlink ref="A313" r:id="rId305"/>
    <hyperlink ref="A314" r:id="rId306"/>
    <hyperlink ref="A315" r:id="rId307"/>
    <hyperlink ref="A316" r:id="rId308"/>
    <hyperlink ref="A317" r:id="rId309"/>
    <hyperlink ref="A318" r:id="rId310"/>
    <hyperlink ref="A319" r:id="rId311"/>
    <hyperlink ref="A320" r:id="rId312"/>
    <hyperlink ref="A321" r:id="rId313"/>
    <hyperlink ref="A322" r:id="rId314"/>
    <hyperlink ref="A323" r:id="rId315"/>
    <hyperlink ref="A324" r:id="rId316"/>
    <hyperlink ref="A325" r:id="rId317"/>
    <hyperlink ref="A326" r:id="rId318"/>
    <hyperlink ref="A327" r:id="rId319"/>
    <hyperlink ref="A328" r:id="rId320"/>
    <hyperlink ref="A329" r:id="rId321"/>
    <hyperlink ref="A330" r:id="rId322"/>
    <hyperlink ref="A331" r:id="rId323"/>
    <hyperlink ref="A332" r:id="rId324"/>
    <hyperlink ref="A333" r:id="rId325"/>
    <hyperlink ref="A334" r:id="rId326"/>
    <hyperlink ref="A335" r:id="rId327"/>
    <hyperlink ref="A336" r:id="rId328"/>
    <hyperlink ref="A337" r:id="rId329"/>
    <hyperlink ref="A338" r:id="rId330"/>
    <hyperlink ref="A339" r:id="rId331"/>
    <hyperlink ref="A340" r:id="rId332"/>
    <hyperlink ref="A341" r:id="rId333"/>
    <hyperlink ref="A342" r:id="rId334"/>
    <hyperlink ref="A343" r:id="rId335"/>
    <hyperlink ref="A344" r:id="rId336"/>
    <hyperlink ref="A345" r:id="rId337"/>
    <hyperlink ref="A346" r:id="rId338"/>
    <hyperlink ref="A347" r:id="rId339"/>
    <hyperlink ref="A348" r:id="rId340"/>
    <hyperlink ref="A349" r:id="rId341"/>
    <hyperlink ref="A350" r:id="rId342"/>
    <hyperlink ref="A351" r:id="rId343"/>
    <hyperlink ref="A352" r:id="rId344"/>
    <hyperlink ref="A353" r:id="rId345"/>
    <hyperlink ref="A354" r:id="rId346"/>
    <hyperlink ref="A355" r:id="rId347"/>
    <hyperlink ref="A356" r:id="rId348"/>
    <hyperlink ref="A357" r:id="rId349"/>
    <hyperlink ref="A358" r:id="rId350"/>
    <hyperlink ref="A359" r:id="rId351"/>
    <hyperlink ref="A360" r:id="rId352"/>
    <hyperlink ref="A361" r:id="rId353"/>
    <hyperlink ref="A362" r:id="rId354"/>
    <hyperlink ref="A363" r:id="rId355"/>
    <hyperlink ref="A364" r:id="rId356"/>
    <hyperlink ref="A365" r:id="rId357"/>
    <hyperlink ref="A366" r:id="rId358"/>
    <hyperlink ref="A367" r:id="rId359"/>
    <hyperlink ref="A368" r:id="rId360"/>
    <hyperlink ref="A369" r:id="rId361"/>
    <hyperlink ref="A370" r:id="rId362"/>
    <hyperlink ref="A371" r:id="rId363"/>
    <hyperlink ref="A372" r:id="rId364"/>
    <hyperlink ref="A373" r:id="rId365"/>
    <hyperlink ref="A374" r:id="rId366"/>
    <hyperlink ref="A375" r:id="rId367"/>
    <hyperlink ref="A376" r:id="rId368"/>
    <hyperlink ref="A377" r:id="rId369"/>
    <hyperlink ref="A378" r:id="rId370"/>
    <hyperlink ref="A379" r:id="rId371"/>
    <hyperlink ref="A380" r:id="rId372"/>
    <hyperlink ref="A381" r:id="rId373"/>
    <hyperlink ref="A382" r:id="rId374"/>
    <hyperlink ref="A383" r:id="rId375"/>
    <hyperlink ref="A384" r:id="rId376"/>
    <hyperlink ref="A385" r:id="rId377"/>
    <hyperlink ref="A386" r:id="rId378"/>
    <hyperlink ref="A387" r:id="rId379"/>
    <hyperlink ref="A388" r:id="rId380"/>
    <hyperlink ref="A389" r:id="rId381"/>
    <hyperlink ref="A390" r:id="rId382"/>
    <hyperlink ref="A391" r:id="rId383"/>
    <hyperlink ref="A392" r:id="rId384"/>
    <hyperlink ref="A393" r:id="rId385"/>
    <hyperlink ref="A394" r:id="rId386"/>
    <hyperlink ref="A395" r:id="rId387"/>
    <hyperlink ref="A396" r:id="rId388"/>
    <hyperlink ref="A397" r:id="rId389"/>
    <hyperlink ref="A398" r:id="rId390"/>
    <hyperlink ref="A399" r:id="rId391"/>
    <hyperlink ref="A400" r:id="rId392"/>
    <hyperlink ref="A401" r:id="rId393"/>
    <hyperlink ref="A402" r:id="rId394"/>
    <hyperlink ref="A403" r:id="rId395"/>
    <hyperlink ref="A404" r:id="rId396"/>
    <hyperlink ref="A405" r:id="rId397"/>
    <hyperlink ref="A406" r:id="rId398"/>
    <hyperlink ref="A407" r:id="rId399"/>
    <hyperlink ref="A408" r:id="rId400"/>
    <hyperlink ref="A409" r:id="rId401"/>
    <hyperlink ref="A410" r:id="rId402"/>
    <hyperlink ref="A411" r:id="rId403"/>
    <hyperlink ref="A412" r:id="rId404"/>
    <hyperlink ref="A413" r:id="rId405"/>
    <hyperlink ref="A414" r:id="rId406"/>
    <hyperlink ref="A415" r:id="rId407"/>
    <hyperlink ref="A416" r:id="rId408"/>
    <hyperlink ref="A417" r:id="rId409"/>
    <hyperlink ref="A418" r:id="rId410"/>
    <hyperlink ref="A419" r:id="rId411"/>
    <hyperlink ref="A420" r:id="rId412"/>
    <hyperlink ref="A421" r:id="rId413"/>
    <hyperlink ref="A422" r:id="rId414"/>
    <hyperlink ref="A423" r:id="rId415"/>
    <hyperlink ref="A424" r:id="rId416"/>
    <hyperlink ref="A425" r:id="rId417"/>
    <hyperlink ref="A426" r:id="rId418"/>
    <hyperlink ref="A427" r:id="rId419"/>
    <hyperlink ref="A428" r:id="rId420"/>
    <hyperlink ref="A429" r:id="rId421"/>
    <hyperlink ref="A430" r:id="rId422"/>
    <hyperlink ref="A431" r:id="rId423"/>
    <hyperlink ref="A432" r:id="rId424"/>
    <hyperlink ref="A433" r:id="rId425"/>
    <hyperlink ref="A434" r:id="rId426"/>
    <hyperlink ref="A435" r:id="rId427"/>
    <hyperlink ref="A436" r:id="rId428"/>
    <hyperlink ref="A437" r:id="rId429"/>
    <hyperlink ref="A438" r:id="rId430"/>
    <hyperlink ref="A439" r:id="rId431"/>
    <hyperlink ref="A440" r:id="rId432"/>
    <hyperlink ref="A441" r:id="rId433"/>
    <hyperlink ref="A442" r:id="rId434"/>
    <hyperlink ref="A443" r:id="rId435"/>
    <hyperlink ref="A444" r:id="rId436"/>
    <hyperlink ref="A445" r:id="rId437"/>
    <hyperlink ref="A446" r:id="rId438"/>
    <hyperlink ref="A447" r:id="rId439"/>
    <hyperlink ref="A448" r:id="rId440"/>
    <hyperlink ref="A449" r:id="rId441"/>
    <hyperlink ref="A450" r:id="rId442"/>
    <hyperlink ref="A451" r:id="rId443"/>
    <hyperlink ref="A452" r:id="rId444"/>
    <hyperlink ref="A453" r:id="rId445"/>
    <hyperlink ref="A454" r:id="rId446"/>
    <hyperlink ref="A455" r:id="rId447"/>
    <hyperlink ref="A456" r:id="rId448"/>
    <hyperlink ref="A457" r:id="rId449"/>
    <hyperlink ref="A458" r:id="rId450"/>
    <hyperlink ref="A459" r:id="rId451"/>
    <hyperlink ref="A460" r:id="rId452"/>
    <hyperlink ref="A461" r:id="rId453"/>
    <hyperlink ref="A462" r:id="rId454"/>
    <hyperlink ref="A463" r:id="rId455"/>
    <hyperlink ref="A464" r:id="rId456"/>
    <hyperlink ref="A465" r:id="rId457"/>
    <hyperlink ref="A466" r:id="rId458"/>
    <hyperlink ref="A467" r:id="rId459"/>
    <hyperlink ref="A468" r:id="rId460"/>
    <hyperlink ref="A469" r:id="rId461"/>
    <hyperlink ref="A470" r:id="rId462"/>
    <hyperlink ref="A471" r:id="rId463"/>
    <hyperlink ref="A472" r:id="rId464"/>
    <hyperlink ref="A473" r:id="rId465"/>
    <hyperlink ref="A474" r:id="rId466"/>
    <hyperlink ref="A475" r:id="rId467"/>
    <hyperlink ref="A476" r:id="rId468"/>
    <hyperlink ref="A477" r:id="rId469"/>
    <hyperlink ref="A478" r:id="rId470"/>
    <hyperlink ref="A479" r:id="rId471"/>
    <hyperlink ref="A480" r:id="rId472"/>
    <hyperlink ref="A481" r:id="rId473"/>
    <hyperlink ref="A482" r:id="rId474"/>
    <hyperlink ref="A483" r:id="rId475"/>
    <hyperlink ref="A484" r:id="rId476"/>
    <hyperlink ref="A485" r:id="rId477"/>
    <hyperlink ref="A486" r:id="rId478"/>
    <hyperlink ref="A487" r:id="rId479"/>
    <hyperlink ref="A488" r:id="rId480"/>
    <hyperlink ref="A489" r:id="rId481"/>
    <hyperlink ref="A490" r:id="rId482"/>
    <hyperlink ref="A491" r:id="rId483"/>
    <hyperlink ref="A492" r:id="rId484"/>
    <hyperlink ref="A493" r:id="rId485"/>
    <hyperlink ref="A494" r:id="rId486"/>
    <hyperlink ref="A495" r:id="rId487"/>
    <hyperlink ref="A496" r:id="rId488"/>
    <hyperlink ref="A497" r:id="rId489"/>
    <hyperlink ref="A498" r:id="rId490"/>
    <hyperlink ref="A499" r:id="rId491"/>
    <hyperlink ref="A500" r:id="rId49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4F9D"/>
    <outlinePr summaryBelow="1" summaryRight="1"/>
    <pageSetUpPr/>
  </sheetPr>
  <dimension ref="A1:N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13" customWidth="1" min="4" max="4"/>
    <col width="52" customWidth="1" min="5" max="5"/>
    <col width="34" customWidth="1" min="6" max="6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2" customHeight="1">
      <c r="A1" s="1" t="inlineStr">
        <is>
          <t>未來 3 個交易日催化劑日程</t>
        </is>
      </c>
    </row>
    <row r="2">
      <c r="A2" s="2" t="inlineStr">
        <is>
          <t>基準 2026-09-17 美東收市　·　時間為美東時間　·　「相關代號」欄的代號可點擊開 TradingView 圖表</t>
        </is>
      </c>
    </row>
    <row r="8" ht="30" customHeight="1">
      <c r="A8" s="14" t="inlineStr">
        <is>
          <t>日期</t>
        </is>
      </c>
      <c r="B8" s="14" t="inlineStr">
        <is>
          <t>星期</t>
        </is>
      </c>
      <c r="C8" s="14" t="inlineStr">
        <is>
          <t>事件</t>
        </is>
      </c>
      <c r="D8" s="14" t="inlineStr">
        <is>
          <t>時間 (ET)</t>
        </is>
      </c>
      <c r="E8" s="14" t="inlineStr">
        <is>
          <t>為何重要</t>
        </is>
      </c>
      <c r="F8" s="14" t="inlineStr">
        <is>
          <t>衝擊哪些清單項目</t>
        </is>
      </c>
      <c r="G8" s="14" t="inlineStr">
        <is>
          <t>方向偏好</t>
        </is>
      </c>
      <c r="H8" s="14" t="inlineStr">
        <is>
          <t>相關代號
1</t>
        </is>
      </c>
      <c r="I8" s="14" t="inlineStr">
        <is>
          <t>相關代號
2</t>
        </is>
      </c>
      <c r="J8" s="14" t="inlineStr">
        <is>
          <t>相關代號
3</t>
        </is>
      </c>
      <c r="K8" s="14" t="inlineStr">
        <is>
          <t>相關代號
4</t>
        </is>
      </c>
      <c r="L8" s="14" t="inlineStr">
        <is>
          <t>相關代號
5</t>
        </is>
      </c>
      <c r="M8" s="14" t="inlineStr">
        <is>
          <t>相關代號
6</t>
        </is>
      </c>
      <c r="N8" s="14" t="inlineStr">
        <is>
          <t>相關代號
7</t>
        </is>
      </c>
    </row>
    <row r="9" ht="44" customHeight="1">
      <c r="A9" s="105" t="inlineStr">
        <is>
          <t>2026-09-18</t>
        </is>
      </c>
      <c r="B9" s="106" t="inlineStr">
        <is>
          <t>五</t>
        </is>
      </c>
      <c r="C9" s="29" t="inlineStr">
        <is>
          <t>★ 日本央行議息 + 植田記者會</t>
        </is>
      </c>
      <c r="D9" s="106" t="inlineStr">
        <is>
          <t>日本時間中午／02:30 ET</t>
        </is>
      </c>
      <c r="E9" s="30" t="inlineStr">
        <is>
          <t>市場預期加息 25bp 至 1.25%，1993 年以來最高，2024 年結束超寬鬆以來第 6 次。美 10 年期在 5.01% 之際，若措辭偏鷹 → 日圓套息平倉 → 全球久期衝擊，直接打擊 9/17 剛反彈的長久期資產</t>
        </is>
      </c>
      <c r="F9" s="30" t="inlineStr">
        <is>
          <t>第③組 TSM／SNPS／CDNS、第④組 RKLB／ASTS 最敏感；B 類全部</t>
        </is>
      </c>
      <c r="G9" s="30" t="inlineStr">
        <is>
          <t>鷹派 → 狀態 B，本清單防守部位回升</t>
        </is>
      </c>
      <c r="H9" s="88" t="inlineStr">
        <is>
          <t>TSM</t>
        </is>
      </c>
      <c r="I9" s="88" t="inlineStr">
        <is>
          <t>SNPS</t>
        </is>
      </c>
      <c r="J9" s="88" t="inlineStr">
        <is>
          <t>CDNS</t>
        </is>
      </c>
      <c r="K9" s="88" t="inlineStr">
        <is>
          <t>RKLB</t>
        </is>
      </c>
      <c r="L9" s="88" t="inlineStr">
        <is>
          <t>ASTS</t>
        </is>
      </c>
      <c r="M9" s="89" t="n"/>
      <c r="N9" s="89" t="n"/>
    </row>
    <row r="10" ht="44" customHeight="1">
      <c r="A10" s="105" t="inlineStr">
        <is>
          <t>2026-09-18</t>
        </is>
      </c>
      <c r="B10" s="106" t="inlineStr">
        <is>
          <t>五</t>
        </is>
      </c>
      <c r="C10" s="29" t="inlineStr">
        <is>
          <t>★ 四巫日（季度期權期指同時到期）+ 標普季度再平衡</t>
        </is>
      </c>
      <c r="D10" s="106" t="inlineStr">
        <is>
          <t>收市</t>
        </is>
      </c>
      <c r="E10" s="30" t="inlineStr">
        <is>
          <t>9 月第三個週五。9/17 多個組別單日升 6–8%（量子 +7.99%、SMR +8.01%、晶圓代工 +6.43%），這類倉位驅動的急升最容易在到期日被打回</t>
        </is>
      </c>
      <c r="F10" s="30" t="inlineStr">
        <is>
          <t>第③④組與全部 B 類；第①⑤組（煉油、鋼鐵）相對安全</t>
        </is>
      </c>
      <c r="G10" s="30" t="inlineStr">
        <is>
          <t>波動放大；宜避免追高</t>
        </is>
      </c>
      <c r="H10" s="88" t="inlineStr">
        <is>
          <t>IONQ</t>
        </is>
      </c>
      <c r="I10" s="88" t="inlineStr">
        <is>
          <t>OKLO</t>
        </is>
      </c>
      <c r="J10" s="88" t="inlineStr">
        <is>
          <t>TSM</t>
        </is>
      </c>
      <c r="K10" s="88" t="inlineStr">
        <is>
          <t>RKLB</t>
        </is>
      </c>
      <c r="L10" s="89" t="n"/>
      <c r="M10" s="89" t="n"/>
      <c r="N10" s="89" t="n"/>
    </row>
    <row r="11" ht="44" customHeight="1">
      <c r="A11" s="7" t="inlineStr">
        <is>
          <t>2026-09-18</t>
        </is>
      </c>
      <c r="B11" s="107" t="inlineStr">
        <is>
          <t>五</t>
        </is>
      </c>
      <c r="C11" s="5" t="inlineStr">
        <is>
          <t>8 月經濟諮商局領先指標</t>
        </is>
      </c>
      <c r="D11" s="107" t="inlineStr">
        <is>
          <t>10:00</t>
        </is>
      </c>
      <c r="E11" s="6" t="inlineStr">
        <is>
          <t>若領先指標走弱而聯儲仍鷹 → 滯脹定價；本清單的防守部位（第⑦組）只在此情境下才有相對優勢</t>
        </is>
      </c>
      <c r="F11" s="6" t="inlineStr">
        <is>
          <t>第⑦組 HCA／TRV／RNR</t>
        </is>
      </c>
      <c r="G11" s="6" t="inlineStr">
        <is>
          <t>弱數據 → 第⑦組回升</t>
        </is>
      </c>
      <c r="H11" s="41" t="inlineStr">
        <is>
          <t>HCA</t>
        </is>
      </c>
      <c r="I11" s="41" t="inlineStr">
        <is>
          <t>TRV</t>
        </is>
      </c>
      <c r="J11" s="41" t="inlineStr">
        <is>
          <t>RNR</t>
        </is>
      </c>
    </row>
    <row r="12" ht="44" customHeight="1">
      <c r="A12" s="7" t="inlineStr">
        <is>
          <t>2026-09-21</t>
        </is>
      </c>
      <c r="B12" s="107" t="inlineStr">
        <is>
          <t>一</t>
        </is>
      </c>
      <c r="C12" s="5" t="inlineStr">
        <is>
          <t>到期後倉位重置</t>
        </is>
      </c>
      <c r="D12" s="107" t="inlineStr">
        <is>
          <t>開市</t>
        </is>
      </c>
      <c r="E12" s="6" t="inlineStr">
        <is>
          <t>四巫日後第一個交易日，被 gamma 壓抑的走勢通常於此釋放。9/17 的反彈究竟是趨勢反轉還是空頭回補，這一日最能分辨</t>
        </is>
      </c>
      <c r="F12" s="6" t="inlineStr">
        <is>
          <t>全表</t>
        </is>
      </c>
      <c r="G12" s="6" t="inlineStr">
        <is>
          <t>趨勢確認日</t>
        </is>
      </c>
    </row>
    <row r="13" ht="44" customHeight="1">
      <c r="A13" s="105" t="inlineStr">
        <is>
          <t>2026-09-21</t>
        </is>
      </c>
      <c r="B13" s="106" t="inlineStr">
        <is>
          <t>一</t>
        </is>
      </c>
      <c r="C13" s="29" t="inlineStr">
        <is>
          <t>沙特 East–West 輸油管：一半運能是否如期恢復</t>
        </is>
      </c>
      <c r="D13" s="106" t="inlineStr">
        <is>
          <t>不定</t>
        </is>
      </c>
      <c r="E13" s="30" t="inlineStr">
        <is>
          <t>Aramco 稱繞過受損段後可於數日內恢復約一半運能，全面復原約需六週。同時已改以 Hormuz 外 Sohar 附近的船對船轉運補充亞洲買家</t>
        </is>
      </c>
      <c r="F13" s="30" t="inlineStr">
        <is>
          <t>第①組全部：原油供應恢復而煉油產能未復，正是裂解價差擴張的條件</t>
        </is>
      </c>
      <c r="G13" s="30" t="inlineStr">
        <is>
          <t>供應恢復 → 對煉油有利</t>
        </is>
      </c>
      <c r="H13" s="88" t="inlineStr">
        <is>
          <t>VLO</t>
        </is>
      </c>
      <c r="I13" s="88" t="inlineStr">
        <is>
          <t>MPC</t>
        </is>
      </c>
      <c r="J13" s="88" t="inlineStr">
        <is>
          <t>DINO</t>
        </is>
      </c>
      <c r="K13" s="88" t="inlineStr">
        <is>
          <t>PSX</t>
        </is>
      </c>
      <c r="L13" s="89" t="n"/>
      <c r="M13" s="89" t="n"/>
      <c r="N13" s="89" t="n"/>
    </row>
    <row r="14" ht="44" customHeight="1">
      <c r="A14" s="7" t="inlineStr">
        <is>
          <t>2026-09-22</t>
        </is>
      </c>
      <c r="B14" s="107" t="inlineStr">
        <is>
          <t>二</t>
        </is>
      </c>
      <c r="C14" s="5" t="inlineStr">
        <is>
          <t>聯儲官員發言密集期</t>
        </is>
      </c>
      <c r="D14" s="107" t="inlineStr">
        <is>
          <t>全日</t>
        </is>
      </c>
      <c r="E14" s="6" t="inlineStr">
        <is>
          <t>9/16 點陣圖顯示 18 人中 16 人預期年內再加一次。9/17 的 8 連升中斷是否只是喘息，取決於官員如何描述「下一次」</t>
        </is>
      </c>
      <c r="F14" s="6" t="inlineStr">
        <is>
          <t>全表；第⑦組與 B 類方向完全相反</t>
        </is>
      </c>
      <c r="G14" s="6" t="inlineStr">
        <is>
          <t>偏鷹 → 第⑦組；偏鴿 → B 類</t>
        </is>
      </c>
      <c r="H14" s="41" t="inlineStr">
        <is>
          <t>HCA</t>
        </is>
      </c>
      <c r="I14" s="41" t="inlineStr">
        <is>
          <t>TRV</t>
        </is>
      </c>
      <c r="J14" s="41" t="inlineStr">
        <is>
          <t>OKLO</t>
        </is>
      </c>
      <c r="K14" s="41" t="inlineStr">
        <is>
          <t>COIN</t>
        </is>
      </c>
    </row>
    <row r="15" ht="44" customHeight="1">
      <c r="A15" s="7" t="inlineStr">
        <is>
          <t>2026-09-22</t>
        </is>
      </c>
      <c r="B15" s="107" t="inlineStr">
        <is>
          <t>二</t>
        </is>
      </c>
      <c r="C15" s="5" t="inlineStr">
        <is>
          <t>Hormuz 航運事件與戰爭險費率</t>
        </is>
      </c>
      <c r="D15" s="107" t="inlineStr">
        <is>
          <t>不定</t>
        </is>
      </c>
      <c r="E15" s="6" t="inlineStr">
        <is>
          <t>美伊已進入「油輪換油輪」互擊，停火談判多次破裂；胡塞武裝亦持續襲擊沙特設施。戰爭險保費已由船體價值 0.25% 升至 7.5–10%</t>
        </is>
      </c>
      <c r="F15" s="6" t="inlineStr">
        <is>
          <t>第⑦組 RNR（戰爭再保）／第①組煉油</t>
        </is>
      </c>
      <c r="G15" s="6" t="inlineStr">
        <is>
          <t>再有大規模襲擊 → 油價與裂解同升</t>
        </is>
      </c>
      <c r="H15" s="41" t="inlineStr">
        <is>
          <t>RNR</t>
        </is>
      </c>
      <c r="I15" s="41" t="inlineStr">
        <is>
          <t>VLO</t>
        </is>
      </c>
      <c r="J15" s="41" t="inlineStr">
        <is>
          <t>MPC</t>
        </is>
      </c>
    </row>
    <row r="16" ht="44" customHeight="1">
      <c r="A16" s="7" t="inlineStr">
        <is>
          <t>2026-09-30</t>
        </is>
      </c>
      <c r="B16" s="107" t="inlineStr">
        <is>
          <t>（參考）</t>
        </is>
      </c>
      <c r="C16" s="5" t="inlineStr">
        <is>
          <t>俄羅斯柴油出口禁令到期日</t>
        </is>
      </c>
      <c r="D16" s="107" t="inlineStr">
        <is>
          <t>—</t>
        </is>
      </c>
      <c r="E16" s="6" t="inlineStr">
        <is>
          <t>禁令已延長至 9/30。俄佔全球柴油約 10%，8 月煉油量 380 萬桶/日為二十年最低。烏克蘭無人機已打掉約 280 萬桶俄煉油產能</t>
        </is>
      </c>
      <c r="F16" s="6" t="inlineStr">
        <is>
          <t>第①組全部：若不續期，柴油裂解可能回落</t>
        </is>
      </c>
      <c r="G16" s="6" t="inlineStr">
        <is>
          <t>本清單 3 日窗口外，但屬第①組主要失效條件</t>
        </is>
      </c>
      <c r="H16" s="41" t="inlineStr">
        <is>
          <t>VLO</t>
        </is>
      </c>
      <c r="I16" s="41" t="inlineStr">
        <is>
          <t>MPC</t>
        </is>
      </c>
      <c r="J16" s="41" t="inlineStr">
        <is>
          <t>DINO</t>
        </is>
      </c>
      <c r="K16" s="41" t="inlineStr">
        <is>
          <t>PSX</t>
        </is>
      </c>
    </row>
  </sheetData>
  <mergeCells count="2">
    <mergeCell ref="A2:N2"/>
    <mergeCell ref="A1:N1"/>
  </mergeCells>
  <hyperlinks>
    <hyperlink xmlns:r="http://schemas.openxmlformats.org/officeDocument/2006/relationships" ref="H9" r:id="rId1"/>
    <hyperlink xmlns:r="http://schemas.openxmlformats.org/officeDocument/2006/relationships" ref="I9" r:id="rId2"/>
    <hyperlink xmlns:r="http://schemas.openxmlformats.org/officeDocument/2006/relationships" ref="J9" r:id="rId3"/>
    <hyperlink xmlns:r="http://schemas.openxmlformats.org/officeDocument/2006/relationships" ref="K9" r:id="rId4"/>
    <hyperlink xmlns:r="http://schemas.openxmlformats.org/officeDocument/2006/relationships" ref="L9" r:id="rId5"/>
    <hyperlink xmlns:r="http://schemas.openxmlformats.org/officeDocument/2006/relationships" ref="H10" r:id="rId6"/>
    <hyperlink xmlns:r="http://schemas.openxmlformats.org/officeDocument/2006/relationships" ref="I10" r:id="rId7"/>
    <hyperlink xmlns:r="http://schemas.openxmlformats.org/officeDocument/2006/relationships" ref="J10" r:id="rId8"/>
    <hyperlink xmlns:r="http://schemas.openxmlformats.org/officeDocument/2006/relationships" ref="K10" r:id="rId9"/>
    <hyperlink xmlns:r="http://schemas.openxmlformats.org/officeDocument/2006/relationships" ref="H11" r:id="rId10"/>
    <hyperlink xmlns:r="http://schemas.openxmlformats.org/officeDocument/2006/relationships" ref="I11" r:id="rId11"/>
    <hyperlink xmlns:r="http://schemas.openxmlformats.org/officeDocument/2006/relationships" ref="J11" r:id="rId12"/>
    <hyperlink xmlns:r="http://schemas.openxmlformats.org/officeDocument/2006/relationships" ref="H13" r:id="rId13"/>
    <hyperlink xmlns:r="http://schemas.openxmlformats.org/officeDocument/2006/relationships" ref="I13" r:id="rId14"/>
    <hyperlink xmlns:r="http://schemas.openxmlformats.org/officeDocument/2006/relationships" ref="J13" r:id="rId15"/>
    <hyperlink xmlns:r="http://schemas.openxmlformats.org/officeDocument/2006/relationships" ref="K13" r:id="rId16"/>
    <hyperlink xmlns:r="http://schemas.openxmlformats.org/officeDocument/2006/relationships" ref="H14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K14" r:id="rId20"/>
    <hyperlink xmlns:r="http://schemas.openxmlformats.org/officeDocument/2006/relationships" ref="H15" r:id="rId21"/>
    <hyperlink xmlns:r="http://schemas.openxmlformats.org/officeDocument/2006/relationships" ref="I15" r:id="rId22"/>
    <hyperlink xmlns:r="http://schemas.openxmlformats.org/officeDocument/2006/relationships" ref="J15" r:id="rId23"/>
    <hyperlink xmlns:r="http://schemas.openxmlformats.org/officeDocument/2006/relationships" ref="H16" r:id="rId24"/>
    <hyperlink xmlns:r="http://schemas.openxmlformats.org/officeDocument/2006/relationships" ref="I16" r:id="rId25"/>
    <hyperlink xmlns:r="http://schemas.openxmlformats.org/officeDocument/2006/relationships" ref="J16" r:id="rId26"/>
    <hyperlink xmlns:r="http://schemas.openxmlformats.org/officeDocument/2006/relationships" ref="K16" r:id="rId2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8860B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11" customWidth="1" min="4" max="4"/>
    <col width="11" customWidth="1" min="5" max="5"/>
    <col width="13" customWidth="1" min="6" max="6"/>
    <col width="46" customWidth="1" min="7" max="7"/>
  </cols>
  <sheetData>
    <row r="1" ht="22" customHeight="1">
      <c r="A1" s="1" t="inlineStr">
        <is>
          <t>兩態情境矩陣　Scenario Matrix</t>
        </is>
      </c>
    </row>
    <row r="2">
      <c r="A2" s="2" t="inlineStr">
        <is>
          <t>狀態機率為可調整輸入（黃底藍字）；期望值 ＝ P(A)×A 報酬 + P(B)×B 報酬，報酬分 −2 至 +2</t>
        </is>
      </c>
    </row>
    <row r="4" ht="32" customHeight="1">
      <c r="B4" s="3" t="inlineStr">
        <is>
          <t>狀態 A：息率見頂（9/17 的延續）</t>
        </is>
      </c>
      <c r="C4" s="6" t="inlineStr">
        <is>
          <t>10 年期由 5.04% 的 19 年高位回落至 5.01%，8 連升中斷；Brent 再跌 $1.01 至 $104.82、WTI 至 $101.91；Aramco 數日內恢復一半管線運能。實質利率見頂 → 被息率殺傷最重的長久期資產續彈</t>
        </is>
      </c>
      <c r="D4" s="37" t="inlineStr">
        <is>
          <t>P(A)</t>
        </is>
      </c>
      <c r="E4" s="38" t="n">
        <v>0.5</v>
      </c>
    </row>
    <row r="5" ht="32" customHeight="1">
      <c r="B5" s="3" t="inlineStr">
        <is>
          <t>狀態 B：息率再升（回到 9/16 的形態）</t>
        </is>
      </c>
      <c r="C5" s="6" t="inlineStr">
        <is>
          <t>日本央行鷹派加息（預期 +25bp 至 1.25%，1993 年來最高）觸發日圓套息平倉；或 Hormuz 再有大規模襲擊令油價重上；或聯儲官員確認年內再加一次。10 年期重上 5.1%</t>
        </is>
      </c>
      <c r="D5" s="37" t="inlineStr">
        <is>
          <t>P(B)</t>
        </is>
      </c>
      <c r="E5" s="39">
        <f>1-E4</f>
        <v>0.5</v>
      </c>
    </row>
    <row r="7">
      <c r="A7" s="9" t="inlineStr">
        <is>
          <t>機率設為 50/50：9/17 的息率回落只是一日，而 9/18 日本央行預期鷹派加息、聯儲點陣圖仍指向年內再加一次，兩股力量方向相反。上一版把 P(A) 設為 0.55 並押注息率續升的結構，day 1 即被推翻，故本版不再對方向下重注，改為只持有兩態皆贏的部位。改動 E4 即可重算下表。</t>
        </is>
      </c>
    </row>
    <row r="9" ht="30" customHeight="1">
      <c r="A9" s="14" t="inlineStr">
        <is>
          <t>組別</t>
        </is>
      </c>
      <c r="B9" s="14" t="inlineStr">
        <is>
          <t>主題</t>
        </is>
      </c>
      <c r="C9" s="14" t="inlineStr">
        <is>
          <t>在狀態 A 下的機制</t>
        </is>
      </c>
      <c r="D9" s="14" t="inlineStr">
        <is>
          <t>A 報酬
−2~+2</t>
        </is>
      </c>
      <c r="E9" s="14" t="inlineStr">
        <is>
          <t>B 報酬
−2~+2</t>
        </is>
      </c>
      <c r="F9" s="14" t="inlineStr">
        <is>
          <t>期望值</t>
        </is>
      </c>
      <c r="G9" s="14" t="inlineStr">
        <is>
          <t>在狀態 B 下的機制</t>
        </is>
      </c>
    </row>
    <row r="10" ht="46" customHeight="1">
      <c r="A10" s="21" t="inlineStr">
        <is>
          <t>①</t>
        </is>
      </c>
      <c r="B10" s="15" t="inlineStr">
        <is>
          <t>煉油與成品油</t>
        </is>
      </c>
      <c r="C10" s="16" t="inlineStr">
        <is>
          <t>原料成本回落而中東逾 20% 煉油產能未復 → 裂解價差維持 → 毛利擴張</t>
        </is>
      </c>
      <c r="D10" s="108" t="n">
        <v>2</v>
      </c>
      <c r="E10" s="108" t="n">
        <v>2</v>
      </c>
      <c r="F10" s="109">
        <f>$E$4*D10+(1-$E$4)*E10</f>
        <v>2.0</v>
      </c>
      <c r="G10" s="16" t="inlineStr">
        <is>
          <t>成品油價領先原油上漲，裂解再擴；俄羅斯柴油禁令疊加</t>
        </is>
      </c>
    </row>
    <row r="11" ht="46" customHeight="1">
      <c r="A11" s="21" t="inlineStr">
        <is>
          <t>②</t>
        </is>
      </c>
      <c r="B11" s="15" t="inlineStr">
        <is>
          <t>診斷與生命科學工具</t>
        </is>
      </c>
      <c r="C11" s="16" t="inlineStr">
        <is>
          <t>無油品投入、本土收入、近期盈利無久期；9/16 與 9/17 兩種息率日都上升</t>
        </is>
      </c>
      <c r="D11" s="108" t="n">
        <v>2</v>
      </c>
      <c r="E11" s="108" t="n">
        <v>2</v>
      </c>
      <c r="F11" s="109">
        <f>$E$4*D11+(1-$E$4)*E11</f>
        <v>2.0</v>
      </c>
      <c r="G11" s="16" t="inlineStr">
        <is>
          <t>同一理由反向成立：息率再升時它仍然不受油價與久期傳導</t>
        </is>
      </c>
    </row>
    <row r="12" ht="46" customHeight="1">
      <c r="A12" s="21" t="inlineStr">
        <is>
          <t>③</t>
        </is>
      </c>
      <c r="B12" s="15" t="inlineStr">
        <is>
          <t>晶圓代工與AI半導體</t>
        </is>
      </c>
      <c r="C12" s="16" t="inlineStr">
        <is>
          <t>AI 資本開支的利率免疫性被重新定價，9/17 單日 +6.43%</t>
        </is>
      </c>
      <c r="D12" s="108" t="n">
        <v>2</v>
      </c>
      <c r="E12" s="108" t="n">
        <v>-1</v>
      </c>
      <c r="F12" s="109">
        <f>$E$4*D12+(1-$E$4)*E12</f>
        <v>0.5</v>
      </c>
      <c r="G12" s="16" t="inlineStr">
        <is>
          <t>高 beta 長久期，日圓套息平倉或孳息重上時最先被拋</t>
        </is>
      </c>
    </row>
    <row r="13" ht="46" customHeight="1">
      <c r="A13" s="21" t="inlineStr">
        <is>
          <t>④</t>
        </is>
      </c>
      <c r="B13" s="15" t="inlineStr">
        <is>
          <t>太空與衛星</t>
        </is>
      </c>
      <c r="C13" s="16" t="inlineStr">
        <is>
          <t>地緣需求 + 息率回落對長久期成長股解壓，斜率全表第二高</t>
        </is>
      </c>
      <c r="D13" s="108" t="n">
        <v>2</v>
      </c>
      <c r="E13" s="108" t="n">
        <v>-1</v>
      </c>
      <c r="F13" s="109">
        <f>$E$4*D13+(1-$E$4)*E13</f>
        <v>0.5</v>
      </c>
      <c r="G13" s="16" t="inlineStr">
        <is>
          <t>小型高 beta；四巫日與久期衝擊下回吐最快</t>
        </is>
      </c>
    </row>
    <row r="14" ht="46" customHeight="1">
      <c r="A14" s="21" t="inlineStr">
        <is>
          <t>⑤</t>
        </is>
      </c>
      <c r="B14" s="15" t="inlineStr">
        <is>
          <t>鋼鐵</t>
        </is>
      </c>
      <c r="C14" s="16" t="inlineStr">
        <is>
          <t>本土、關稅保護，對利率不如建商敏感；升勢有廣度</t>
        </is>
      </c>
      <c r="D14" s="108" t="n">
        <v>1</v>
      </c>
      <c r="E14" s="108" t="n">
        <v>1</v>
      </c>
      <c r="F14" s="109">
        <f>$E$4*D14+(1-$E$4)*E14</f>
        <v>1.0</v>
      </c>
      <c r="G14" s="16" t="inlineStr">
        <is>
          <t>戰爭與基建需求支撐；能源成本上升則侵蝕電爐毛利</t>
        </is>
      </c>
    </row>
    <row r="15" ht="46" customHeight="1">
      <c r="A15" s="21" t="inlineStr">
        <is>
          <t>⑥</t>
        </is>
      </c>
      <c r="B15" s="15" t="inlineStr">
        <is>
          <t>電氣設備與電網</t>
        </is>
      </c>
      <c r="C15" s="16" t="inlineStr">
        <is>
          <t>AI 用電訂單不受息率左右，但 9/17 表現已落後</t>
        </is>
      </c>
      <c r="D15" s="108" t="n">
        <v>1</v>
      </c>
      <c r="E15" s="108" t="n">
        <v>0</v>
      </c>
      <c r="F15" s="109">
        <f>$E$4*D15+(1-$E$4)*E15</f>
        <v>0.5</v>
      </c>
      <c r="G15" s="16" t="inlineStr">
        <is>
          <t>高 beta 工業股，全面去風險時同跌</t>
        </is>
      </c>
    </row>
    <row r="16" ht="46" customHeight="1">
      <c r="A16" s="21" t="inlineStr">
        <is>
          <t>⑦</t>
        </is>
      </c>
      <c r="B16" s="15" t="inlineStr">
        <is>
          <t>防守：醫院與產險（已降級）</t>
        </is>
      </c>
      <c r="C16" s="16" t="inlineStr">
        <is>
          <t>息率回落時防守性失去溢價 —— 這正是 9/17 發生的事</t>
        </is>
      </c>
      <c r="D16" s="108" t="n">
        <v>-1</v>
      </c>
      <c r="E16" s="108" t="n">
        <v>2</v>
      </c>
      <c r="F16" s="109">
        <f>$E$4*D16+(1-$E$4)*E16</f>
        <v>0.5</v>
      </c>
      <c r="G16" s="16" t="inlineStr">
        <is>
          <t>息率再升時的避風港：浮存金以 5% 再投資、醫療需求剛性</t>
        </is>
      </c>
    </row>
    <row r="17" ht="46" customHeight="1">
      <c r="A17" s="104" t="inlineStr">
        <is>
          <t>✕</t>
        </is>
      </c>
      <c r="B17" s="22" t="inlineStr">
        <is>
          <t>A 類：油服／區域銀行／投行／貨運／電信</t>
        </is>
      </c>
      <c r="C17" s="23" t="inlineStr">
        <is>
          <t>9/17 全巿反彈日依然落後，機制不因息率方向改變</t>
        </is>
      </c>
      <c r="D17" s="110" t="n">
        <v>-1</v>
      </c>
      <c r="E17" s="110" t="n">
        <v>-1</v>
      </c>
      <c r="F17" s="111">
        <f>$E$4*D17+(1-$E$4)*E17</f>
        <v>-1.0</v>
      </c>
      <c r="G17" s="23" t="inlineStr">
        <is>
          <t>孳息再升則持債虧損與 deal flow 問題加深</t>
        </is>
      </c>
    </row>
    <row r="18" ht="46" customHeight="1">
      <c r="A18" s="21" t="inlineStr">
        <is>
          <t>△</t>
        </is>
      </c>
      <c r="B18" s="15" t="inlineStr">
        <is>
          <t>B 類：SMR／鈾／稀土／數位資產／建商／量子</t>
        </is>
      </c>
      <c r="C18" s="16" t="inlineStr">
        <is>
          <t>實質利率見頂 → 反彈續延（9/17 單日 +1.3% 至 +8.0%）</t>
        </is>
      </c>
      <c r="D18" s="108" t="n">
        <v>2</v>
      </c>
      <c r="E18" s="108" t="n">
        <v>-2</v>
      </c>
      <c r="F18" s="109">
        <f>$E$4*D18+(1-$E$4)*E18</f>
        <v>0.0</v>
      </c>
      <c r="G18" s="16" t="inlineStr">
        <is>
          <t>孳息重上 5.1% → 立即回到 9/16 的殺跌形態，這是本清單最大的單一反向風險</t>
        </is>
      </c>
    </row>
    <row r="19">
      <c r="B19" s="7" t="inlineStr">
        <is>
          <t>受惠組期望值平均</t>
        </is>
      </c>
      <c r="F19" s="112">
        <f>AVERAGE(F10:F15)</f>
        <v>1.0833333333333333</v>
      </c>
    </row>
    <row r="20">
      <c r="B20" s="7" t="inlineStr">
        <is>
          <t>迴避／中性組期望值平均</t>
        </is>
      </c>
      <c r="F20" s="112">
        <f>AVERAGE(F17:F18)</f>
        <v>-0.5</v>
      </c>
    </row>
    <row r="22" ht="42" customHeight="1">
      <c r="A22" s="9" t="inlineStr">
        <is>
          <t>讀法：只有第①組（煉油）與第②組（診斷工具）在兩態下都是 +2 —— 這是本清單唯一不需要猜息率方向的部分，也是 R1.01 唯一在 9/17 完全兌現的部分。第③④組在狀態 B 下轉負，第⑦組的 A/B 為 −1/+2，B 類的 A/B 為 +2/−2：後兩者是同一個賭注的兩面，方向相反，因此兩邊都只能小注。上一版的錯誤正是把第⑦組當成核心倉 —— 那其實是對息率方向下注，而不是對機制下注。</t>
        </is>
      </c>
    </row>
  </sheetData>
  <mergeCells count="4">
    <mergeCell ref="A2:G2"/>
    <mergeCell ref="A22:G22"/>
    <mergeCell ref="A1:G1"/>
    <mergeCell ref="A7:G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95959"/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66" customWidth="1" min="3" max="3"/>
    <col width="34" customWidth="1" min="4" max="4"/>
  </cols>
  <sheetData>
    <row r="1" ht="22" customHeight="1">
      <c r="A1" s="1" t="inlineStr">
        <is>
          <t>數據來源、方法與已知限制</t>
        </is>
      </c>
    </row>
    <row r="2">
      <c r="A2" s="2" t="inlineStr">
        <is>
          <t>R2.00　·　生成 2026-09-18 09:00 HKT　·　模型 claude-opus-5（high effort）</t>
        </is>
      </c>
    </row>
    <row r="4">
      <c r="A4" s="3" t="inlineStr">
        <is>
          <t>一、價格與成交量</t>
        </is>
      </c>
    </row>
    <row r="5" ht="30" customHeight="1">
      <c r="A5" s="4" t="inlineStr">
        <is>
          <t>項目</t>
        </is>
      </c>
      <c r="B5" s="4" t="inlineStr">
        <is>
          <t>內容</t>
        </is>
      </c>
      <c r="C5" s="4" t="inlineStr">
        <is>
          <t>說明</t>
        </is>
      </c>
      <c r="D5" s="4" t="inlineStr">
        <is>
          <t>欄位</t>
        </is>
      </c>
    </row>
    <row r="6" ht="44" customHeight="1">
      <c r="A6" s="5" t="inlineStr">
        <is>
          <t>來源</t>
        </is>
      </c>
      <c r="B6" s="6" t="inlineStr">
        <is>
          <t>Yahoo Finance 每日 OHLCV，經 GitHub Actions runner 以 yfinance 抓取後提交回倉庫</t>
        </is>
      </c>
      <c r="C6" s="6" t="inlineStr">
        <is>
          <t>本環境的出口代理封鎖所有財經網站，直接抓取不可行；故於 runner 上執行後將資料提交回 repo</t>
        </is>
      </c>
      <c r="D6" s="9" t="inlineStr">
        <is>
          <t>data/yahoo/broad_2026-09-19.csv.gz</t>
        </is>
      </c>
    </row>
    <row r="7" ht="44" customHeight="1">
      <c r="A7" s="5" t="inlineStr">
        <is>
          <t>基準日</t>
        </is>
      </c>
      <c r="B7" s="6" t="inlineStr">
        <is>
          <t>2026-09-17（美東週四）收市</t>
        </is>
      </c>
      <c r="C7" s="6" t="inlineStr">
        <is>
          <t>前收＝2026-09-16；5 日前收＝2026-09-10（5 個交易日）</t>
        </is>
      </c>
      <c r="D7" s="9" t="inlineStr">
        <is>
          <t>清單頁 E/F/G 欄</t>
        </is>
      </c>
    </row>
    <row r="8" ht="44" customHeight="1">
      <c r="A8" s="5" t="inlineStr">
        <is>
          <t>⚠ 9/17 的來源</t>
        </is>
      </c>
      <c r="B8" s="6" t="inlineStr">
        <is>
          <t>日線鏡像把 2026-09-17 發佈為「只有成交量、完全沒有價格」的列 —— 1,499 個檔案的 Open/High/Low/Close 全部為空</t>
        </is>
      </c>
      <c r="C8" s="6" t="inlineStr">
        <is>
          <t>週轉率檢查看不到這種故障：成交量是完整發佈的（鏡像週轉率 1.0585，一個正常交易日），缺的是價格。這與 09-14 至 09-16 的盤中快照是兩種不同的故障。因此 9/17 的價格全部來自 Yahoo tail 抓取（tail.csv.gz 546 隻 + tail_broad.csv.gz 1,692 隻）</t>
        </is>
      </c>
      <c r="D8" s="9" t="inlineStr">
        <is>
          <t>引擎 meta 的 mirror_priceless</t>
        </is>
      </c>
    </row>
    <row r="9" ht="44" customHeight="1">
      <c r="A9" s="5" t="inlineStr">
        <is>
          <t>9/17 價格的交叉驗證</t>
        </is>
      </c>
      <c r="B9" s="6" t="inlineStr">
        <is>
          <t>tail 用的是小時線折疊成日線的路徑。在 Yahoo 已結算日線同時覆蓋的名字上，折疊收盤價偏差 0.0000%（成交量亦然）；兩次相隔數分鐘的獨立抓取在 257 個共同代號上偏差 0.00000%</t>
        </is>
      </c>
      <c r="C9" s="6" t="inlineStr">
        <is>
          <t>樣本雖小（結算重疊只有 5 隻），但與過去三版「收盤價永遠準確、成交量不準」的結論一致</t>
        </is>
      </c>
      <c r="D9" s="9" t="inlineStr">
        <is>
          <t>—</t>
        </is>
      </c>
    </row>
    <row r="10" ht="44" customHeight="1">
      <c r="A10" s="5" t="inlineStr">
        <is>
          <t>⚠ 市場面板縮小</t>
        </is>
      </c>
      <c r="B10" s="6" t="inlineStr">
        <is>
          <t>平衡市場面板由上一版的 1,658 隻降至 1,109 隻。面板要求一隻股票在每個計分日都有報價，而 9/17 只有 Yahoo 小時線路徑覆蓋到的名字有價</t>
        </is>
      </c>
      <c r="C10" s="6" t="inlineStr">
        <is>
          <t>全巿中位回報因此建基於較小的樣本：9/11 +0.46%、9/14 −0.03%、9/15 −0.69%、9/16 −0.53%、9/17 +0.24%</t>
        </is>
      </c>
      <c r="D10" s="9" t="inlineStr">
        <is>
          <t>板塊資金流證據頁</t>
        </is>
      </c>
    </row>
    <row r="11" ht="44" customHeight="1">
      <c r="A11" s="5" t="inlineStr">
        <is>
          <t>⚠ 9/17 無成交量確認</t>
        </is>
      </c>
      <c r="B11" s="6" t="inlineStr">
        <is>
          <t>小時線路徑的成交量不是結算印記，引擎因此把該日所有名字的量能項 B 歸零</t>
        </is>
      </c>
      <c r="C11" s="6" t="inlineStr">
        <is>
          <t>即 9/17 的分數只由方向（A）與收市位置（C）構成，沒有成交量確認；淨額估算亦屬臨時值並以 ≈ 標記</t>
        </is>
      </c>
      <c r="D11" s="9" t="inlineStr">
        <is>
          <t>全部工作表</t>
        </is>
      </c>
    </row>
    <row r="12" ht="44" customHeight="1">
      <c r="A12" s="5" t="inlineStr">
        <is>
          <t>⚠ 個別缺漏</t>
        </is>
      </c>
      <c r="B12" s="6" t="inlineStr">
        <is>
          <t>PBF（PBF Energy）在兩次 tail 抓取中都沒有 9/17 的報價，已從工作簿剔除並記錄於 data/ratehike_geo_missing.json</t>
        </is>
      </c>
      <c r="C12" s="6" t="inlineStr">
        <is>
          <t>R1.01 曾把 PBF 列為第①組第 2 位。本版寧可剔除，也不用 9/16 的舊價充當 —— 否則百分比變動欄會讀成一個真實的走勢</t>
        </is>
      </c>
      <c r="D12" s="9" t="inlineStr">
        <is>
          <t>—</t>
        </is>
      </c>
    </row>
    <row r="13" ht="44" customHeight="1">
      <c r="A13" s="5" t="inlineStr">
        <is>
          <t>成交量基準</t>
        </is>
      </c>
      <c r="B13" s="6" t="inlineStr">
        <is>
          <t>該股自身前 20 個交易日的成交量中位數</t>
        </is>
      </c>
      <c r="C13" s="6" t="inlineStr">
        <is>
          <t>相對量 ＝ 9/17 成交量 ÷ 該中位數（9/17 因上述原因一律顯示 1.00）</t>
        </is>
      </c>
      <c r="D13" s="9" t="inlineStr">
        <is>
          <t>清單頁 K/L 欄</t>
        </is>
      </c>
    </row>
    <row r="14" ht="44" customHeight="1">
      <c r="A14" s="5" t="inlineStr">
        <is>
          <t>代號連結</t>
        </is>
      </c>
      <c r="B14" s="6" t="inlineStr">
        <is>
          <t>工作簿內每一個代號都連結到 TradingView 圖表版面 chart/Q1c5VWwD，與本項目的 HTML 報告同一個版面</t>
        </is>
      </c>
      <c r="C14" s="6" t="inlineStr">
        <is>
          <t>「催化劑日程」的敘述欄仍以文字提及代號（Excel 每格只容許一個連結），該行右側的「相關代號」欄提供可點擊版本</t>
        </is>
      </c>
      <c r="D14" s="9" t="inlineStr">
        <is>
          <t>全部工作表</t>
        </is>
      </c>
    </row>
    <row r="16">
      <c r="A16" s="3" t="inlineStr">
        <is>
          <t>二、資金流分數方法（「板塊資金流證據」頁）</t>
        </is>
      </c>
    </row>
    <row r="17" ht="26" customHeight="1">
      <c r="A17" s="6" t="inlineStr">
        <is>
          <t>• 方向 A ＝ tanh((個股回報 − 全市中位回報) / 0.02)；量能 B ＝ clip(log2(clip(成交量/20日中位量, 0.25, 4))/2, −1, 1)；收位 C ＝ ((收−低)−(高−收))/(高−低)</t>
        </is>
      </c>
    </row>
    <row r="18" ht="26" customHeight="1">
      <c r="A18" s="6" t="inlineStr">
        <is>
          <t>• 單股強度 f ＝ (0.70A + 0.30C) × (1 + 0.50B)；籃子以成交金額加權，並用逐次注水法將單一成分上限壓至 40%</t>
        </is>
      </c>
    </row>
    <row r="19" ht="26" customHeight="1">
      <c r="A19" s="6" t="inlineStr">
        <is>
          <t>• 每日作橫截面 z 分數後轉百分位（0–100）；5 日綜合採用權重 [1.0, 1.15, 1.35, 1.6, 1.9]（越近權重越高）</t>
        </is>
      </c>
    </row>
    <row r="20" ht="26" customHeight="1">
      <c r="A20" s="6" t="inlineStr">
        <is>
          <t>• 淨額估算（mfd）＝ Σ(收位 C × 成交金額)。★ 這是價量代理，不是真實資金流：13F 與 ETF 申贖資料在本環境不可達</t>
        </is>
      </c>
    </row>
    <row r="21" ht="26" customHeight="1">
      <c r="A21" s="6" t="inlineStr">
        <is>
          <t>• 全市中位採用「平衡面板」：僅計入每個計分日及其前一日均有報價的股票，2026-09-17 只有 1,109 檔（見上方限制）</t>
        </is>
      </c>
    </row>
    <row r="23">
      <c r="A23" s="3" t="inlineStr">
        <is>
          <t>三、已知限制與缺陷（必讀）</t>
        </is>
      </c>
    </row>
    <row r="24" ht="30" customHeight="1">
      <c r="A24" s="4" t="inlineStr">
        <is>
          <t>項目</t>
        </is>
      </c>
      <c r="B24" s="4" t="inlineStr">
        <is>
          <t>內容</t>
        </is>
      </c>
      <c r="C24" s="4" t="inlineStr">
        <is>
          <t>影響範圍</t>
        </is>
      </c>
      <c r="D24" s="4" t="inlineStr">
        <is>
          <t>狀態</t>
        </is>
      </c>
    </row>
    <row r="25" ht="76" customHeight="1">
      <c r="A25" s="90" t="inlineStr">
        <is>
          <t>⚠ LNG 組別數據缺陷</t>
        </is>
      </c>
      <c r="B25" s="30" t="inlineStr">
        <is>
          <t>「LNG液化天然氣」組的成分股 NFE（New Fortress Energy）做了反向拆股：收市價由 9/11 的 $0.33 跳至 9/15 的 $12.77。Yahoo 的 close 欄未還原拆股（adj_close 有），引擎使用 raw close，產生 +3771% 的單日回報</t>
        </is>
      </c>
      <c r="C25" s="30" t="inlineStr">
        <is>
          <t>該組 5 日回報顯示 +9111%（垃圾值），且 9/10 與 9/14 兩日分數因 tanh 飽和被高估為滿分上升日。111 組中僅此 1 組受影響（現排第 72 位），其餘 110 組不受影響。本清單所推薦與迴避的標的均不在該組</t>
        </is>
      </c>
      <c r="D25" s="30" t="inlineStr">
        <is>
          <t>已在「板塊資金流證據」頁標記為 n/a；修正版待用戶確認</t>
        </is>
      </c>
    </row>
    <row r="26" ht="76" customHeight="1">
      <c r="A26" s="5" t="inlineStr">
        <is>
          <t>※ 淨額估算為臨時值</t>
        </is>
      </c>
      <c r="B26" s="6" t="inlineStr">
        <is>
          <t>9/16 成交量尚未結算。實測未結算 vs 結算：分數 p95 差 1.82 分（滿分 100）、名次最多差 4；但淨額估算中位差 1.22%、p95 16.3%、最大 75.4%</t>
        </is>
      </c>
      <c r="C26" s="6" t="inlineStr">
        <is>
          <t>「板塊資金流證據」頁 M、N 欄的美元金額屬臨時值；分數與排名不受影響</t>
        </is>
      </c>
      <c r="D26" s="6" t="inlineStr">
        <is>
          <t>已於頁首與欄標題以「※」標註</t>
        </is>
      </c>
    </row>
    <row r="27" ht="76" customHeight="1">
      <c r="A27" s="5" t="inlineStr">
        <is>
          <t>資金流為價量代理</t>
        </is>
      </c>
      <c r="B27" s="6" t="inlineStr">
        <is>
          <t>無真實基金流向資料（13F、ETF 申贖在本環境不可達）</t>
        </is>
      </c>
      <c r="C27" s="6" t="inlineStr">
        <is>
          <t>所有「資金流入／流出」均為價格與成交量推算，非實際申贖</t>
        </is>
      </c>
      <c r="D27" s="6" t="inlineStr">
        <is>
          <t>設計限制，非缺陷</t>
        </is>
      </c>
    </row>
    <row r="28" ht="76" customHeight="1">
      <c r="A28" s="5" t="inlineStr">
        <is>
          <t>判斷分數為主觀</t>
        </is>
      </c>
      <c r="B28" s="6" t="inlineStr">
        <is>
          <t>清單頁 M–P 欄（機制／資金流／未伸展／廣度，各 0–5）為分析員主觀評分，非計算所得</t>
        </is>
      </c>
      <c r="C28" s="6" t="inlineStr">
        <is>
          <t>綜合分 Q 欄由這四項加權而成；權重列於該頁黃色格，可自行調整重算</t>
        </is>
      </c>
      <c r="D28" s="6" t="inlineStr">
        <is>
          <t>已以藍字標示為輸入值</t>
        </is>
      </c>
    </row>
    <row r="29" ht="76" customHeight="1">
      <c r="A29" s="5" t="inlineStr">
        <is>
          <t>油輪／航運未納入追蹤範圍</t>
        </is>
      </c>
      <c r="B29" s="6" t="inlineStr">
        <is>
          <t>Hormuz 最直接的受惠者為油輪（戰爭險費率由船體價值 0.25% 升至 7.5–10%，VLCC 日租金曾破 $100 萬），但 111 個子板塊中的「貨運與物流」僅涵蓋 UPS/FDX/ODFL 等包裹與陸運，不含油輪</t>
        </is>
      </c>
      <c r="C29" s="6" t="inlineStr">
        <is>
          <t>FRO、DHT、INSW、TNK、STNG 等油輪股不在本追蹤宇宙內，故未列入清單。另需注意：油輪相關 ETF 年內已漲逾 3,600%，屬極度伸展</t>
        </is>
      </c>
      <c r="D29" s="6" t="inlineStr">
        <is>
          <t>已知覆蓋缺口</t>
        </is>
      </c>
    </row>
    <row r="30" ht="76" customHeight="1">
      <c r="A30" s="5" t="inlineStr">
        <is>
          <t>本表性質</t>
        </is>
      </c>
      <c r="B30" s="6" t="inlineStr">
        <is>
          <t>研究紀錄，非投資建議。3 日為極短線窗口，個股結果由倉位與流動性主導的成分高於基本面</t>
        </is>
      </c>
      <c r="C30" s="6" t="inlineStr">
        <is>
          <t>全表</t>
        </is>
      </c>
      <c r="D30" s="6" t="inlineStr">
        <is>
          <t>—</t>
        </is>
      </c>
    </row>
    <row r="32">
      <c r="A32" s="3" t="inlineStr">
        <is>
          <t>四、新聞與宏觀資料來源</t>
        </is>
      </c>
    </row>
    <row r="33" ht="30" customHeight="1">
      <c r="A33" s="4" t="inlineStr">
        <is>
          <t>主題</t>
        </is>
      </c>
      <c r="B33" s="4" t="inlineStr">
        <is>
          <t>出處</t>
        </is>
      </c>
      <c r="C33" s="4" t="inlineStr">
        <is>
          <t>連結</t>
        </is>
      </c>
      <c r="D33" s="4" t="inlineStr">
        <is>
          <t>取用日期</t>
        </is>
      </c>
    </row>
    <row r="34">
      <c r="A34" s="6" t="inlineStr">
        <is>
          <t>9/17 收市：加息後納指回升、孳息 8 連升中斷</t>
        </is>
      </c>
      <c r="B34" s="113" t="inlineStr">
        <is>
          <t>TheStreet</t>
        </is>
      </c>
      <c r="C34" s="114" t="inlineStr">
        <is>
          <t>https://www.thestreet.com/stock-market-today/stock-market-today-dow-jones-sp-500-nasdaq-updates-sept-17-2026</t>
        </is>
      </c>
      <c r="D34" s="2" t="inlineStr">
        <is>
          <t>2026-09-18</t>
        </is>
      </c>
    </row>
    <row r="35">
      <c r="A35" s="6" t="inlineStr">
        <is>
          <t>油價下跌：沙特改經 Hormuz 出口以補管線關閉</t>
        </is>
      </c>
      <c r="B35" s="113" t="inlineStr">
        <is>
          <t>CNBC</t>
        </is>
      </c>
      <c r="C35" s="114" t="inlineStr">
        <is>
          <t>https://www.cnbc.com/2026/09/17/oil-prices-today-wti-brent-hormuz-iran-war.html</t>
        </is>
      </c>
      <c r="D35" s="2" t="inlineStr">
        <is>
          <t>2026-09-18</t>
        </is>
      </c>
    </row>
    <row r="36">
      <c r="A36" s="6" t="inlineStr">
        <is>
          <t>油價下挫：沙特着手修復關鍵管線</t>
        </is>
      </c>
      <c r="B36" s="113" t="inlineStr">
        <is>
          <t>gCaptain</t>
        </is>
      </c>
      <c r="C36" s="114" t="inlineStr">
        <is>
          <t>https://gcaptain.com/oil-extends-drop-as-saudi-arabia-moves-to-restore-vital-pipeline/</t>
        </is>
      </c>
      <c r="D36" s="2" t="inlineStr">
        <is>
          <t>2026-09-18</t>
        </is>
      </c>
    </row>
    <row r="37">
      <c r="A37" s="6" t="inlineStr">
        <is>
          <t>8 月新屋開工 −2.6%，單戶開工 +7.6%</t>
        </is>
      </c>
      <c r="B37" s="113" t="inlineStr">
        <is>
          <t>Reuters / Yahoo Finance</t>
        </is>
      </c>
      <c r="C37" s="114" t="inlineStr">
        <is>
          <t>https://finance.yahoo.com/real-estate/articles/us-single-family-housing-starts-131652276.html</t>
        </is>
      </c>
      <c r="D37" s="2" t="inlineStr">
        <is>
          <t>2026-09-18</t>
        </is>
      </c>
    </row>
    <row r="38">
      <c r="A38" s="6" t="inlineStr">
        <is>
          <t>按揭利率 9/17：30 年期 7.01%</t>
        </is>
      </c>
      <c r="B38" s="113" t="inlineStr">
        <is>
          <t>Mortgage Daily</t>
        </is>
      </c>
      <c r="C38" s="114" t="inlineStr">
        <is>
          <t>https://www.mortgagedaily.com/rates/mortgage-rates-today-2026-09-17/</t>
        </is>
      </c>
      <c r="D38" s="2" t="inlineStr">
        <is>
          <t>2026-09-18</t>
        </is>
      </c>
    </row>
    <row r="39">
      <c r="A39" s="6" t="inlineStr">
        <is>
          <t>日本央行 9/18 預期加息 25bp 至 1.25%，1993 年來最高</t>
        </is>
      </c>
      <c r="B39" s="113" t="inlineStr">
        <is>
          <t>Investing.com</t>
        </is>
      </c>
      <c r="C39" s="114" t="inlineStr">
        <is>
          <t>https://in.investing.com/news/economy-news/boj-preview-september-25-bps-hike-expected-with-hawkish-outlook-5596110</t>
        </is>
      </c>
      <c r="D39" s="2" t="inlineStr">
        <is>
          <t>2026-09-18</t>
        </is>
      </c>
    </row>
    <row r="40">
      <c r="A40" s="6" t="inlineStr">
        <is>
          <t>日本央行預期鷹派加息</t>
        </is>
      </c>
      <c r="B40" s="113" t="inlineStr">
        <is>
          <t>FXStreet</t>
        </is>
      </c>
      <c r="C40" s="114" t="inlineStr">
        <is>
          <t>https://www.fxstreet.com/news/bank-of-japan-is-expected-to-deliver-a-hawkish-hike-pressured-by-rising-inflation-202609172200</t>
        </is>
      </c>
      <c r="D40" s="2" t="inlineStr">
        <is>
          <t>2026-09-18</t>
        </is>
      </c>
    </row>
    <row r="41">
      <c r="A41" s="6" t="inlineStr">
        <is>
          <t>煉油股估值：MPC/VLO 已高於共識目標價，評級以 Hold 居多</t>
        </is>
      </c>
      <c r="B41" s="113" t="inlineStr">
        <is>
          <t>24/7 Wall St.</t>
        </is>
      </c>
      <c r="C41" s="114" t="inlineStr">
        <is>
          <t>https://247wallst.com/investing/2026/09/17/think-its-too-late-to-buy-marathon-and-valero-heres-why-analysts-say-wait-instead/</t>
        </is>
      </c>
      <c r="D41" s="2" t="inlineStr">
        <is>
          <t>2026-09-18</t>
        </is>
      </c>
    </row>
    <row r="42">
      <c r="A42" s="6" t="inlineStr">
        <is>
          <t>美伊「油輪換油輪」互擊，停火談判破裂</t>
        </is>
      </c>
      <c r="B42" s="113" t="inlineStr">
        <is>
          <t>Al Jazeera</t>
        </is>
      </c>
      <c r="C42" s="114" t="inlineStr">
        <is>
          <t>https://www.aljazeera.com/news/2026/9/6/us-iran-engaged-in-tanker-war-where-is-the-months-long-conflict-headed</t>
        </is>
      </c>
      <c r="D42" s="2" t="inlineStr">
        <is>
          <t>2026-09-18</t>
        </is>
      </c>
    </row>
    <row r="43">
      <c r="A43" s="6" t="inlineStr">
        <is>
          <t>FOMC 9/16 加息 25bp 至 3.75–4.00%</t>
        </is>
      </c>
      <c r="B43" s="113" t="inlineStr">
        <is>
          <t>CNBC</t>
        </is>
      </c>
      <c r="C43" s="114" t="inlineStr">
        <is>
          <t>https://www.cnbc.com/2026/09/16/fed-rate-decision-september-2026.html</t>
        </is>
      </c>
      <c r="D43" s="2" t="inlineStr">
        <is>
          <t>2026-09-18</t>
        </is>
      </c>
    </row>
    <row r="44">
      <c r="A44" s="6" t="inlineStr">
        <is>
          <t>Warsh：通脹仍然過高（會議實錄）</t>
        </is>
      </c>
      <c r="B44" s="113" t="inlineStr">
        <is>
          <t>CNBC</t>
        </is>
      </c>
      <c r="C44" s="114" t="inlineStr">
        <is>
          <t>https://www.cnbc.com/2026/09/16/fed-meeting-today-live-updates.html</t>
        </is>
      </c>
      <c r="D44" s="2" t="inlineStr">
        <is>
          <t>2026-09-18</t>
        </is>
      </c>
    </row>
    <row r="45">
      <c r="A45" s="6" t="inlineStr">
        <is>
          <t>2023 年以來首次加息</t>
        </is>
      </c>
      <c r="B45" s="113" t="inlineStr">
        <is>
          <t>Fox Business</t>
        </is>
      </c>
      <c r="C45" s="114" t="inlineStr">
        <is>
          <t>https://www.foxbusiness.com/economy/federal-reserve-interest-rate-decision-september-16-2026</t>
        </is>
      </c>
      <c r="D45" s="2" t="inlineStr">
        <is>
          <t>2026-09-18</t>
        </is>
      </c>
    </row>
    <row r="46">
      <c r="A46" s="6" t="inlineStr">
        <is>
          <t>9/16 收市：加息後道指標普急跌</t>
        </is>
      </c>
      <c r="B46" s="113" t="inlineStr">
        <is>
          <t>TheStreet</t>
        </is>
      </c>
      <c r="C46" s="114" t="inlineStr">
        <is>
          <t>https://www.thestreet.com/stock-market-today/stock-market-today-dow-jones-sp-500-nasdaq-updates-sept-16-2026</t>
        </is>
      </c>
      <c r="D46" s="2" t="inlineStr">
        <is>
          <t>2026-09-18</t>
        </is>
      </c>
    </row>
    <row r="47">
      <c r="A47" s="6" t="inlineStr">
        <is>
          <t>9/15：孳息創 19 年新高</t>
        </is>
      </c>
      <c r="B47" s="113" t="inlineStr">
        <is>
          <t>TheStreet</t>
        </is>
      </c>
      <c r="C47" s="114" t="inlineStr">
        <is>
          <t>https://www.thestreet.com/stock-market-today/stock-market-today-sept-15-2026-dow-futures-slide-as-oil-prices-surge-and-treasury-yields-hit-2007-highs</t>
        </is>
      </c>
      <c r="D47" s="2" t="inlineStr">
        <is>
          <t>2026-09-18</t>
        </is>
      </c>
    </row>
    <row r="48">
      <c r="A48" s="6" t="inlineStr">
        <is>
          <t>油價下跌：沙特輸油管將於數日內重啟</t>
        </is>
      </c>
      <c r="B48" s="113" t="inlineStr">
        <is>
          <t>CNBC</t>
        </is>
      </c>
      <c r="C48" s="114" t="inlineStr">
        <is>
          <t>https://www.cnbc.com/2026/09/16/oil-prices-today-brent-wti-hormuz-iran-war.html</t>
        </is>
      </c>
      <c r="D48" s="2" t="inlineStr">
        <is>
          <t>2026-09-18</t>
        </is>
      </c>
    </row>
    <row r="49">
      <c r="A49" s="6" t="inlineStr">
        <is>
          <t>沙特關閉繞道 Hormuz 的關鍵輸油管</t>
        </is>
      </c>
      <c r="B49" s="113" t="inlineStr">
        <is>
          <t>CNBC</t>
        </is>
      </c>
      <c r="C49" s="114" t="inlineStr">
        <is>
          <t>https://www.cnbc.com/2026/09/13/oil-price-iran-war-strait-hormuz-saudi-pipeline.html</t>
        </is>
      </c>
      <c r="D49" s="2" t="inlineStr">
        <is>
          <t>2026-09-18</t>
        </is>
      </c>
    </row>
    <row r="50">
      <c r="A50" s="6" t="inlineStr">
        <is>
          <t>East–West 輸油管為何攸關全球石油</t>
        </is>
      </c>
      <c r="B50" s="113" t="inlineStr">
        <is>
          <t>Al Jazeera</t>
        </is>
      </c>
      <c r="C50" s="114" t="inlineStr">
        <is>
          <t>https://www.aljazeera.com/news/2026/9/14/why-saudi-arabias-east-west-pipeline-matters-for-global-oil</t>
        </is>
      </c>
      <c r="D50" s="2" t="inlineStr">
        <is>
          <t>2026-09-18</t>
        </is>
      </c>
    </row>
    <row r="51">
      <c r="A51" s="6" t="inlineStr">
        <is>
          <t>2026 年 East–West 輸油管襲擊事件</t>
        </is>
      </c>
      <c r="B51" s="113" t="inlineStr">
        <is>
          <t>Wikipedia</t>
        </is>
      </c>
      <c r="C51" s="114" t="inlineStr">
        <is>
          <t>https://en.wikipedia.org/wiki/2026_East%E2%80%93West_Crude_Oil_Pipeline_attack</t>
        </is>
      </c>
      <c r="D51" s="2" t="inlineStr">
        <is>
          <t>2026-09-18</t>
        </is>
      </c>
    </row>
    <row r="52">
      <c r="A52" s="6" t="inlineStr">
        <is>
          <t>$100/桶柴油裂解價差：2026 年全球煉油的脆弱性</t>
        </is>
      </c>
      <c r="B52" s="113" t="inlineStr">
        <is>
          <t>RBN Energy</t>
        </is>
      </c>
      <c r="C52" s="114" t="inlineStr">
        <is>
          <t>https://rbnenergy.com/daily-posts/blog/100bbl-diesel-crack-or-how-2026-exposed-fragility-global-refining</t>
        </is>
      </c>
      <c r="D52" s="2" t="inlineStr">
        <is>
          <t>2026-09-18</t>
        </is>
      </c>
    </row>
    <row r="53">
      <c r="A53" s="6" t="inlineStr">
        <is>
          <t>美國柴油價創紀錄、煉油毛利飆升</t>
        </is>
      </c>
      <c r="B53" s="113" t="inlineStr">
        <is>
          <t>Discovery Alert</t>
        </is>
      </c>
      <c r="C53" s="114" t="inlineStr">
        <is>
          <t>https://discoveryalert.com/analysis/us-diesel-prices-record-september-2026/</t>
        </is>
      </c>
      <c r="D53" s="2" t="inlineStr">
        <is>
          <t>2026-09-18</t>
        </is>
      </c>
    </row>
    <row r="54">
      <c r="A54" s="6" t="inlineStr">
        <is>
          <t>俄羅斯延長柴油出口禁令至 9/30</t>
        </is>
      </c>
      <c r="B54" s="113" t="inlineStr">
        <is>
          <t>Ukrainska Pravda</t>
        </is>
      </c>
      <c r="C54" s="114" t="inlineStr">
        <is>
          <t>https://www.pravda.com.ua/eng/news/2026/08/29/8050963/</t>
        </is>
      </c>
      <c r="D54" s="2" t="inlineStr">
        <is>
          <t>2026-09-18</t>
        </is>
      </c>
    </row>
    <row r="55">
      <c r="A55" s="6" t="inlineStr">
        <is>
          <t>無人機打擊迫使俄六大柴油煉廠半數減產</t>
        </is>
      </c>
      <c r="B55" s="113" t="inlineStr">
        <is>
          <t>Kyiv Post</t>
        </is>
      </c>
      <c r="C55" s="114" t="inlineStr">
        <is>
          <t>https://www.kyivpost.com/post/84579</t>
        </is>
      </c>
      <c r="D55" s="2" t="inlineStr">
        <is>
          <t>2026-09-18</t>
        </is>
      </c>
    </row>
    <row r="56">
      <c r="A56" s="6" t="inlineStr">
        <is>
          <t>Hormuz 航運戰爭險再度飆升</t>
        </is>
      </c>
      <c r="B56" s="113" t="inlineStr">
        <is>
          <t>The National</t>
        </is>
      </c>
      <c r="C56" s="114" t="inlineStr">
        <is>
          <t>https://www.thenationalnews.com/business/2026/07/17/war-risk-shipping-premium-surges-again-as-tensions-escalate-at-strait-of-hormuz/</t>
        </is>
      </c>
      <c r="D56" s="2" t="inlineStr">
        <is>
          <t>2026-09-18</t>
        </is>
      </c>
    </row>
    <row r="57">
      <c r="A57" s="6" t="inlineStr">
        <is>
          <t>中東航運保險成本上升（Marsh）</t>
        </is>
      </c>
      <c r="B57" s="113" t="inlineStr">
        <is>
          <t>S&amp;P Global</t>
        </is>
      </c>
      <c r="C57" s="114" t="inlineStr">
        <is>
          <t>https://www.spglobal.com/energy/en/news-research/latest-news/shipping/072226-middle-east-shipping-insurance-costs-rise-on-hormuz-risks-marsh</t>
        </is>
      </c>
      <c r="D57" s="2" t="inlineStr">
        <is>
          <t>2026-09-18</t>
        </is>
      </c>
    </row>
    <row r="58">
      <c r="A58" s="6" t="inlineStr">
        <is>
          <t>本週經濟數據日程（9/14–18）</t>
        </is>
      </c>
      <c r="B58" s="113" t="inlineStr">
        <is>
          <t>Kiplinger</t>
        </is>
      </c>
      <c r="C58" s="114" t="inlineStr">
        <is>
          <t>https://www.kiplinger.com/investing/economy/this-weeks-economic-calendar</t>
        </is>
      </c>
      <c r="D58" s="2" t="inlineStr">
        <is>
          <t>2026-09-18</t>
        </is>
      </c>
    </row>
    <row r="59">
      <c r="A59" s="6" t="inlineStr">
        <is>
          <t>9 月加息機率與利率期貨定價</t>
        </is>
      </c>
      <c r="B59" s="113" t="inlineStr">
        <is>
          <t>Yahoo Finance</t>
        </is>
      </c>
      <c r="C59" s="114" t="inlineStr">
        <is>
          <t>https://finance.yahoo.com/economy/policy/articles/fomc-september-2026-odds-rate-201618784.html</t>
        </is>
      </c>
      <c r="D59" s="2" t="inlineStr">
        <is>
          <t>2026-09-18</t>
        </is>
      </c>
    </row>
  </sheetData>
  <mergeCells count="7">
    <mergeCell ref="A1:D1"/>
    <mergeCell ref="A17:D17"/>
    <mergeCell ref="A18:D18"/>
    <mergeCell ref="A20:D20"/>
    <mergeCell ref="A21:D21"/>
    <mergeCell ref="A19:D19"/>
    <mergeCell ref="A2:D2"/>
  </mergeCells>
  <hyperlinks>
    <hyperlink xmlns:r="http://schemas.openxmlformats.org/officeDocument/2006/relationships" ref="C34" r:id="rId1"/>
    <hyperlink xmlns:r="http://schemas.openxmlformats.org/officeDocument/2006/relationships" ref="C35" r:id="rId2"/>
    <hyperlink xmlns:r="http://schemas.openxmlformats.org/officeDocument/2006/relationships" ref="C36" r:id="rId3"/>
    <hyperlink xmlns:r="http://schemas.openxmlformats.org/officeDocument/2006/relationships" ref="C37" r:id="rId4"/>
    <hyperlink xmlns:r="http://schemas.openxmlformats.org/officeDocument/2006/relationships" ref="C38" r:id="rId5"/>
    <hyperlink xmlns:r="http://schemas.openxmlformats.org/officeDocument/2006/relationships" ref="C39" r:id="rId6"/>
    <hyperlink xmlns:r="http://schemas.openxmlformats.org/officeDocument/2006/relationships" ref="C40" r:id="rId7"/>
    <hyperlink xmlns:r="http://schemas.openxmlformats.org/officeDocument/2006/relationships" ref="C41" r:id="rId8"/>
    <hyperlink xmlns:r="http://schemas.openxmlformats.org/officeDocument/2006/relationships" ref="C42" r:id="rId9"/>
    <hyperlink xmlns:r="http://schemas.openxmlformats.org/officeDocument/2006/relationships" ref="C43" r:id="rId10"/>
    <hyperlink xmlns:r="http://schemas.openxmlformats.org/officeDocument/2006/relationships" ref="C44" r:id="rId11"/>
    <hyperlink xmlns:r="http://schemas.openxmlformats.org/officeDocument/2006/relationships" ref="C45" r:id="rId12"/>
    <hyperlink xmlns:r="http://schemas.openxmlformats.org/officeDocument/2006/relationships" ref="C46" r:id="rId13"/>
    <hyperlink xmlns:r="http://schemas.openxmlformats.org/officeDocument/2006/relationships" ref="C47" r:id="rId14"/>
    <hyperlink xmlns:r="http://schemas.openxmlformats.org/officeDocument/2006/relationships" ref="C48" r:id="rId15"/>
    <hyperlink xmlns:r="http://schemas.openxmlformats.org/officeDocument/2006/relationships" ref="C49" r:id="rId16"/>
    <hyperlink xmlns:r="http://schemas.openxmlformats.org/officeDocument/2006/relationships" ref="C50" r:id="rId17"/>
    <hyperlink xmlns:r="http://schemas.openxmlformats.org/officeDocument/2006/relationships" ref="C51" r:id="rId18"/>
    <hyperlink xmlns:r="http://schemas.openxmlformats.org/officeDocument/2006/relationships" ref="C52" r:id="rId19"/>
    <hyperlink xmlns:r="http://schemas.openxmlformats.org/officeDocument/2006/relationships" ref="C53" r:id="rId20"/>
    <hyperlink xmlns:r="http://schemas.openxmlformats.org/officeDocument/2006/relationships" ref="C54" r:id="rId21"/>
    <hyperlink xmlns:r="http://schemas.openxmlformats.org/officeDocument/2006/relationships" ref="C55" r:id="rId22"/>
    <hyperlink xmlns:r="http://schemas.openxmlformats.org/officeDocument/2006/relationships" ref="C56" r:id="rId23"/>
    <hyperlink xmlns:r="http://schemas.openxmlformats.org/officeDocument/2006/relationships" ref="C57" r:id="rId24"/>
    <hyperlink xmlns:r="http://schemas.openxmlformats.org/officeDocument/2006/relationships" ref="C58" r:id="rId25"/>
    <hyperlink xmlns:r="http://schemas.openxmlformats.org/officeDocument/2006/relationships" ref="C5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2026-09-18T01:09:32Z</dcterms:created>
  <dcterms:modified xsi:type="dcterms:W3CDTF">2026-09-18T01:09:32Z</dcterms:modified>
</cp:coreProperties>
</file>