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觀察名單" sheetId="2" state="visible" r:id="rId2"/>
    <sheet name="明細對照" sheetId="3" state="visible" r:id="rId3"/>
    <sheet name="子板塊彙總" sheetId="4" state="visible" r:id="rId4"/>
    <sheet name="AI小群組彙總" sheetId="5" state="visible" r:id="rId5"/>
    <sheet name="分級彙總" sheetId="6" state="visible" r:id="rId6"/>
    <sheet name="圖表連結" sheetId="7" state="visible" r:id="rId7"/>
    <sheet name="資料來源" sheetId="8" state="visible" r:id="rId8"/>
  </sheets>
  <definedNames>
    <definedName name="_xlnm._FilterDatabase" localSheetId="1" hidden="1">'觀察名單'!$A$1:$AB$533</definedName>
    <definedName name="_xlnm._FilterDatabase" localSheetId="3" hidden="1">'子板塊彙總'!$A$1:$J$112</definedName>
    <definedName name="_xlnm._FilterDatabase" localSheetId="4" hidden="1">'AI小群組彙總'!$A$1:$J$34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;-"/>
    <numFmt numFmtId="165" formatCode="0.0%;(0.0%);-"/>
  </numFmts>
  <fonts count="9">
    <font>
      <name val="Calibri"/>
      <family val="2"/>
      <color theme="1"/>
      <sz val="11"/>
      <scheme val="minor"/>
    </font>
    <font>
      <name val="Arial"/>
      <b val="1"/>
      <color rgb="FF1F4E78"/>
      <sz val="14"/>
    </font>
    <font>
      <name val="Arial"/>
      <color rgb="FF000000"/>
      <sz val="10"/>
    </font>
    <font>
      <name val="Arial"/>
      <b val="1"/>
      <color rgb="FF000000"/>
      <sz val="11"/>
    </font>
    <font>
      <name val="Arial"/>
      <b val="1"/>
      <color rgb="FF000000"/>
      <sz val="10"/>
    </font>
    <font>
      <name val="Arial"/>
      <b val="1"/>
      <color rgb="FFFFFFFF"/>
      <sz val="9.5"/>
    </font>
    <font>
      <name val="Arial"/>
      <b val="1"/>
      <color rgb="FF1155CC"/>
      <sz val="9"/>
      <u val="single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04040"/>
      </patternFill>
    </fill>
    <fill>
      <patternFill patternType="solid">
        <fgColor rgb="FF2E75B6"/>
      </patternFill>
    </fill>
    <fill>
      <patternFill patternType="solid">
        <fgColor rgb="FF1F7A8C"/>
      </patternFill>
    </fill>
    <fill>
      <patternFill patternType="solid">
        <fgColor rgb="FFEAF1F8"/>
      </patternFill>
    </fill>
    <fill>
      <patternFill patternType="solid">
        <fgColor rgb="FFFCEAE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D8A8"/>
      </patternFill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7" fillId="0" borderId="1" pivotButton="0" quotePrefix="0" xfId="0"/>
    <xf numFmtId="164" fontId="7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center" vertical="top"/>
    </xf>
    <xf numFmtId="165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top"/>
    </xf>
    <xf numFmtId="0" fontId="7" fillId="10" borderId="1" applyAlignment="1" pivotButton="0" quotePrefix="0" xfId="0">
      <alignment horizontal="center" vertical="top"/>
    </xf>
    <xf numFmtId="0" fontId="7" fillId="11" borderId="1" applyAlignment="1" pivotButton="0" quotePrefix="0" xfId="0">
      <alignment horizontal="center" vertical="top"/>
    </xf>
    <xf numFmtId="0" fontId="7" fillId="12" borderId="1" applyAlignment="1" pivotButton="0" quotePrefix="0" xfId="0">
      <alignment horizontal="center" vertical="top"/>
    </xf>
    <xf numFmtId="0" fontId="8" fillId="0" borderId="0" pivotButton="0" quotePrefix="0" xfId="0"/>
    <xf numFmtId="0" fontId="6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D8A8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a" TargetMode="External" Id="rId1" /><Relationship Type="http://schemas.openxmlformats.org/officeDocument/2006/relationships/hyperlink" Target="https://www.tradingview.com/chart/Q1c5VWwD/?symbol=aa" TargetMode="External" Id="rId2" /><Relationship Type="http://schemas.openxmlformats.org/officeDocument/2006/relationships/hyperlink" Target="https://www.tradingview.com/chart/Q1c5VWwD/?symbol=aal" TargetMode="External" Id="rId3" /><Relationship Type="http://schemas.openxmlformats.org/officeDocument/2006/relationships/hyperlink" Target="https://www.tradingview.com/chart/Q1c5VWwD/?symbol=aaoi" TargetMode="External" Id="rId4" /><Relationship Type="http://schemas.openxmlformats.org/officeDocument/2006/relationships/hyperlink" Target="https://www.tradingview.com/chart/Q1c5VWwD/?symbol=aaon" TargetMode="External" Id="rId5" /><Relationship Type="http://schemas.openxmlformats.org/officeDocument/2006/relationships/hyperlink" Target="https://www.tradingview.com/chart/Q1c5VWwD/?symbol=aapl" TargetMode="External" Id="rId6" /><Relationship Type="http://schemas.openxmlformats.org/officeDocument/2006/relationships/hyperlink" Target="https://www.tradingview.com/chart/Q1c5VWwD/?symbol=abbv" TargetMode="External" Id="rId7" /><Relationship Type="http://schemas.openxmlformats.org/officeDocument/2006/relationships/hyperlink" Target="https://www.tradingview.com/chart/Q1c5VWwD/?symbol=abt" TargetMode="External" Id="rId8" /><Relationship Type="http://schemas.openxmlformats.org/officeDocument/2006/relationships/hyperlink" Target="https://www.tradingview.com/chart/Q1c5VWwD/?symbol=aci" TargetMode="External" Id="rId9" /><Relationship Type="http://schemas.openxmlformats.org/officeDocument/2006/relationships/hyperlink" Target="https://www.tradingview.com/chart/Q1c5VWwD/?symbol=acm" TargetMode="External" Id="rId10" /><Relationship Type="http://schemas.openxmlformats.org/officeDocument/2006/relationships/hyperlink" Target="https://www.tradingview.com/chart/Q1c5VWwD/?symbol=acn" TargetMode="External" Id="rId11" /><Relationship Type="http://schemas.openxmlformats.org/officeDocument/2006/relationships/hyperlink" Target="https://www.tradingview.com/chart/Q1c5VWwD/?symbol=adbe" TargetMode="External" Id="rId12" /><Relationship Type="http://schemas.openxmlformats.org/officeDocument/2006/relationships/hyperlink" Target="https://www.tradingview.com/chart/Q1c5VWwD/?symbol=adi" TargetMode="External" Id="rId13" /><Relationship Type="http://schemas.openxmlformats.org/officeDocument/2006/relationships/hyperlink" Target="https://www.tradingview.com/chart/Q1c5VWwD/?symbol=adm" TargetMode="External" Id="rId14" /><Relationship Type="http://schemas.openxmlformats.org/officeDocument/2006/relationships/hyperlink" Target="https://www.tradingview.com/chart/Q1c5VWwD/?symbol=adp" TargetMode="External" Id="rId15" /><Relationship Type="http://schemas.openxmlformats.org/officeDocument/2006/relationships/hyperlink" Target="https://www.tradingview.com/chart/Q1c5VWwD/?symbol=aehr" TargetMode="External" Id="rId16" /><Relationship Type="http://schemas.openxmlformats.org/officeDocument/2006/relationships/hyperlink" Target="https://www.tradingview.com/chart/Q1c5VWwD/?symbol=aem" TargetMode="External" Id="rId17" /><Relationship Type="http://schemas.openxmlformats.org/officeDocument/2006/relationships/hyperlink" Target="https://www.tradingview.com/chart/Q1c5VWwD/?symbol=aep" TargetMode="External" Id="rId18" /><Relationship Type="http://schemas.openxmlformats.org/officeDocument/2006/relationships/hyperlink" Target="https://www.tradingview.com/chart/Q1c5VWwD/?symbol=afl" TargetMode="External" Id="rId19" /><Relationship Type="http://schemas.openxmlformats.org/officeDocument/2006/relationships/hyperlink" Target="https://www.tradingview.com/chart/Q1c5VWwD/?symbol=afrm" TargetMode="External" Id="rId20" /><Relationship Type="http://schemas.openxmlformats.org/officeDocument/2006/relationships/hyperlink" Target="https://www.tradingview.com/chart/Q1c5VWwD/?symbol=ag" TargetMode="External" Id="rId21" /><Relationship Type="http://schemas.openxmlformats.org/officeDocument/2006/relationships/hyperlink" Target="https://www.tradingview.com/chart/Q1c5VWwD/?symbol=ai" TargetMode="External" Id="rId22" /><Relationship Type="http://schemas.openxmlformats.org/officeDocument/2006/relationships/hyperlink" Target="https://www.tradingview.com/chart/Q1c5VWwD/?symbol=aig" TargetMode="External" Id="rId23" /><Relationship Type="http://schemas.openxmlformats.org/officeDocument/2006/relationships/hyperlink" Target="https://www.tradingview.com/chart/Q1c5VWwD/?symbol=ajg" TargetMode="External" Id="rId24" /><Relationship Type="http://schemas.openxmlformats.org/officeDocument/2006/relationships/hyperlink" Target="https://www.tradingview.com/chart/Q1c5VWwD/?symbol=alab" TargetMode="External" Id="rId25" /><Relationship Type="http://schemas.openxmlformats.org/officeDocument/2006/relationships/hyperlink" Target="https://www.tradingview.com/chart/Q1c5VWwD/?symbol=alb" TargetMode="External" Id="rId26" /><Relationship Type="http://schemas.openxmlformats.org/officeDocument/2006/relationships/hyperlink" Target="https://www.tradingview.com/chart/Q1c5VWwD/?symbol=alec" TargetMode="External" Id="rId27" /><Relationship Type="http://schemas.openxmlformats.org/officeDocument/2006/relationships/hyperlink" Target="https://www.tradingview.com/chart/Q1c5VWwD/?symbol=allo" TargetMode="External" Id="rId28" /><Relationship Type="http://schemas.openxmlformats.org/officeDocument/2006/relationships/hyperlink" Target="https://www.tradingview.com/chart/Q1c5VWwD/?symbol=aloy" TargetMode="External" Id="rId29" /><Relationship Type="http://schemas.openxmlformats.org/officeDocument/2006/relationships/hyperlink" Target="https://www.tradingview.com/chart/Q1c5VWwD/?symbol=alt" TargetMode="External" Id="rId30" /><Relationship Type="http://schemas.openxmlformats.org/officeDocument/2006/relationships/hyperlink" Target="https://www.tradingview.com/chart/Q1c5VWwD/?symbol=amat" TargetMode="External" Id="rId31" /><Relationship Type="http://schemas.openxmlformats.org/officeDocument/2006/relationships/hyperlink" Target="https://www.tradingview.com/chart/Q1c5VWwD/?symbol=amd" TargetMode="External" Id="rId32" /><Relationship Type="http://schemas.openxmlformats.org/officeDocument/2006/relationships/hyperlink" Target="https://www.tradingview.com/chart/Q1c5VWwD/?symbol=amg" TargetMode="External" Id="rId33" /><Relationship Type="http://schemas.openxmlformats.org/officeDocument/2006/relationships/hyperlink" Target="https://www.tradingview.com/chart/Q1c5VWwD/?symbol=amgn" TargetMode="External" Id="rId34" /><Relationship Type="http://schemas.openxmlformats.org/officeDocument/2006/relationships/hyperlink" Target="https://www.tradingview.com/chart/Q1c5VWwD/?symbol=amh" TargetMode="External" Id="rId35" /><Relationship Type="http://schemas.openxmlformats.org/officeDocument/2006/relationships/hyperlink" Target="https://www.tradingview.com/chart/Q1c5VWwD/?symbol=amkr" TargetMode="External" Id="rId36" /><Relationship Type="http://schemas.openxmlformats.org/officeDocument/2006/relationships/hyperlink" Target="https://www.tradingview.com/chart/Q1c5VWwD/?symbol=amr" TargetMode="External" Id="rId37" /><Relationship Type="http://schemas.openxmlformats.org/officeDocument/2006/relationships/hyperlink" Target="https://www.tradingview.com/chart/Q1c5VWwD/?symbol=ams" TargetMode="External" Id="rId38" /><Relationship Type="http://schemas.openxmlformats.org/officeDocument/2006/relationships/hyperlink" Target="https://www.tradingview.com/chart/Q1c5VWwD/?symbol=amt" TargetMode="External" Id="rId39" /><Relationship Type="http://schemas.openxmlformats.org/officeDocument/2006/relationships/hyperlink" Target="https://www.tradingview.com/chart/Q1c5VWwD/?symbol=amzn" TargetMode="External" Id="rId40" /><Relationship Type="http://schemas.openxmlformats.org/officeDocument/2006/relationships/hyperlink" Target="https://www.tradingview.com/chart/Q1c5VWwD/?symbol=anet" TargetMode="External" Id="rId41" /><Relationship Type="http://schemas.openxmlformats.org/officeDocument/2006/relationships/hyperlink" Target="https://www.tradingview.com/chart/Q1c5VWwD/?symbol=aon" TargetMode="External" Id="rId42" /><Relationship Type="http://schemas.openxmlformats.org/officeDocument/2006/relationships/hyperlink" Target="https://www.tradingview.com/chart/Q1c5VWwD/?symbol=apd" TargetMode="External" Id="rId43" /><Relationship Type="http://schemas.openxmlformats.org/officeDocument/2006/relationships/hyperlink" Target="https://www.tradingview.com/chart/Q1c5VWwD/?symbol=aph" TargetMode="External" Id="rId44" /><Relationship Type="http://schemas.openxmlformats.org/officeDocument/2006/relationships/hyperlink" Target="https://www.tradingview.com/chart/Q1c5VWwD/?symbol=apld" TargetMode="External" Id="rId45" /><Relationship Type="http://schemas.openxmlformats.org/officeDocument/2006/relationships/hyperlink" Target="https://www.tradingview.com/chart/Q1c5VWwD/?symbol=apo" TargetMode="External" Id="rId46" /><Relationship Type="http://schemas.openxmlformats.org/officeDocument/2006/relationships/hyperlink" Target="https://www.tradingview.com/chart/Q1c5VWwD/?symbol=aptv" TargetMode="External" Id="rId47" /><Relationship Type="http://schemas.openxmlformats.org/officeDocument/2006/relationships/hyperlink" Target="https://www.tradingview.com/chart/Q1c5VWwD/?symbol=ares" TargetMode="External" Id="rId48" /><Relationship Type="http://schemas.openxmlformats.org/officeDocument/2006/relationships/hyperlink" Target="https://www.tradingview.com/chart/Q1c5VWwD/?symbol=arm" TargetMode="External" Id="rId49" /><Relationship Type="http://schemas.openxmlformats.org/officeDocument/2006/relationships/hyperlink" Target="https://www.tradingview.com/chart/Q1c5VWwD/?symbol=arvn" TargetMode="External" Id="rId50" /><Relationship Type="http://schemas.openxmlformats.org/officeDocument/2006/relationships/hyperlink" Target="https://www.tradingview.com/chart/Q1c5VWwD/?symbol=asml" TargetMode="External" Id="rId51" /><Relationship Type="http://schemas.openxmlformats.org/officeDocument/2006/relationships/hyperlink" Target="https://www.tradingview.com/chart/Q1c5VWwD/?symbol=aspi" TargetMode="External" Id="rId52" /><Relationship Type="http://schemas.openxmlformats.org/officeDocument/2006/relationships/hyperlink" Target="https://www.tradingview.com/chart/Q1c5VWwD/?symbol=asts" TargetMode="External" Id="rId53" /><Relationship Type="http://schemas.openxmlformats.org/officeDocument/2006/relationships/hyperlink" Target="https://www.tradingview.com/chart/Q1c5VWwD/?symbol=asx" TargetMode="External" Id="rId54" /><Relationship Type="http://schemas.openxmlformats.org/officeDocument/2006/relationships/hyperlink" Target="https://www.tradingview.com/chart/Q1c5VWwD/?symbol=ato" TargetMode="External" Id="rId55" /><Relationship Type="http://schemas.openxmlformats.org/officeDocument/2006/relationships/hyperlink" Target="https://www.tradingview.com/chart/Q1c5VWwD/?symbol=au" TargetMode="External" Id="rId56" /><Relationship Type="http://schemas.openxmlformats.org/officeDocument/2006/relationships/hyperlink" Target="https://www.tradingview.com/chart/Q1c5VWwD/?symbol=avav" TargetMode="External" Id="rId57" /><Relationship Type="http://schemas.openxmlformats.org/officeDocument/2006/relationships/hyperlink" Target="https://www.tradingview.com/chart/Q1c5VWwD/?symbol=avgo" TargetMode="External" Id="rId58" /><Relationship Type="http://schemas.openxmlformats.org/officeDocument/2006/relationships/hyperlink" Target="https://www.tradingview.com/chart/Q1c5VWwD/?symbol=awk" TargetMode="External" Id="rId59" /><Relationship Type="http://schemas.openxmlformats.org/officeDocument/2006/relationships/hyperlink" Target="https://www.tradingview.com/chart/Q1c5VWwD/?symbol=awr" TargetMode="External" Id="rId60" /><Relationship Type="http://schemas.openxmlformats.org/officeDocument/2006/relationships/hyperlink" Target="https://www.tradingview.com/chart/Q1c5VWwD/?symbol=axp" TargetMode="External" Id="rId61" /><Relationship Type="http://schemas.openxmlformats.org/officeDocument/2006/relationships/hyperlink" Target="https://www.tradingview.com/chart/Q1c5VWwD/?symbol=axti" TargetMode="External" Id="rId62" /><Relationship Type="http://schemas.openxmlformats.org/officeDocument/2006/relationships/hyperlink" Target="https://www.tradingview.com/chart/Q1c5VWwD/?symbol=ba" TargetMode="External" Id="rId63" /><Relationship Type="http://schemas.openxmlformats.org/officeDocument/2006/relationships/hyperlink" Target="https://www.tradingview.com/chart/Q1c5VWwD/?symbol=baba" TargetMode="External" Id="rId64" /><Relationship Type="http://schemas.openxmlformats.org/officeDocument/2006/relationships/hyperlink" Target="https://www.tradingview.com/chart/Q1c5VWwD/?symbol=bac" TargetMode="External" Id="rId65" /><Relationship Type="http://schemas.openxmlformats.org/officeDocument/2006/relationships/hyperlink" Target="https://www.tradingview.com/chart/Q1c5VWwD/?symbol=bby" TargetMode="External" Id="rId66" /><Relationship Type="http://schemas.openxmlformats.org/officeDocument/2006/relationships/hyperlink" Target="https://www.tradingview.com/chart/Q1c5VWwD/?symbol=bc" TargetMode="External" Id="rId67" /><Relationship Type="http://schemas.openxmlformats.org/officeDocument/2006/relationships/hyperlink" Target="https://www.tradingview.com/chart/Q1c5VWwD/?symbol=be" TargetMode="External" Id="rId68" /><Relationship Type="http://schemas.openxmlformats.org/officeDocument/2006/relationships/hyperlink" Target="https://www.tradingview.com/chart/Q1c5VWwD/?symbol=beam" TargetMode="External" Id="rId69" /><Relationship Type="http://schemas.openxmlformats.org/officeDocument/2006/relationships/hyperlink" Target="https://www.tradingview.com/chart/Q1c5VWwD/?symbol=ben" TargetMode="External" Id="rId70" /><Relationship Type="http://schemas.openxmlformats.org/officeDocument/2006/relationships/hyperlink" Target="https://www.tradingview.com/chart/Q1c5VWwD/?symbol=bf.b" TargetMode="External" Id="rId71" /><Relationship Type="http://schemas.openxmlformats.org/officeDocument/2006/relationships/hyperlink" Target="https://www.tradingview.com/chart/Q1c5VWwD/?symbol=bg" TargetMode="External" Id="rId72" /><Relationship Type="http://schemas.openxmlformats.org/officeDocument/2006/relationships/hyperlink" Target="https://www.tradingview.com/chart/Q1c5VWwD/?symbol=bidu" TargetMode="External" Id="rId73" /><Relationship Type="http://schemas.openxmlformats.org/officeDocument/2006/relationships/hyperlink" Target="https://www.tradingview.com/chart/Q1c5VWwD/?symbol=biib" TargetMode="External" Id="rId74" /><Relationship Type="http://schemas.openxmlformats.org/officeDocument/2006/relationships/hyperlink" Target="https://www.tradingview.com/chart/Q1c5VWwD/?symbol=bj" TargetMode="External" Id="rId75" /><Relationship Type="http://schemas.openxmlformats.org/officeDocument/2006/relationships/hyperlink" Target="https://www.tradingview.com/chart/Q1c5VWwD/?symbol=bkr" TargetMode="External" Id="rId76" /><Relationship Type="http://schemas.openxmlformats.org/officeDocument/2006/relationships/hyperlink" Target="https://www.tradingview.com/chart/Q1c5VWwD/?symbol=blk" TargetMode="External" Id="rId77" /><Relationship Type="http://schemas.openxmlformats.org/officeDocument/2006/relationships/hyperlink" Target="https://www.tradingview.com/chart/Q1c5VWwD/?symbol=bmy" TargetMode="External" Id="rId78" /><Relationship Type="http://schemas.openxmlformats.org/officeDocument/2006/relationships/hyperlink" Target="https://www.tradingview.com/chart/Q1c5VWwD/?symbol=bro" TargetMode="External" Id="rId79" /><Relationship Type="http://schemas.openxmlformats.org/officeDocument/2006/relationships/hyperlink" Target="https://www.tradingview.com/chart/Q1c5VWwD/?symbol=bsx" TargetMode="External" Id="rId80" /><Relationship Type="http://schemas.openxmlformats.org/officeDocument/2006/relationships/hyperlink" Target="https://www.tradingview.com/chart/Q1c5VWwD/?symbol=btu" TargetMode="External" Id="rId81" /><Relationship Type="http://schemas.openxmlformats.org/officeDocument/2006/relationships/hyperlink" Target="https://www.tradingview.com/chart/Q1c5VWwD/?symbol=bwxt" TargetMode="External" Id="rId82" /><Relationship Type="http://schemas.openxmlformats.org/officeDocument/2006/relationships/hyperlink" Target="https://www.tradingview.com/chart/Q1c5VWwD/?symbol=bx" TargetMode="External" Id="rId83" /><Relationship Type="http://schemas.openxmlformats.org/officeDocument/2006/relationships/hyperlink" Target="https://www.tradingview.com/chart/Q1c5VWwD/?symbol=bxp" TargetMode="External" Id="rId84" /><Relationship Type="http://schemas.openxmlformats.org/officeDocument/2006/relationships/hyperlink" Target="https://www.tradingview.com/chart/Q1c5VWwD/?symbol=c" TargetMode="External" Id="rId85" /><Relationship Type="http://schemas.openxmlformats.org/officeDocument/2006/relationships/hyperlink" Target="https://www.tradingview.com/chart/Q1c5VWwD/?symbol=cag" TargetMode="External" Id="rId86" /><Relationship Type="http://schemas.openxmlformats.org/officeDocument/2006/relationships/hyperlink" Target="https://www.tradingview.com/chart/Q1c5VWwD/?symbol=cah" TargetMode="External" Id="rId87" /><Relationship Type="http://schemas.openxmlformats.org/officeDocument/2006/relationships/hyperlink" Target="https://www.tradingview.com/chart/Q1c5VWwD/?symbol=camt" TargetMode="External" Id="rId88" /><Relationship Type="http://schemas.openxmlformats.org/officeDocument/2006/relationships/hyperlink" Target="https://www.tradingview.com/chart/Q1c5VWwD/?symbol=carr" TargetMode="External" Id="rId89" /><Relationship Type="http://schemas.openxmlformats.org/officeDocument/2006/relationships/hyperlink" Target="https://www.tradingview.com/chart/Q1c5VWwD/?symbol=cat" TargetMode="External" Id="rId90" /><Relationship Type="http://schemas.openxmlformats.org/officeDocument/2006/relationships/hyperlink" Target="https://www.tradingview.com/chart/Q1c5VWwD/?symbol=cb" TargetMode="External" Id="rId91" /><Relationship Type="http://schemas.openxmlformats.org/officeDocument/2006/relationships/hyperlink" Target="https://www.tradingview.com/chart/Q1c5VWwD/?symbol=cboe" TargetMode="External" Id="rId92" /><Relationship Type="http://schemas.openxmlformats.org/officeDocument/2006/relationships/hyperlink" Target="https://www.tradingview.com/chart/Q1c5VWwD/?symbol=cbre" TargetMode="External" Id="rId93" /><Relationship Type="http://schemas.openxmlformats.org/officeDocument/2006/relationships/hyperlink" Target="https://www.tradingview.com/chart/Q1c5VWwD/?symbol=cci" TargetMode="External" Id="rId94" /><Relationship Type="http://schemas.openxmlformats.org/officeDocument/2006/relationships/hyperlink" Target="https://www.tradingview.com/chart/Q1c5VWwD/?symbol=ccj" TargetMode="External" Id="rId95" /><Relationship Type="http://schemas.openxmlformats.org/officeDocument/2006/relationships/hyperlink" Target="https://www.tradingview.com/chart/Q1c5VWwD/?symbol=ccl" TargetMode="External" Id="rId96" /><Relationship Type="http://schemas.openxmlformats.org/officeDocument/2006/relationships/hyperlink" Target="https://www.tradingview.com/chart/Q1c5VWwD/?symbol=cde" TargetMode="External" Id="rId97" /><Relationship Type="http://schemas.openxmlformats.org/officeDocument/2006/relationships/hyperlink" Target="https://www.tradingview.com/chart/Q1c5VWwD/?symbol=cdns" TargetMode="External" Id="rId98" /><Relationship Type="http://schemas.openxmlformats.org/officeDocument/2006/relationships/hyperlink" Target="https://www.tradingview.com/chart/Q1c5VWwD/?symbol=ceg" TargetMode="External" Id="rId99" /><Relationship Type="http://schemas.openxmlformats.org/officeDocument/2006/relationships/hyperlink" Target="https://www.tradingview.com/chart/Q1c5VWwD/?symbol=celh" TargetMode="External" Id="rId100" /><Relationship Type="http://schemas.openxmlformats.org/officeDocument/2006/relationships/hyperlink" Target="https://www.tradingview.com/chart/Q1c5VWwD/?symbol=cenx" TargetMode="External" Id="rId101" /><Relationship Type="http://schemas.openxmlformats.org/officeDocument/2006/relationships/hyperlink" Target="https://www.tradingview.com/chart/Q1c5VWwD/?symbol=cf" TargetMode="External" Id="rId102" /><Relationship Type="http://schemas.openxmlformats.org/officeDocument/2006/relationships/hyperlink" Target="https://www.tradingview.com/chart/Q1c5VWwD/?symbol=chd" TargetMode="External" Id="rId103" /><Relationship Type="http://schemas.openxmlformats.org/officeDocument/2006/relationships/hyperlink" Target="https://www.tradingview.com/chart/Q1c5VWwD/?symbol=chef" TargetMode="External" Id="rId104" /><Relationship Type="http://schemas.openxmlformats.org/officeDocument/2006/relationships/hyperlink" Target="https://www.tradingview.com/chart/Q1c5VWwD/?symbol=chtr" TargetMode="External" Id="rId105" /><Relationship Type="http://schemas.openxmlformats.org/officeDocument/2006/relationships/hyperlink" Target="https://www.tradingview.com/chart/Q1c5VWwD/?symbol=chwy" TargetMode="External" Id="rId106" /><Relationship Type="http://schemas.openxmlformats.org/officeDocument/2006/relationships/hyperlink" Target="https://www.tradingview.com/chart/Q1c5VWwD/?symbol=ci" TargetMode="External" Id="rId107" /><Relationship Type="http://schemas.openxmlformats.org/officeDocument/2006/relationships/hyperlink" Target="https://www.tradingview.com/chart/Q1c5VWwD/?symbol=cien" TargetMode="External" Id="rId108" /><Relationship Type="http://schemas.openxmlformats.org/officeDocument/2006/relationships/hyperlink" Target="https://www.tradingview.com/chart/Q1c5VWwD/?symbol=cl" TargetMode="External" Id="rId109" /><Relationship Type="http://schemas.openxmlformats.org/officeDocument/2006/relationships/hyperlink" Target="https://www.tradingview.com/chart/Q1c5VWwD/?symbol=clf" TargetMode="External" Id="rId110" /><Relationship Type="http://schemas.openxmlformats.org/officeDocument/2006/relationships/hyperlink" Target="https://www.tradingview.com/chart/Q1c5VWwD/?symbol=clh" TargetMode="External" Id="rId111" /><Relationship Type="http://schemas.openxmlformats.org/officeDocument/2006/relationships/hyperlink" Target="https://www.tradingview.com/chart/Q1c5VWwD/?symbol=cmcsa" TargetMode="External" Id="rId112" /><Relationship Type="http://schemas.openxmlformats.org/officeDocument/2006/relationships/hyperlink" Target="https://www.tradingview.com/chart/Q1c5VWwD/?symbol=cme" TargetMode="External" Id="rId113" /><Relationship Type="http://schemas.openxmlformats.org/officeDocument/2006/relationships/hyperlink" Target="https://www.tradingview.com/chart/Q1c5VWwD/?symbol=cmg" TargetMode="External" Id="rId114" /><Relationship Type="http://schemas.openxmlformats.org/officeDocument/2006/relationships/hyperlink" Target="https://www.tradingview.com/chart/Q1c5VWwD/?symbol=cmi" TargetMode="External" Id="rId115" /><Relationship Type="http://schemas.openxmlformats.org/officeDocument/2006/relationships/hyperlink" Target="https://www.tradingview.com/chart/Q1c5VWwD/?symbol=cnc" TargetMode="External" Id="rId116" /><Relationship Type="http://schemas.openxmlformats.org/officeDocument/2006/relationships/hyperlink" Target="https://www.tradingview.com/chart/Q1c5VWwD/?symbol=cnr" TargetMode="External" Id="rId117" /><Relationship Type="http://schemas.openxmlformats.org/officeDocument/2006/relationships/hyperlink" Target="https://www.tradingview.com/chart/Q1c5VWwD/?symbol=cof" TargetMode="External" Id="rId118" /><Relationship Type="http://schemas.openxmlformats.org/officeDocument/2006/relationships/hyperlink" Target="https://www.tradingview.com/chart/Q1c5VWwD/?symbol=cohr" TargetMode="External" Id="rId119" /><Relationship Type="http://schemas.openxmlformats.org/officeDocument/2006/relationships/hyperlink" Target="https://www.tradingview.com/chart/Q1c5VWwD/?symbol=coin" TargetMode="External" Id="rId120" /><Relationship Type="http://schemas.openxmlformats.org/officeDocument/2006/relationships/hyperlink" Target="https://www.tradingview.com/chart/Q1c5VWwD/?symbol=comp" TargetMode="External" Id="rId121" /><Relationship Type="http://schemas.openxmlformats.org/officeDocument/2006/relationships/hyperlink" Target="https://www.tradingview.com/chart/Q1c5VWwD/?symbol=cop" TargetMode="External" Id="rId122" /><Relationship Type="http://schemas.openxmlformats.org/officeDocument/2006/relationships/hyperlink" Target="https://www.tradingview.com/chart/Q1c5VWwD/?symbol=cor" TargetMode="External" Id="rId123" /><Relationship Type="http://schemas.openxmlformats.org/officeDocument/2006/relationships/hyperlink" Target="https://www.tradingview.com/chart/Q1c5VWwD/?symbol=cost" TargetMode="External" Id="rId124" /><Relationship Type="http://schemas.openxmlformats.org/officeDocument/2006/relationships/hyperlink" Target="https://www.tradingview.com/chart/Q1c5VWwD/?symbol=crcl" TargetMode="External" Id="rId125" /><Relationship Type="http://schemas.openxmlformats.org/officeDocument/2006/relationships/hyperlink" Target="https://www.tradingview.com/chart/Q1c5VWwD/?symbol=crdo" TargetMode="External" Id="rId126" /><Relationship Type="http://schemas.openxmlformats.org/officeDocument/2006/relationships/hyperlink" Target="https://www.tradingview.com/chart/Q1c5VWwD/?symbol=crh" TargetMode="External" Id="rId127" /><Relationship Type="http://schemas.openxmlformats.org/officeDocument/2006/relationships/hyperlink" Target="https://www.tradingview.com/chart/Q1c5VWwD/?symbol=crm" TargetMode="External" Id="rId128" /><Relationship Type="http://schemas.openxmlformats.org/officeDocument/2006/relationships/hyperlink" Target="https://www.tradingview.com/chart/Q1c5VWwD/?symbol=crsp" TargetMode="External" Id="rId129" /><Relationship Type="http://schemas.openxmlformats.org/officeDocument/2006/relationships/hyperlink" Target="https://www.tradingview.com/chart/Q1c5VWwD/?symbol=crvs" TargetMode="External" Id="rId130" /><Relationship Type="http://schemas.openxmlformats.org/officeDocument/2006/relationships/hyperlink" Target="https://www.tradingview.com/chart/Q1c5VWwD/?symbol=crwd" TargetMode="External" Id="rId131" /><Relationship Type="http://schemas.openxmlformats.org/officeDocument/2006/relationships/hyperlink" Target="https://www.tradingview.com/chart/Q1c5VWwD/?symbol=crwv" TargetMode="External" Id="rId132" /><Relationship Type="http://schemas.openxmlformats.org/officeDocument/2006/relationships/hyperlink" Target="https://www.tradingview.com/chart/Q1c5VWwD/?symbol=csco" TargetMode="External" Id="rId133" /><Relationship Type="http://schemas.openxmlformats.org/officeDocument/2006/relationships/hyperlink" Target="https://www.tradingview.com/chart/Q1c5VWwD/?symbol=csx" TargetMode="External" Id="rId134" /><Relationship Type="http://schemas.openxmlformats.org/officeDocument/2006/relationships/hyperlink" Target="https://www.tradingview.com/chart/Q1c5VWwD/?symbol=ctas" TargetMode="External" Id="rId135" /><Relationship Type="http://schemas.openxmlformats.org/officeDocument/2006/relationships/hyperlink" Target="https://www.tradingview.com/chart/Q1c5VWwD/?symbol=ctsh" TargetMode="External" Id="rId136" /><Relationship Type="http://schemas.openxmlformats.org/officeDocument/2006/relationships/hyperlink" Target="https://www.tradingview.com/chart/Q1c5VWwD/?symbol=ctva" TargetMode="External" Id="rId137" /><Relationship Type="http://schemas.openxmlformats.org/officeDocument/2006/relationships/hyperlink" Target="https://www.tradingview.com/chart/Q1c5VWwD/?symbol=cvs" TargetMode="External" Id="rId138" /><Relationship Type="http://schemas.openxmlformats.org/officeDocument/2006/relationships/hyperlink" Target="https://www.tradingview.com/chart/Q1c5VWwD/?symbol=cvx" TargetMode="External" Id="rId139" /><Relationship Type="http://schemas.openxmlformats.org/officeDocument/2006/relationships/hyperlink" Target="https://www.tradingview.com/chart/Q1c5VWwD/?symbol=cwst" TargetMode="External" Id="rId140" /><Relationship Type="http://schemas.openxmlformats.org/officeDocument/2006/relationships/hyperlink" Target="https://www.tradingview.com/chart/Q1c5VWwD/?symbol=cwt" TargetMode="External" Id="rId141" /><Relationship Type="http://schemas.openxmlformats.org/officeDocument/2006/relationships/hyperlink" Target="https://www.tradingview.com/chart/Q1c5VWwD/?symbol=d" TargetMode="External" Id="rId142" /><Relationship Type="http://schemas.openxmlformats.org/officeDocument/2006/relationships/hyperlink" Target="https://www.tradingview.com/chart/Q1c5VWwD/?symbol=dal" TargetMode="External" Id="rId143" /><Relationship Type="http://schemas.openxmlformats.org/officeDocument/2006/relationships/hyperlink" Target="https://www.tradingview.com/chart/Q1c5VWwD/?symbol=ddog" TargetMode="External" Id="rId144" /><Relationship Type="http://schemas.openxmlformats.org/officeDocument/2006/relationships/hyperlink" Target="https://www.tradingview.com/chart/Q1c5VWwD/?symbol=de" TargetMode="External" Id="rId145" /><Relationship Type="http://schemas.openxmlformats.org/officeDocument/2006/relationships/hyperlink" Target="https://www.tradingview.com/chart/Q1c5VWwD/?symbol=deck" TargetMode="External" Id="rId146" /><Relationship Type="http://schemas.openxmlformats.org/officeDocument/2006/relationships/hyperlink" Target="https://www.tradingview.com/chart/Q1c5VWwD/?symbol=dell" TargetMode="External" Id="rId147" /><Relationship Type="http://schemas.openxmlformats.org/officeDocument/2006/relationships/hyperlink" Target="https://www.tradingview.com/chart/Q1c5VWwD/?symbol=deo" TargetMode="External" Id="rId148" /><Relationship Type="http://schemas.openxmlformats.org/officeDocument/2006/relationships/hyperlink" Target="https://www.tradingview.com/chart/Q1c5VWwD/?symbol=dhi" TargetMode="External" Id="rId149" /><Relationship Type="http://schemas.openxmlformats.org/officeDocument/2006/relationships/hyperlink" Target="https://www.tradingview.com/chart/Q1c5VWwD/?symbol=dhr" TargetMode="External" Id="rId150" /><Relationship Type="http://schemas.openxmlformats.org/officeDocument/2006/relationships/hyperlink" Target="https://www.tradingview.com/chart/Q1c5VWwD/?symbol=dino" TargetMode="External" Id="rId151" /><Relationship Type="http://schemas.openxmlformats.org/officeDocument/2006/relationships/hyperlink" Target="https://www.tradingview.com/chart/Q1c5VWwD/?symbol=dis" TargetMode="External" Id="rId152" /><Relationship Type="http://schemas.openxmlformats.org/officeDocument/2006/relationships/hyperlink" Target="https://www.tradingview.com/chart/Q1c5VWwD/?symbol=dkng" TargetMode="External" Id="rId153" /><Relationship Type="http://schemas.openxmlformats.org/officeDocument/2006/relationships/hyperlink" Target="https://www.tradingview.com/chart/Q1c5VWwD/?symbol=dlr" TargetMode="External" Id="rId154" /><Relationship Type="http://schemas.openxmlformats.org/officeDocument/2006/relationships/hyperlink" Target="https://www.tradingview.com/chart/Q1c5VWwD/?symbol=dnli" TargetMode="External" Id="rId155" /><Relationship Type="http://schemas.openxmlformats.org/officeDocument/2006/relationships/hyperlink" Target="https://www.tradingview.com/chart/Q1c5VWwD/?symbol=dnn" TargetMode="External" Id="rId156" /><Relationship Type="http://schemas.openxmlformats.org/officeDocument/2006/relationships/hyperlink" Target="https://www.tradingview.com/chart/Q1c5VWwD/?symbol=doc" TargetMode="External" Id="rId157" /><Relationship Type="http://schemas.openxmlformats.org/officeDocument/2006/relationships/hyperlink" Target="https://www.tradingview.com/chart/Q1c5VWwD/?symbol=docs" TargetMode="External" Id="rId158" /><Relationship Type="http://schemas.openxmlformats.org/officeDocument/2006/relationships/hyperlink" Target="https://www.tradingview.com/chart/Q1c5VWwD/?symbol=dow" TargetMode="External" Id="rId159" /><Relationship Type="http://schemas.openxmlformats.org/officeDocument/2006/relationships/hyperlink" Target="https://www.tradingview.com/chart/Q1c5VWwD/?symbol=dri" TargetMode="External" Id="rId160" /><Relationship Type="http://schemas.openxmlformats.org/officeDocument/2006/relationships/hyperlink" Target="https://www.tradingview.com/chart/Q1c5VWwD/?symbol=dtil" TargetMode="External" Id="rId161" /><Relationship Type="http://schemas.openxmlformats.org/officeDocument/2006/relationships/hyperlink" Target="https://www.tradingview.com/chart/Q1c5VWwD/?symbol=duk" TargetMode="External" Id="rId162" /><Relationship Type="http://schemas.openxmlformats.org/officeDocument/2006/relationships/hyperlink" Target="https://www.tradingview.com/chart/Q1c5VWwD/?symbol=duol" TargetMode="External" Id="rId163" /><Relationship Type="http://schemas.openxmlformats.org/officeDocument/2006/relationships/hyperlink" Target="https://www.tradingview.com/chart/Q1c5VWwD/?symbol=dvn" TargetMode="External" Id="rId164" /><Relationship Type="http://schemas.openxmlformats.org/officeDocument/2006/relationships/hyperlink" Target="https://www.tradingview.com/chart/Q1c5VWwD/?symbol=ebay" TargetMode="External" Id="rId165" /><Relationship Type="http://schemas.openxmlformats.org/officeDocument/2006/relationships/hyperlink" Target="https://www.tradingview.com/chart/Q1c5VWwD/?symbol=ecl" TargetMode="External" Id="rId166" /><Relationship Type="http://schemas.openxmlformats.org/officeDocument/2006/relationships/hyperlink" Target="https://www.tradingview.com/chart/Q1c5VWwD/?symbol=ee" TargetMode="External" Id="rId167" /><Relationship Type="http://schemas.openxmlformats.org/officeDocument/2006/relationships/hyperlink" Target="https://www.tradingview.com/chart/Q1c5VWwD/?symbol=egp" TargetMode="External" Id="rId168" /><Relationship Type="http://schemas.openxmlformats.org/officeDocument/2006/relationships/hyperlink" Target="https://www.tradingview.com/chart/Q1c5VWwD/?symbol=ehc" TargetMode="External" Id="rId169" /><Relationship Type="http://schemas.openxmlformats.org/officeDocument/2006/relationships/hyperlink" Target="https://www.tradingview.com/chart/Q1c5VWwD/?symbol=el" TargetMode="External" Id="rId170" /><Relationship Type="http://schemas.openxmlformats.org/officeDocument/2006/relationships/hyperlink" Target="https://www.tradingview.com/chart/Q1c5VWwD/?symbol=elv" TargetMode="External" Id="rId171" /><Relationship Type="http://schemas.openxmlformats.org/officeDocument/2006/relationships/hyperlink" Target="https://www.tradingview.com/chart/Q1c5VWwD/?symbol=eme" TargetMode="External" Id="rId172" /><Relationship Type="http://schemas.openxmlformats.org/officeDocument/2006/relationships/hyperlink" Target="https://www.tradingview.com/chart/Q1c5VWwD/?symbol=emr" TargetMode="External" Id="rId173" /><Relationship Type="http://schemas.openxmlformats.org/officeDocument/2006/relationships/hyperlink" Target="https://www.tradingview.com/chart/Q1c5VWwD/?symbol=enph" TargetMode="External" Id="rId174" /><Relationship Type="http://schemas.openxmlformats.org/officeDocument/2006/relationships/hyperlink" Target="https://www.tradingview.com/chart/Q1c5VWwD/?symbol=eog" TargetMode="External" Id="rId175" /><Relationship Type="http://schemas.openxmlformats.org/officeDocument/2006/relationships/hyperlink" Target="https://www.tradingview.com/chart/Q1c5VWwD/?symbol=epam" TargetMode="External" Id="rId176" /><Relationship Type="http://schemas.openxmlformats.org/officeDocument/2006/relationships/hyperlink" Target="https://www.tradingview.com/chart/Q1c5VWwD/?symbol=epd" TargetMode="External" Id="rId177" /><Relationship Type="http://schemas.openxmlformats.org/officeDocument/2006/relationships/hyperlink" Target="https://www.tradingview.com/chart/Q1c5VWwD/?symbol=eqh" TargetMode="External" Id="rId178" /><Relationship Type="http://schemas.openxmlformats.org/officeDocument/2006/relationships/hyperlink" Target="https://www.tradingview.com/chart/Q1c5VWwD/?symbol=eqix" TargetMode="External" Id="rId179" /><Relationship Type="http://schemas.openxmlformats.org/officeDocument/2006/relationships/hyperlink" Target="https://www.tradingview.com/chart/Q1c5VWwD/?symbol=et" TargetMode="External" Id="rId180" /><Relationship Type="http://schemas.openxmlformats.org/officeDocument/2006/relationships/hyperlink" Target="https://www.tradingview.com/chart/Q1c5VWwD/?symbol=etn" TargetMode="External" Id="rId181" /><Relationship Type="http://schemas.openxmlformats.org/officeDocument/2006/relationships/hyperlink" Target="https://www.tradingview.com/chart/Q1c5VWwD/?symbol=evr" TargetMode="External" Id="rId182" /><Relationship Type="http://schemas.openxmlformats.org/officeDocument/2006/relationships/hyperlink" Target="https://www.tradingview.com/chart/Q1c5VWwD/?symbol=exr" TargetMode="External" Id="rId183" /><Relationship Type="http://schemas.openxmlformats.org/officeDocument/2006/relationships/hyperlink" Target="https://www.tradingview.com/chart/Q1c5VWwD/?symbol=f" TargetMode="External" Id="rId184" /><Relationship Type="http://schemas.openxmlformats.org/officeDocument/2006/relationships/hyperlink" Target="https://www.tradingview.com/chart/Q1c5VWwD/?symbol=fang" TargetMode="External" Id="rId185" /><Relationship Type="http://schemas.openxmlformats.org/officeDocument/2006/relationships/hyperlink" Target="https://www.tradingview.com/chart/Q1c5VWwD/?symbol=fate" TargetMode="External" Id="rId186" /><Relationship Type="http://schemas.openxmlformats.org/officeDocument/2006/relationships/hyperlink" Target="https://www.tradingview.com/chart/Q1c5VWwD/?symbol=fcx" TargetMode="External" Id="rId187" /><Relationship Type="http://schemas.openxmlformats.org/officeDocument/2006/relationships/hyperlink" Target="https://www.tradingview.com/chart/Q1c5VWwD/?symbol=fdx" TargetMode="External" Id="rId188" /><Relationship Type="http://schemas.openxmlformats.org/officeDocument/2006/relationships/hyperlink" Target="https://www.tradingview.com/chart/Q1c5VWwD/?symbol=flex" TargetMode="External" Id="rId189" /><Relationship Type="http://schemas.openxmlformats.org/officeDocument/2006/relationships/hyperlink" Target="https://www.tradingview.com/chart/Q1c5VWwD/?symbol=flr" TargetMode="External" Id="rId190" /><Relationship Type="http://schemas.openxmlformats.org/officeDocument/2006/relationships/hyperlink" Target="https://www.tradingview.com/chart/Q1c5VWwD/?symbol=flut" TargetMode="External" Id="rId191" /><Relationship Type="http://schemas.openxmlformats.org/officeDocument/2006/relationships/hyperlink" Target="https://www.tradingview.com/chart/Q1c5VWwD/?symbol=fn" TargetMode="External" Id="rId192" /><Relationship Type="http://schemas.openxmlformats.org/officeDocument/2006/relationships/hyperlink" Target="https://www.tradingview.com/chart/Q1c5VWwD/?symbol=form" TargetMode="External" Id="rId193" /><Relationship Type="http://schemas.openxmlformats.org/officeDocument/2006/relationships/hyperlink" Target="https://www.tradingview.com/chart/Q1c5VWwD/?symbol=fr" TargetMode="External" Id="rId194" /><Relationship Type="http://schemas.openxmlformats.org/officeDocument/2006/relationships/hyperlink" Target="https://www.tradingview.com/chart/Q1c5VWwD/?symbol=frt" TargetMode="External" Id="rId195" /><Relationship Type="http://schemas.openxmlformats.org/officeDocument/2006/relationships/hyperlink" Target="https://www.tradingview.com/chart/Q1c5VWwD/?symbol=fslr" TargetMode="External" Id="rId196" /><Relationship Type="http://schemas.openxmlformats.org/officeDocument/2006/relationships/hyperlink" Target="https://www.tradingview.com/chart/Q1c5VWwD/?symbol=ftnt" TargetMode="External" Id="rId197" /><Relationship Type="http://schemas.openxmlformats.org/officeDocument/2006/relationships/hyperlink" Target="https://www.tradingview.com/chart/Q1c5VWwD/?symbol=fwonk" TargetMode="External" Id="rId198" /><Relationship Type="http://schemas.openxmlformats.org/officeDocument/2006/relationships/hyperlink" Target="https://www.tradingview.com/chart/Q1c5VWwD/?symbol=gd" TargetMode="External" Id="rId199" /><Relationship Type="http://schemas.openxmlformats.org/officeDocument/2006/relationships/hyperlink" Target="https://www.tradingview.com/chart/Q1c5VWwD/?symbol=gev" TargetMode="External" Id="rId200" /><Relationship Type="http://schemas.openxmlformats.org/officeDocument/2006/relationships/hyperlink" Target="https://www.tradingview.com/chart/Q1c5VWwD/?symbol=gfs" TargetMode="External" Id="rId201" /><Relationship Type="http://schemas.openxmlformats.org/officeDocument/2006/relationships/hyperlink" Target="https://www.tradingview.com/chart/Q1c5VWwD/?symbol=gild" TargetMode="External" Id="rId202" /><Relationship Type="http://schemas.openxmlformats.org/officeDocument/2006/relationships/hyperlink" Target="https://www.tradingview.com/chart/Q1c5VWwD/?symbol=gis" TargetMode="External" Id="rId203" /><Relationship Type="http://schemas.openxmlformats.org/officeDocument/2006/relationships/hyperlink" Target="https://www.tradingview.com/chart/Q1c5VWwD/?symbol=glng" TargetMode="External" Id="rId204" /><Relationship Type="http://schemas.openxmlformats.org/officeDocument/2006/relationships/hyperlink" Target="https://www.tradingview.com/chart/Q1c5VWwD/?symbol=glpi" TargetMode="External" Id="rId205" /><Relationship Type="http://schemas.openxmlformats.org/officeDocument/2006/relationships/hyperlink" Target="https://www.tradingview.com/chart/Q1c5VWwD/?symbol=glw" TargetMode="External" Id="rId206" /><Relationship Type="http://schemas.openxmlformats.org/officeDocument/2006/relationships/hyperlink" Target="https://www.tradingview.com/chart/Q1c5VWwD/?symbol=gm" TargetMode="External" Id="rId207" /><Relationship Type="http://schemas.openxmlformats.org/officeDocument/2006/relationships/hyperlink" Target="https://www.tradingview.com/chart/Q1c5VWwD/?symbol=gnrc" TargetMode="External" Id="rId208" /><Relationship Type="http://schemas.openxmlformats.org/officeDocument/2006/relationships/hyperlink" Target="https://www.tradingview.com/chart/Q1c5VWwD/?symbol=gold" TargetMode="External" Id="rId209" /><Relationship Type="http://schemas.openxmlformats.org/officeDocument/2006/relationships/hyperlink" Target="https://www.tradingview.com/chart/Q1c5VWwD/?symbol=googl" TargetMode="External" Id="rId210" /><Relationship Type="http://schemas.openxmlformats.org/officeDocument/2006/relationships/hyperlink" Target="https://www.tradingview.com/chart/Q1c5VWwD/?symbol=gpn" TargetMode="External" Id="rId211" /><Relationship Type="http://schemas.openxmlformats.org/officeDocument/2006/relationships/hyperlink" Target="https://www.tradingview.com/chart/Q1c5VWwD/?symbol=gs" TargetMode="External" Id="rId212" /><Relationship Type="http://schemas.openxmlformats.org/officeDocument/2006/relationships/hyperlink" Target="https://www.tradingview.com/chart/Q1c5VWwD/?symbol=hal" TargetMode="External" Id="rId213" /><Relationship Type="http://schemas.openxmlformats.org/officeDocument/2006/relationships/hyperlink" Target="https://www.tradingview.com/chart/Q1c5VWwD/?symbol=hbm" TargetMode="External" Id="rId214" /><Relationship Type="http://schemas.openxmlformats.org/officeDocument/2006/relationships/hyperlink" Target="https://www.tradingview.com/chart/Q1c5VWwD/?symbol=hca" TargetMode="External" Id="rId215" /><Relationship Type="http://schemas.openxmlformats.org/officeDocument/2006/relationships/hyperlink" Target="https://www.tradingview.com/chart/Q1c5VWwD/?symbol=hcc" TargetMode="External" Id="rId216" /><Relationship Type="http://schemas.openxmlformats.org/officeDocument/2006/relationships/hyperlink" Target="https://www.tradingview.com/chart/Q1c5VWwD/?symbol=hd" TargetMode="External" Id="rId217" /><Relationship Type="http://schemas.openxmlformats.org/officeDocument/2006/relationships/hyperlink" Target="https://www.tradingview.com/chart/Q1c5VWwD/?symbol=hims" TargetMode="External" Id="rId218" /><Relationship Type="http://schemas.openxmlformats.org/officeDocument/2006/relationships/hyperlink" Target="https://www.tradingview.com/chart/Q1c5VWwD/?symbol=hiw" TargetMode="External" Id="rId219" /><Relationship Type="http://schemas.openxmlformats.org/officeDocument/2006/relationships/hyperlink" Target="https://www.tradingview.com/chart/Q1c5VWwD/?symbol=hl" TargetMode="External" Id="rId220" /><Relationship Type="http://schemas.openxmlformats.org/officeDocument/2006/relationships/hyperlink" Target="https://www.tradingview.com/chart/Q1c5VWwD/?symbol=hlt" TargetMode="External" Id="rId221" /><Relationship Type="http://schemas.openxmlformats.org/officeDocument/2006/relationships/hyperlink" Target="https://www.tradingview.com/chart/Q1c5VWwD/?symbol=hon" TargetMode="External" Id="rId222" /><Relationship Type="http://schemas.openxmlformats.org/officeDocument/2006/relationships/hyperlink" Target="https://www.tradingview.com/chart/Q1c5VWwD/?symbol=hood" TargetMode="External" Id="rId223" /><Relationship Type="http://schemas.openxmlformats.org/officeDocument/2006/relationships/hyperlink" Target="https://www.tradingview.com/chart/Q1c5VWwD/?symbol=hpe" TargetMode="External" Id="rId224" /><Relationship Type="http://schemas.openxmlformats.org/officeDocument/2006/relationships/hyperlink" Target="https://www.tradingview.com/chart/Q1c5VWwD/?symbol=hrb" TargetMode="External" Id="rId225" /><Relationship Type="http://schemas.openxmlformats.org/officeDocument/2006/relationships/hyperlink" Target="https://www.tradingview.com/chart/Q1c5VWwD/?symbol=hsy" TargetMode="External" Id="rId226" /><Relationship Type="http://schemas.openxmlformats.org/officeDocument/2006/relationships/hyperlink" Target="https://www.tradingview.com/chart/Q1c5VWwD/?symbol=hto" TargetMode="External" Id="rId227" /><Relationship Type="http://schemas.openxmlformats.org/officeDocument/2006/relationships/hyperlink" Target="https://www.tradingview.com/chart/Q1c5VWwD/?symbol=hubb" TargetMode="External" Id="rId228" /><Relationship Type="http://schemas.openxmlformats.org/officeDocument/2006/relationships/hyperlink" Target="https://www.tradingview.com/chart/Q1c5VWwD/?symbol=hum" TargetMode="External" Id="rId229" /><Relationship Type="http://schemas.openxmlformats.org/officeDocument/2006/relationships/hyperlink" Target="https://www.tradingview.com/chart/Q1c5VWwD/?symbol=ibm" TargetMode="External" Id="rId230" /><Relationship Type="http://schemas.openxmlformats.org/officeDocument/2006/relationships/hyperlink" Target="https://www.tradingview.com/chart/Q1c5VWwD/?symbol=ice" TargetMode="External" Id="rId231" /><Relationship Type="http://schemas.openxmlformats.org/officeDocument/2006/relationships/hyperlink" Target="https://www.tradingview.com/chart/Q1c5VWwD/?symbol=ilmn" TargetMode="External" Id="rId232" /><Relationship Type="http://schemas.openxmlformats.org/officeDocument/2006/relationships/hyperlink" Target="https://www.tradingview.com/chart/Q1c5VWwD/?symbol=infy" TargetMode="External" Id="rId233" /><Relationship Type="http://schemas.openxmlformats.org/officeDocument/2006/relationships/hyperlink" Target="https://www.tradingview.com/chart/Q1c5VWwD/?symbol=ingr" TargetMode="External" Id="rId234" /><Relationship Type="http://schemas.openxmlformats.org/officeDocument/2006/relationships/hyperlink" Target="https://www.tradingview.com/chart/Q1c5VWwD/?symbol=intc" TargetMode="External" Id="rId235" /><Relationship Type="http://schemas.openxmlformats.org/officeDocument/2006/relationships/hyperlink" Target="https://www.tradingview.com/chart/Q1c5VWwD/?symbol=invh" TargetMode="External" Id="rId236" /><Relationship Type="http://schemas.openxmlformats.org/officeDocument/2006/relationships/hyperlink" Target="https://www.tradingview.com/chart/Q1c5VWwD/?symbol=ionq" TargetMode="External" Id="rId237" /><Relationship Type="http://schemas.openxmlformats.org/officeDocument/2006/relationships/hyperlink" Target="https://www.tradingview.com/chart/Q1c5VWwD/?symbol=ions" TargetMode="External" Id="rId238" /><Relationship Type="http://schemas.openxmlformats.org/officeDocument/2006/relationships/hyperlink" Target="https://www.tradingview.com/chart/Q1c5VWwD/?symbol=iova" TargetMode="External" Id="rId239" /><Relationship Type="http://schemas.openxmlformats.org/officeDocument/2006/relationships/hyperlink" Target="https://www.tradingview.com/chart/Q1c5VWwD/?symbol=ip" TargetMode="External" Id="rId240" /><Relationship Type="http://schemas.openxmlformats.org/officeDocument/2006/relationships/hyperlink" Target="https://www.tradingview.com/chart/Q1c5VWwD/?symbol=ipgp" TargetMode="External" Id="rId241" /><Relationship Type="http://schemas.openxmlformats.org/officeDocument/2006/relationships/hyperlink" Target="https://www.tradingview.com/chart/Q1c5VWwD/?symbol=iren" TargetMode="External" Id="rId242" /><Relationship Type="http://schemas.openxmlformats.org/officeDocument/2006/relationships/hyperlink" Target="https://www.tradingview.com/chart/Q1c5VWwD/?symbol=isrg" TargetMode="External" Id="rId243" /><Relationship Type="http://schemas.openxmlformats.org/officeDocument/2006/relationships/hyperlink" Target="https://www.tradingview.com/chart/Q1c5VWwD/?symbol=j" TargetMode="External" Id="rId244" /><Relationship Type="http://schemas.openxmlformats.org/officeDocument/2006/relationships/hyperlink" Target="https://www.tradingview.com/chart/Q1c5VWwD/?symbol=jbht" TargetMode="External" Id="rId245" /><Relationship Type="http://schemas.openxmlformats.org/officeDocument/2006/relationships/hyperlink" Target="https://www.tradingview.com/chart/Q1c5VWwD/?symbol=jbl" TargetMode="External" Id="rId246" /><Relationship Type="http://schemas.openxmlformats.org/officeDocument/2006/relationships/hyperlink" Target="https://www.tradingview.com/chart/Q1c5VWwD/?symbol=jci" TargetMode="External" Id="rId247" /><Relationship Type="http://schemas.openxmlformats.org/officeDocument/2006/relationships/hyperlink" Target="https://www.tradingview.com/chart/Q1c5VWwD/?symbol=jef" TargetMode="External" Id="rId248" /><Relationship Type="http://schemas.openxmlformats.org/officeDocument/2006/relationships/hyperlink" Target="https://www.tradingview.com/chart/Q1c5VWwD/?symbol=jll" TargetMode="External" Id="rId249" /><Relationship Type="http://schemas.openxmlformats.org/officeDocument/2006/relationships/hyperlink" Target="https://www.tradingview.com/chart/Q1c5VWwD/?symbol=jnj" TargetMode="External" Id="rId250" /><Relationship Type="http://schemas.openxmlformats.org/officeDocument/2006/relationships/hyperlink" Target="https://www.tradingview.com/chart/Q1c5VWwD/?symbol=jpm" TargetMode="External" Id="rId251" /><Relationship Type="http://schemas.openxmlformats.org/officeDocument/2006/relationships/hyperlink" Target="https://www.tradingview.com/chart/Q1c5VWwD/?symbol=kalu" TargetMode="External" Id="rId252" /><Relationship Type="http://schemas.openxmlformats.org/officeDocument/2006/relationships/hyperlink" Target="https://www.tradingview.com/chart/Q1c5VWwD/?symbol=kdp" TargetMode="External" Id="rId253" /><Relationship Type="http://schemas.openxmlformats.org/officeDocument/2006/relationships/hyperlink" Target="https://www.tradingview.com/chart/Q1c5VWwD/?symbol=kgc" TargetMode="External" Id="rId254" /><Relationship Type="http://schemas.openxmlformats.org/officeDocument/2006/relationships/hyperlink" Target="https://www.tradingview.com/chart/Q1c5VWwD/?symbol=khc" TargetMode="External" Id="rId255" /><Relationship Type="http://schemas.openxmlformats.org/officeDocument/2006/relationships/hyperlink" Target="https://www.tradingview.com/chart/Q1c5VWwD/?symbol=kim" TargetMode="External" Id="rId256" /><Relationship Type="http://schemas.openxmlformats.org/officeDocument/2006/relationships/hyperlink" Target="https://www.tradingview.com/chart/Q1c5VWwD/?symbol=kkr" TargetMode="External" Id="rId257" /><Relationship Type="http://schemas.openxmlformats.org/officeDocument/2006/relationships/hyperlink" Target="https://www.tradingview.com/chart/Q1c5VWwD/?symbol=klac" TargetMode="External" Id="rId258" /><Relationship Type="http://schemas.openxmlformats.org/officeDocument/2006/relationships/hyperlink" Target="https://www.tradingview.com/chart/Q1c5VWwD/?symbol=kmb" TargetMode="External" Id="rId259" /><Relationship Type="http://schemas.openxmlformats.org/officeDocument/2006/relationships/hyperlink" Target="https://www.tradingview.com/chart/Q1c5VWwD/?symbol=kmi" TargetMode="External" Id="rId260" /><Relationship Type="http://schemas.openxmlformats.org/officeDocument/2006/relationships/hyperlink" Target="https://www.tradingview.com/chart/Q1c5VWwD/?symbol=ko" TargetMode="External" Id="rId261" /><Relationship Type="http://schemas.openxmlformats.org/officeDocument/2006/relationships/hyperlink" Target="https://www.tradingview.com/chart/Q1c5VWwD/?symbol=kr" TargetMode="External" Id="rId262" /><Relationship Type="http://schemas.openxmlformats.org/officeDocument/2006/relationships/hyperlink" Target="https://www.tradingview.com/chart/Q1c5VWwD/?symbol=ktos" TargetMode="External" Id="rId263" /><Relationship Type="http://schemas.openxmlformats.org/officeDocument/2006/relationships/hyperlink" Target="https://www.tradingview.com/chart/Q1c5VWwD/?symbol=lamr" TargetMode="External" Id="rId264" /><Relationship Type="http://schemas.openxmlformats.org/officeDocument/2006/relationships/hyperlink" Target="https://www.tradingview.com/chart/Q1c5VWwD/?symbol=lasr" TargetMode="External" Id="rId265" /><Relationship Type="http://schemas.openxmlformats.org/officeDocument/2006/relationships/hyperlink" Target="https://www.tradingview.com/chart/Q1c5VWwD/?symbol=laz" TargetMode="External" Id="rId266" /><Relationship Type="http://schemas.openxmlformats.org/officeDocument/2006/relationships/hyperlink" Target="https://www.tradingview.com/chart/Q1c5VWwD/?symbol=lcid" TargetMode="External" Id="rId267" /><Relationship Type="http://schemas.openxmlformats.org/officeDocument/2006/relationships/hyperlink" Target="https://www.tradingview.com/chart/Q1c5VWwD/?symbol=lea" TargetMode="External" Id="rId268" /><Relationship Type="http://schemas.openxmlformats.org/officeDocument/2006/relationships/hyperlink" Target="https://www.tradingview.com/chart/Q1c5VWwD/?symbol=legn" TargetMode="External" Id="rId269" /><Relationship Type="http://schemas.openxmlformats.org/officeDocument/2006/relationships/hyperlink" Target="https://www.tradingview.com/chart/Q1c5VWwD/?symbol=len" TargetMode="External" Id="rId270" /><Relationship Type="http://schemas.openxmlformats.org/officeDocument/2006/relationships/hyperlink" Target="https://www.tradingview.com/chart/Q1c5VWwD/?symbol=leu" TargetMode="External" Id="rId271" /><Relationship Type="http://schemas.openxmlformats.org/officeDocument/2006/relationships/hyperlink" Target="https://www.tradingview.com/chart/Q1c5VWwD/?symbol=lhx" TargetMode="External" Id="rId272" /><Relationship Type="http://schemas.openxmlformats.org/officeDocument/2006/relationships/hyperlink" Target="https://www.tradingview.com/chart/Q1c5VWwD/?symbol=lii" TargetMode="External" Id="rId273" /><Relationship Type="http://schemas.openxmlformats.org/officeDocument/2006/relationships/hyperlink" Target="https://www.tradingview.com/chart/Q1c5VWwD/?symbol=lin" TargetMode="External" Id="rId274" /><Relationship Type="http://schemas.openxmlformats.org/officeDocument/2006/relationships/hyperlink" Target="https://www.tradingview.com/chart/Q1c5VWwD/?symbol=lite" TargetMode="External" Id="rId275" /><Relationship Type="http://schemas.openxmlformats.org/officeDocument/2006/relationships/hyperlink" Target="https://www.tradingview.com/chart/Q1c5VWwD/?symbol=lly" TargetMode="External" Id="rId276" /><Relationship Type="http://schemas.openxmlformats.org/officeDocument/2006/relationships/hyperlink" Target="https://www.tradingview.com/chart/Q1c5VWwD/?symbol=lmt" TargetMode="External" Id="rId277" /><Relationship Type="http://schemas.openxmlformats.org/officeDocument/2006/relationships/hyperlink" Target="https://www.tradingview.com/chart/Q1c5VWwD/?symbol=lnc" TargetMode="External" Id="rId278" /><Relationship Type="http://schemas.openxmlformats.org/officeDocument/2006/relationships/hyperlink" Target="https://www.tradingview.com/chart/Q1c5VWwD/?symbol=lng" TargetMode="External" Id="rId279" /><Relationship Type="http://schemas.openxmlformats.org/officeDocument/2006/relationships/hyperlink" Target="https://www.tradingview.com/chart/Q1c5VWwD/?symbol=low" TargetMode="External" Id="rId280" /><Relationship Type="http://schemas.openxmlformats.org/officeDocument/2006/relationships/hyperlink" Target="https://www.tradingview.com/chart/Q1c5VWwD/?symbol=lpth" TargetMode="External" Id="rId281" /><Relationship Type="http://schemas.openxmlformats.org/officeDocument/2006/relationships/hyperlink" Target="https://www.tradingview.com/chart/Q1c5VWwD/?symbol=lrcx" TargetMode="External" Id="rId282" /><Relationship Type="http://schemas.openxmlformats.org/officeDocument/2006/relationships/hyperlink" Target="https://www.tradingview.com/chart/Q1c5VWwD/?symbol=lrn" TargetMode="External" Id="rId283" /><Relationship Type="http://schemas.openxmlformats.org/officeDocument/2006/relationships/hyperlink" Target="https://www.tradingview.com/chart/Q1c5VWwD/?symbol=lulu" TargetMode="External" Id="rId284" /><Relationship Type="http://schemas.openxmlformats.org/officeDocument/2006/relationships/hyperlink" Target="https://www.tradingview.com/chart/Q1c5VWwD/?symbol=lunr" TargetMode="External" Id="rId285" /><Relationship Type="http://schemas.openxmlformats.org/officeDocument/2006/relationships/hyperlink" Target="https://www.tradingview.com/chart/Q1c5VWwD/?symbol=luv" TargetMode="External" Id="rId286" /><Relationship Type="http://schemas.openxmlformats.org/officeDocument/2006/relationships/hyperlink" Target="https://www.tradingview.com/chart/Q1c5VWwD/?symbol=lvs" TargetMode="External" Id="rId287" /><Relationship Type="http://schemas.openxmlformats.org/officeDocument/2006/relationships/hyperlink" Target="https://www.tradingview.com/chart/Q1c5VWwD/?symbol=lwlg" TargetMode="External" Id="rId288" /><Relationship Type="http://schemas.openxmlformats.org/officeDocument/2006/relationships/hyperlink" Target="https://www.tradingview.com/chart/Q1c5VWwD/?symbol=lyb" TargetMode="External" Id="rId289" /><Relationship Type="http://schemas.openxmlformats.org/officeDocument/2006/relationships/hyperlink" Target="https://www.tradingview.com/chart/Q1c5VWwD/?symbol=lyv" TargetMode="External" Id="rId290" /><Relationship Type="http://schemas.openxmlformats.org/officeDocument/2006/relationships/hyperlink" Target="https://www.tradingview.com/chart/Q1c5VWwD/?symbol=ma" TargetMode="External" Id="rId291" /><Relationship Type="http://schemas.openxmlformats.org/officeDocument/2006/relationships/hyperlink" Target="https://www.tradingview.com/chart/Q1c5VWwD/?symbol=maa" TargetMode="External" Id="rId292" /><Relationship Type="http://schemas.openxmlformats.org/officeDocument/2006/relationships/hyperlink" Target="https://www.tradingview.com/chart/Q1c5VWwD/?symbol=man" TargetMode="External" Id="rId293" /><Relationship Type="http://schemas.openxmlformats.org/officeDocument/2006/relationships/hyperlink" Target="https://www.tradingview.com/chart/Q1c5VWwD/?symbol=mar" TargetMode="External" Id="rId294" /><Relationship Type="http://schemas.openxmlformats.org/officeDocument/2006/relationships/hyperlink" Target="https://www.tradingview.com/chart/Q1c5VWwD/?symbol=mara" TargetMode="External" Id="rId295" /><Relationship Type="http://schemas.openxmlformats.org/officeDocument/2006/relationships/hyperlink" Target="https://www.tradingview.com/chart/Q1c5VWwD/?symbol=mcd" TargetMode="External" Id="rId296" /><Relationship Type="http://schemas.openxmlformats.org/officeDocument/2006/relationships/hyperlink" Target="https://www.tradingview.com/chart/Q1c5VWwD/?symbol=mck" TargetMode="External" Id="rId297" /><Relationship Type="http://schemas.openxmlformats.org/officeDocument/2006/relationships/hyperlink" Target="https://www.tradingview.com/chart/Q1c5VWwD/?symbol=mdb" TargetMode="External" Id="rId298" /><Relationship Type="http://schemas.openxmlformats.org/officeDocument/2006/relationships/hyperlink" Target="https://www.tradingview.com/chart/Q1c5VWwD/?symbol=mdgl" TargetMode="External" Id="rId299" /><Relationship Type="http://schemas.openxmlformats.org/officeDocument/2006/relationships/hyperlink" Target="https://www.tradingview.com/chart/Q1c5VWwD/?symbol=mdt" TargetMode="External" Id="rId300" /><Relationship Type="http://schemas.openxmlformats.org/officeDocument/2006/relationships/hyperlink" Target="https://www.tradingview.com/chart/Q1c5VWwD/?symbol=met" TargetMode="External" Id="rId301" /><Relationship Type="http://schemas.openxmlformats.org/officeDocument/2006/relationships/hyperlink" Target="https://www.tradingview.com/chart/Q1c5VWwD/?symbol=meta" TargetMode="External" Id="rId302" /><Relationship Type="http://schemas.openxmlformats.org/officeDocument/2006/relationships/hyperlink" Target="https://www.tradingview.com/chart/Q1c5VWwD/?symbol=metc" TargetMode="External" Id="rId303" /><Relationship Type="http://schemas.openxmlformats.org/officeDocument/2006/relationships/hyperlink" Target="https://www.tradingview.com/chart/Q1c5VWwD/?symbol=mga" TargetMode="External" Id="rId304" /><Relationship Type="http://schemas.openxmlformats.org/officeDocument/2006/relationships/hyperlink" Target="https://www.tradingview.com/chart/Q1c5VWwD/?symbol=mgm" TargetMode="External" Id="rId305" /><Relationship Type="http://schemas.openxmlformats.org/officeDocument/2006/relationships/hyperlink" Target="https://www.tradingview.com/chart/Q1c5VWwD/?symbol=mhk" TargetMode="External" Id="rId306" /><Relationship Type="http://schemas.openxmlformats.org/officeDocument/2006/relationships/hyperlink" Target="https://www.tradingview.com/chart/Q1c5VWwD/?symbol=mlm" TargetMode="External" Id="rId307" /><Relationship Type="http://schemas.openxmlformats.org/officeDocument/2006/relationships/hyperlink" Target="https://www.tradingview.com/chart/Q1c5VWwD/?symbol=mnst" TargetMode="External" Id="rId308" /><Relationship Type="http://schemas.openxmlformats.org/officeDocument/2006/relationships/hyperlink" Target="https://www.tradingview.com/chart/Q1c5VWwD/?symbol=mo" TargetMode="External" Id="rId309" /><Relationship Type="http://schemas.openxmlformats.org/officeDocument/2006/relationships/hyperlink" Target="https://www.tradingview.com/chart/Q1c5VWwD/?symbol=mod" TargetMode="External" Id="rId310" /><Relationship Type="http://schemas.openxmlformats.org/officeDocument/2006/relationships/hyperlink" Target="https://www.tradingview.com/chart/Q1c5VWwD/?symbol=mos" TargetMode="External" Id="rId311" /><Relationship Type="http://schemas.openxmlformats.org/officeDocument/2006/relationships/hyperlink" Target="https://www.tradingview.com/chart/Q1c5VWwD/?symbol=mp" TargetMode="External" Id="rId312" /><Relationship Type="http://schemas.openxmlformats.org/officeDocument/2006/relationships/hyperlink" Target="https://www.tradingview.com/chart/Q1c5VWwD/?symbol=mpc" TargetMode="External" Id="rId313" /><Relationship Type="http://schemas.openxmlformats.org/officeDocument/2006/relationships/hyperlink" Target="https://www.tradingview.com/chart/Q1c5VWwD/?symbol=mpwr" TargetMode="External" Id="rId314" /><Relationship Type="http://schemas.openxmlformats.org/officeDocument/2006/relationships/hyperlink" Target="https://www.tradingview.com/chart/Q1c5VWwD/?symbol=mrk" TargetMode="External" Id="rId315" /><Relationship Type="http://schemas.openxmlformats.org/officeDocument/2006/relationships/hyperlink" Target="https://www.tradingview.com/chart/Q1c5VWwD/?symbol=mrvl" TargetMode="External" Id="rId316" /><Relationship Type="http://schemas.openxmlformats.org/officeDocument/2006/relationships/hyperlink" Target="https://www.tradingview.com/chart/Q1c5VWwD/?symbol=ms" TargetMode="External" Id="rId317" /><Relationship Type="http://schemas.openxmlformats.org/officeDocument/2006/relationships/hyperlink" Target="https://www.tradingview.com/chart/Q1c5VWwD/?symbol=msft" TargetMode="External" Id="rId318" /><Relationship Type="http://schemas.openxmlformats.org/officeDocument/2006/relationships/hyperlink" Target="https://www.tradingview.com/chart/Q1c5VWwD/?symbol=mtb" TargetMode="External" Id="rId319" /><Relationship Type="http://schemas.openxmlformats.org/officeDocument/2006/relationships/hyperlink" Target="https://www.tradingview.com/chart/Q1c5VWwD/?symbol=mtch" TargetMode="External" Id="rId320" /><Relationship Type="http://schemas.openxmlformats.org/officeDocument/2006/relationships/hyperlink" Target="https://www.tradingview.com/chart/Q1c5VWwD/?symbol=mtsi" TargetMode="External" Id="rId321" /><Relationship Type="http://schemas.openxmlformats.org/officeDocument/2006/relationships/hyperlink" Target="https://www.tradingview.com/chart/Q1c5VWwD/?symbol=mtz" TargetMode="External" Id="rId322" /><Relationship Type="http://schemas.openxmlformats.org/officeDocument/2006/relationships/hyperlink" Target="https://www.tradingview.com/chart/Q1c5VWwD/?symbol=mu" TargetMode="External" Id="rId323" /><Relationship Type="http://schemas.openxmlformats.org/officeDocument/2006/relationships/hyperlink" Target="https://www.tradingview.com/chart/Q1c5VWwD/?symbol=nb" TargetMode="External" Id="rId324" /><Relationship Type="http://schemas.openxmlformats.org/officeDocument/2006/relationships/hyperlink" Target="https://www.tradingview.com/chart/Q1c5VWwD/?symbol=nbis" TargetMode="External" Id="rId325" /><Relationship Type="http://schemas.openxmlformats.org/officeDocument/2006/relationships/hyperlink" Target="https://www.tradingview.com/chart/Q1c5VWwD/?symbol=nclh" TargetMode="External" Id="rId326" /><Relationship Type="http://schemas.openxmlformats.org/officeDocument/2006/relationships/hyperlink" Target="https://www.tradingview.com/chart/Q1c5VWwD/?symbol=ndaq" TargetMode="External" Id="rId327" /><Relationship Type="http://schemas.openxmlformats.org/officeDocument/2006/relationships/hyperlink" Target="https://www.tradingview.com/chart/Q1c5VWwD/?symbol=ndsn" TargetMode="External" Id="rId328" /><Relationship Type="http://schemas.openxmlformats.org/officeDocument/2006/relationships/hyperlink" Target="https://www.tradingview.com/chart/Q1c5VWwD/?symbol=ne" TargetMode="External" Id="rId329" /><Relationship Type="http://schemas.openxmlformats.org/officeDocument/2006/relationships/hyperlink" Target="https://www.tradingview.com/chart/Q1c5VWwD/?symbol=nee" TargetMode="External" Id="rId330" /><Relationship Type="http://schemas.openxmlformats.org/officeDocument/2006/relationships/hyperlink" Target="https://www.tradingview.com/chart/Q1c5VWwD/?symbol=nem" TargetMode="External" Id="rId331" /><Relationship Type="http://schemas.openxmlformats.org/officeDocument/2006/relationships/hyperlink" Target="https://www.tradingview.com/chart/Q1c5VWwD/?symbol=net" TargetMode="External" Id="rId332" /><Relationship Type="http://schemas.openxmlformats.org/officeDocument/2006/relationships/hyperlink" Target="https://www.tradingview.com/chart/Q1c5VWwD/?symbol=nfe" TargetMode="External" Id="rId333" /><Relationship Type="http://schemas.openxmlformats.org/officeDocument/2006/relationships/hyperlink" Target="https://www.tradingview.com/chart/Q1c5VWwD/?symbol=nflx" TargetMode="External" Id="rId334" /><Relationship Type="http://schemas.openxmlformats.org/officeDocument/2006/relationships/hyperlink" Target="https://www.tradingview.com/chart/Q1c5VWwD/?symbol=ni" TargetMode="External" Id="rId335" /><Relationship Type="http://schemas.openxmlformats.org/officeDocument/2006/relationships/hyperlink" Target="https://www.tradingview.com/chart/Q1c5VWwD/?symbol=njr" TargetMode="External" Id="rId336" /><Relationship Type="http://schemas.openxmlformats.org/officeDocument/2006/relationships/hyperlink" Target="https://www.tradingview.com/chart/Q1c5VWwD/?symbol=nke" TargetMode="External" Id="rId337" /><Relationship Type="http://schemas.openxmlformats.org/officeDocument/2006/relationships/hyperlink" Target="https://www.tradingview.com/chart/Q1c5VWwD/?symbol=nktx" TargetMode="External" Id="rId338" /><Relationship Type="http://schemas.openxmlformats.org/officeDocument/2006/relationships/hyperlink" Target="https://www.tradingview.com/chart/Q1c5VWwD/?symbol=nne" TargetMode="External" Id="rId339" /><Relationship Type="http://schemas.openxmlformats.org/officeDocument/2006/relationships/hyperlink" Target="https://www.tradingview.com/chart/Q1c5VWwD/?symbol=noc" TargetMode="External" Id="rId340" /><Relationship Type="http://schemas.openxmlformats.org/officeDocument/2006/relationships/hyperlink" Target="https://www.tradingview.com/chart/Q1c5VWwD/?symbol=now" TargetMode="External" Id="rId341" /><Relationship Type="http://schemas.openxmlformats.org/officeDocument/2006/relationships/hyperlink" Target="https://www.tradingview.com/chart/Q1c5VWwD/?symbol=nrg" TargetMode="External" Id="rId342" /><Relationship Type="http://schemas.openxmlformats.org/officeDocument/2006/relationships/hyperlink" Target="https://www.tradingview.com/chart/Q1c5VWwD/?symbol=nsc" TargetMode="External" Id="rId343" /><Relationship Type="http://schemas.openxmlformats.org/officeDocument/2006/relationships/hyperlink" Target="https://www.tradingview.com/chart/Q1c5VWwD/?symbol=ntap" TargetMode="External" Id="rId344" /><Relationship Type="http://schemas.openxmlformats.org/officeDocument/2006/relationships/hyperlink" Target="https://www.tradingview.com/chart/Q1c5VWwD/?symbol=ntla" TargetMode="External" Id="rId345" /><Relationship Type="http://schemas.openxmlformats.org/officeDocument/2006/relationships/hyperlink" Target="https://www.tradingview.com/chart/Q1c5VWwD/?symbol=ntr" TargetMode="External" Id="rId346" /><Relationship Type="http://schemas.openxmlformats.org/officeDocument/2006/relationships/hyperlink" Target="https://www.tradingview.com/chart/Q1c5VWwD/?symbol=nue" TargetMode="External" Id="rId347" /><Relationship Type="http://schemas.openxmlformats.org/officeDocument/2006/relationships/hyperlink" Target="https://www.tradingview.com/chart/Q1c5VWwD/?symbol=nvda" TargetMode="External" Id="rId348" /><Relationship Type="http://schemas.openxmlformats.org/officeDocument/2006/relationships/hyperlink" Target="https://www.tradingview.com/chart/Q1c5VWwD/?symbol=nvo" TargetMode="External" Id="rId349" /><Relationship Type="http://schemas.openxmlformats.org/officeDocument/2006/relationships/hyperlink" Target="https://www.tradingview.com/chart/Q1c5VWwD/?symbol=nvr" TargetMode="External" Id="rId350" /><Relationship Type="http://schemas.openxmlformats.org/officeDocument/2006/relationships/hyperlink" Target="https://www.tradingview.com/chart/Q1c5VWwD/?symbol=nwsa" TargetMode="External" Id="rId351" /><Relationship Type="http://schemas.openxmlformats.org/officeDocument/2006/relationships/hyperlink" Target="https://www.tradingview.com/chart/Q1c5VWwD/?symbol=nxpi" TargetMode="External" Id="rId352" /><Relationship Type="http://schemas.openxmlformats.org/officeDocument/2006/relationships/hyperlink" Target="https://www.tradingview.com/chart/Q1c5VWwD/?symbol=nxt" TargetMode="External" Id="rId353" /><Relationship Type="http://schemas.openxmlformats.org/officeDocument/2006/relationships/hyperlink" Target="https://www.tradingview.com/chart/Q1c5VWwD/?symbol=o" TargetMode="External" Id="rId354" /><Relationship Type="http://schemas.openxmlformats.org/officeDocument/2006/relationships/hyperlink" Target="https://www.tradingview.com/chart/Q1c5VWwD/?symbol=odfl" TargetMode="External" Id="rId355" /><Relationship Type="http://schemas.openxmlformats.org/officeDocument/2006/relationships/hyperlink" Target="https://www.tradingview.com/chart/Q1c5VWwD/?symbol=ohi" TargetMode="External" Id="rId356" /><Relationship Type="http://schemas.openxmlformats.org/officeDocument/2006/relationships/hyperlink" Target="https://www.tradingview.com/chart/Q1c5VWwD/?symbol=oke" TargetMode="External" Id="rId357" /><Relationship Type="http://schemas.openxmlformats.org/officeDocument/2006/relationships/hyperlink" Target="https://www.tradingview.com/chart/Q1c5VWwD/?symbol=oklo" TargetMode="External" Id="rId358" /><Relationship Type="http://schemas.openxmlformats.org/officeDocument/2006/relationships/hyperlink" Target="https://www.tradingview.com/chart/Q1c5VWwD/?symbol=on" TargetMode="External" Id="rId359" /><Relationship Type="http://schemas.openxmlformats.org/officeDocument/2006/relationships/hyperlink" Target="https://www.tradingview.com/chart/Q1c5VWwD/?symbol=onds" TargetMode="External" Id="rId360" /><Relationship Type="http://schemas.openxmlformats.org/officeDocument/2006/relationships/hyperlink" Target="https://www.tradingview.com/chart/Q1c5VWwD/?symbol=onon" TargetMode="External" Id="rId361" /><Relationship Type="http://schemas.openxmlformats.org/officeDocument/2006/relationships/hyperlink" Target="https://www.tradingview.com/chart/Q1c5VWwD/?symbol=onto" TargetMode="External" Id="rId362" /><Relationship Type="http://schemas.openxmlformats.org/officeDocument/2006/relationships/hyperlink" Target="https://www.tradingview.com/chart/Q1c5VWwD/?symbol=open" TargetMode="External" Id="rId363" /><Relationship Type="http://schemas.openxmlformats.org/officeDocument/2006/relationships/hyperlink" Target="https://www.tradingview.com/chart/Q1c5VWwD/?symbol=orcl" TargetMode="External" Id="rId364" /><Relationship Type="http://schemas.openxmlformats.org/officeDocument/2006/relationships/hyperlink" Target="https://www.tradingview.com/chart/Q1c5VWwD/?symbol=oscr" TargetMode="External" Id="rId365" /><Relationship Type="http://schemas.openxmlformats.org/officeDocument/2006/relationships/hyperlink" Target="https://www.tradingview.com/chart/Q1c5VWwD/?symbol=owl" TargetMode="External" Id="rId366" /><Relationship Type="http://schemas.openxmlformats.org/officeDocument/2006/relationships/hyperlink" Target="https://www.tradingview.com/chart/Q1c5VWwD/?symbol=oxy" TargetMode="External" Id="rId367" /><Relationship Type="http://schemas.openxmlformats.org/officeDocument/2006/relationships/hyperlink" Target="https://www.tradingview.com/chart/Q1c5VWwD/?symbol=paas" TargetMode="External" Id="rId368" /><Relationship Type="http://schemas.openxmlformats.org/officeDocument/2006/relationships/hyperlink" Target="https://www.tradingview.com/chart/Q1c5VWwD/?symbol=panw" TargetMode="External" Id="rId369" /><Relationship Type="http://schemas.openxmlformats.org/officeDocument/2006/relationships/hyperlink" Target="https://www.tradingview.com/chart/Q1c5VWwD/?symbol=para" TargetMode="External" Id="rId370" /><Relationship Type="http://schemas.openxmlformats.org/officeDocument/2006/relationships/hyperlink" Target="https://www.tradingview.com/chart/Q1c5VWwD/?symbol=payx" TargetMode="External" Id="rId371" /><Relationship Type="http://schemas.openxmlformats.org/officeDocument/2006/relationships/hyperlink" Target="https://www.tradingview.com/chart/Q1c5VWwD/?symbol=pcar" TargetMode="External" Id="rId372" /><Relationship Type="http://schemas.openxmlformats.org/officeDocument/2006/relationships/hyperlink" Target="https://www.tradingview.com/chart/Q1c5VWwD/?symbol=pep" TargetMode="External" Id="rId373" /><Relationship Type="http://schemas.openxmlformats.org/officeDocument/2006/relationships/hyperlink" Target="https://www.tradingview.com/chart/Q1c5VWwD/?symbol=pfe" TargetMode="External" Id="rId374" /><Relationship Type="http://schemas.openxmlformats.org/officeDocument/2006/relationships/hyperlink" Target="https://www.tradingview.com/chart/Q1c5VWwD/?symbol=pfgc" TargetMode="External" Id="rId375" /><Relationship Type="http://schemas.openxmlformats.org/officeDocument/2006/relationships/hyperlink" Target="https://www.tradingview.com/chart/Q1c5VWwD/?symbol=pg" TargetMode="External" Id="rId376" /><Relationship Type="http://schemas.openxmlformats.org/officeDocument/2006/relationships/hyperlink" Target="https://www.tradingview.com/chart/Q1c5VWwD/?symbol=pgr" TargetMode="External" Id="rId377" /><Relationship Type="http://schemas.openxmlformats.org/officeDocument/2006/relationships/hyperlink" Target="https://www.tradingview.com/chart/Q1c5VWwD/?symbol=phm" TargetMode="External" Id="rId378" /><Relationship Type="http://schemas.openxmlformats.org/officeDocument/2006/relationships/hyperlink" Target="https://www.tradingview.com/chart/Q1c5VWwD/?symbol=pins" TargetMode="External" Id="rId379" /><Relationship Type="http://schemas.openxmlformats.org/officeDocument/2006/relationships/hyperlink" Target="https://www.tradingview.com/chart/Q1c5VWwD/?symbol=pkg" TargetMode="External" Id="rId380" /><Relationship Type="http://schemas.openxmlformats.org/officeDocument/2006/relationships/hyperlink" Target="https://www.tradingview.com/chart/Q1c5VWwD/?symbol=pl" TargetMode="External" Id="rId381" /><Relationship Type="http://schemas.openxmlformats.org/officeDocument/2006/relationships/hyperlink" Target="https://www.tradingview.com/chart/Q1c5VWwD/?symbol=pld" TargetMode="External" Id="rId382" /><Relationship Type="http://schemas.openxmlformats.org/officeDocument/2006/relationships/hyperlink" Target="https://www.tradingview.com/chart/Q1c5VWwD/?symbol=pltk" TargetMode="External" Id="rId383" /><Relationship Type="http://schemas.openxmlformats.org/officeDocument/2006/relationships/hyperlink" Target="https://www.tradingview.com/chart/Q1c5VWwD/?symbol=pltr" TargetMode="External" Id="rId384" /><Relationship Type="http://schemas.openxmlformats.org/officeDocument/2006/relationships/hyperlink" Target="https://www.tradingview.com/chart/Q1c5VWwD/?symbol=pm" TargetMode="External" Id="rId385" /><Relationship Type="http://schemas.openxmlformats.org/officeDocument/2006/relationships/hyperlink" Target="https://www.tradingview.com/chart/Q1c5VWwD/?symbol=pnc" TargetMode="External" Id="rId386" /><Relationship Type="http://schemas.openxmlformats.org/officeDocument/2006/relationships/hyperlink" Target="https://www.tradingview.com/chart/Q1c5VWwD/?symbol=poet" TargetMode="External" Id="rId387" /><Relationship Type="http://schemas.openxmlformats.org/officeDocument/2006/relationships/hyperlink" Target="https://www.tradingview.com/chart/Q1c5VWwD/?symbol=pool" TargetMode="External" Id="rId388" /><Relationship Type="http://schemas.openxmlformats.org/officeDocument/2006/relationships/hyperlink" Target="https://www.tradingview.com/chart/Q1c5VWwD/?symbol=prim" TargetMode="External" Id="rId389" /><Relationship Type="http://schemas.openxmlformats.org/officeDocument/2006/relationships/hyperlink" Target="https://www.tradingview.com/chart/Q1c5VWwD/?symbol=pru" TargetMode="External" Id="rId390" /><Relationship Type="http://schemas.openxmlformats.org/officeDocument/2006/relationships/hyperlink" Target="https://www.tradingview.com/chart/Q1c5VWwD/?symbol=psa" TargetMode="External" Id="rId391" /><Relationship Type="http://schemas.openxmlformats.org/officeDocument/2006/relationships/hyperlink" Target="https://www.tradingview.com/chart/Q1c5VWwD/?symbol=psx" TargetMode="External" Id="rId392" /><Relationship Type="http://schemas.openxmlformats.org/officeDocument/2006/relationships/hyperlink" Target="https://www.tradingview.com/chart/Q1c5VWwD/?symbol=pwr" TargetMode="External" Id="rId393" /><Relationship Type="http://schemas.openxmlformats.org/officeDocument/2006/relationships/hyperlink" Target="https://www.tradingview.com/chart/Q1c5VWwD/?symbol=pypl" TargetMode="External" Id="rId394" /><Relationship Type="http://schemas.openxmlformats.org/officeDocument/2006/relationships/hyperlink" Target="https://www.tradingview.com/chart/Q1c5VWwD/?symbol=qbts" TargetMode="External" Id="rId395" /><Relationship Type="http://schemas.openxmlformats.org/officeDocument/2006/relationships/hyperlink" Target="https://www.tradingview.com/chart/Q1c5VWwD/?symbol=qcom" TargetMode="External" Id="rId396" /><Relationship Type="http://schemas.openxmlformats.org/officeDocument/2006/relationships/hyperlink" Target="https://www.tradingview.com/chart/Q1c5VWwD/?symbol=qubt" TargetMode="External" Id="rId397" /><Relationship Type="http://schemas.openxmlformats.org/officeDocument/2006/relationships/hyperlink" Target="https://www.tradingview.com/chart/Q1c5VWwD/?symbol=rblx" TargetMode="External" Id="rId398" /><Relationship Type="http://schemas.openxmlformats.org/officeDocument/2006/relationships/hyperlink" Target="https://www.tradingview.com/chart/Q1c5VWwD/?symbol=rcat" TargetMode="External" Id="rId399" /><Relationship Type="http://schemas.openxmlformats.org/officeDocument/2006/relationships/hyperlink" Target="https://www.tradingview.com/chart/Q1c5VWwD/?symbol=rcl" TargetMode="External" Id="rId400" /><Relationship Type="http://schemas.openxmlformats.org/officeDocument/2006/relationships/hyperlink" Target="https://www.tradingview.com/chart/Q1c5VWwD/?symbol=rddt" TargetMode="External" Id="rId401" /><Relationship Type="http://schemas.openxmlformats.org/officeDocument/2006/relationships/hyperlink" Target="https://www.tradingview.com/chart/Q1c5VWwD/?symbol=rdw" TargetMode="External" Id="rId402" /><Relationship Type="http://schemas.openxmlformats.org/officeDocument/2006/relationships/hyperlink" Target="https://www.tradingview.com/chart/Q1c5VWwD/?symbol=reg" TargetMode="External" Id="rId403" /><Relationship Type="http://schemas.openxmlformats.org/officeDocument/2006/relationships/hyperlink" Target="https://www.tradingview.com/chart/Q1c5VWwD/?symbol=regn" TargetMode="External" Id="rId404" /><Relationship Type="http://schemas.openxmlformats.org/officeDocument/2006/relationships/hyperlink" Target="https://www.tradingview.com/chart/Q1c5VWwD/?symbol=rgld" TargetMode="External" Id="rId405" /><Relationship Type="http://schemas.openxmlformats.org/officeDocument/2006/relationships/hyperlink" Target="https://www.tradingview.com/chart/Q1c5VWwD/?symbol=rgti" TargetMode="External" Id="rId406" /><Relationship Type="http://schemas.openxmlformats.org/officeDocument/2006/relationships/hyperlink" Target="https://www.tradingview.com/chart/Q1c5VWwD/?symbol=rhi" TargetMode="External" Id="rId407" /><Relationship Type="http://schemas.openxmlformats.org/officeDocument/2006/relationships/hyperlink" Target="https://www.tradingview.com/chart/Q1c5VWwD/?symbol=rig" TargetMode="External" Id="rId408" /><Relationship Type="http://schemas.openxmlformats.org/officeDocument/2006/relationships/hyperlink" Target="https://www.tradingview.com/chart/Q1c5VWwD/?symbol=riot" TargetMode="External" Id="rId409" /><Relationship Type="http://schemas.openxmlformats.org/officeDocument/2006/relationships/hyperlink" Target="https://www.tradingview.com/chart/Q1c5VWwD/?symbol=rivn" TargetMode="External" Id="rId410" /><Relationship Type="http://schemas.openxmlformats.org/officeDocument/2006/relationships/hyperlink" Target="https://www.tradingview.com/chart/Q1c5VWwD/?symbol=rklb" TargetMode="External" Id="rId411" /><Relationship Type="http://schemas.openxmlformats.org/officeDocument/2006/relationships/hyperlink" Target="https://www.tradingview.com/chart/Q1c5VWwD/?symbol=rl" TargetMode="External" Id="rId412" /><Relationship Type="http://schemas.openxmlformats.org/officeDocument/2006/relationships/hyperlink" Target="https://www.tradingview.com/chart/Q1c5VWwD/?symbol=rmbs" TargetMode="External" Id="rId413" /><Relationship Type="http://schemas.openxmlformats.org/officeDocument/2006/relationships/hyperlink" Target="https://www.tradingview.com/chart/Q1c5VWwD/?symbol=rnr" TargetMode="External" Id="rId414" /><Relationship Type="http://schemas.openxmlformats.org/officeDocument/2006/relationships/hyperlink" Target="https://www.tradingview.com/chart/Q1c5VWwD/?symbol=rok" TargetMode="External" Id="rId415" /><Relationship Type="http://schemas.openxmlformats.org/officeDocument/2006/relationships/hyperlink" Target="https://www.tradingview.com/chart/Q1c5VWwD/?symbol=roku" TargetMode="External" Id="rId416" /><Relationship Type="http://schemas.openxmlformats.org/officeDocument/2006/relationships/hyperlink" Target="https://www.tradingview.com/chart/Q1c5VWwD/?symbol=rost" TargetMode="External" Id="rId417" /><Relationship Type="http://schemas.openxmlformats.org/officeDocument/2006/relationships/hyperlink" Target="https://www.tradingview.com/chart/Q1c5VWwD/?symbol=rs" TargetMode="External" Id="rId418" /><Relationship Type="http://schemas.openxmlformats.org/officeDocument/2006/relationships/hyperlink" Target="https://www.tradingview.com/chart/Q1c5VWwD/?symbol=rsg" TargetMode="External" Id="rId419" /><Relationship Type="http://schemas.openxmlformats.org/officeDocument/2006/relationships/hyperlink" Target="https://www.tradingview.com/chart/Q1c5VWwD/?symbol=rtx" TargetMode="External" Id="rId420" /><Relationship Type="http://schemas.openxmlformats.org/officeDocument/2006/relationships/hyperlink" Target="https://www.tradingview.com/chart/Q1c5VWwD/?symbol=run" TargetMode="External" Id="rId421" /><Relationship Type="http://schemas.openxmlformats.org/officeDocument/2006/relationships/hyperlink" Target="https://www.tradingview.com/chart/Q1c5VWwD/?symbol=rvmd" TargetMode="External" Id="rId422" /><Relationship Type="http://schemas.openxmlformats.org/officeDocument/2006/relationships/hyperlink" Target="https://www.tradingview.com/chart/Q1c5VWwD/?symbol=rxt" TargetMode="External" Id="rId423" /><Relationship Type="http://schemas.openxmlformats.org/officeDocument/2006/relationships/hyperlink" Target="https://www.tradingview.com/chart/Q1c5VWwD/?symbol=s" TargetMode="External" Id="rId424" /><Relationship Type="http://schemas.openxmlformats.org/officeDocument/2006/relationships/hyperlink" Target="https://www.tradingview.com/chart/Q1c5VWwD/?symbol=sana" TargetMode="External" Id="rId425" /><Relationship Type="http://schemas.openxmlformats.org/officeDocument/2006/relationships/hyperlink" Target="https://www.tradingview.com/chart/Q1c5VWwD/?symbol=sbac" TargetMode="External" Id="rId426" /><Relationship Type="http://schemas.openxmlformats.org/officeDocument/2006/relationships/hyperlink" Target="https://www.tradingview.com/chart/Q1c5VWwD/?symbol=sbgsy" TargetMode="External" Id="rId427" /><Relationship Type="http://schemas.openxmlformats.org/officeDocument/2006/relationships/hyperlink" Target="https://www.tradingview.com/chart/Q1c5VWwD/?symbol=sbux" TargetMode="External" Id="rId428" /><Relationship Type="http://schemas.openxmlformats.org/officeDocument/2006/relationships/hyperlink" Target="https://www.tradingview.com/chart/Q1c5VWwD/?symbol=scco" TargetMode="External" Id="rId429" /><Relationship Type="http://schemas.openxmlformats.org/officeDocument/2006/relationships/hyperlink" Target="https://www.tradingview.com/chart/Q1c5VWwD/?symbol=sci" TargetMode="External" Id="rId430" /><Relationship Type="http://schemas.openxmlformats.org/officeDocument/2006/relationships/hyperlink" Target="https://www.tradingview.com/chart/Q1c5VWwD/?symbol=shop" TargetMode="External" Id="rId431" /><Relationship Type="http://schemas.openxmlformats.org/officeDocument/2006/relationships/hyperlink" Target="https://www.tradingview.com/chart/Q1c5VWwD/?symbol=shw" TargetMode="External" Id="rId432" /><Relationship Type="http://schemas.openxmlformats.org/officeDocument/2006/relationships/hyperlink" Target="https://www.tradingview.com/chart/Q1c5VWwD/?symbol=simo" TargetMode="External" Id="rId433" /><Relationship Type="http://schemas.openxmlformats.org/officeDocument/2006/relationships/hyperlink" Target="https://www.tradingview.com/chart/Q1c5VWwD/?symbol=slb" TargetMode="External" Id="rId434" /><Relationship Type="http://schemas.openxmlformats.org/officeDocument/2006/relationships/hyperlink" Target="https://www.tradingview.com/chart/Q1c5VWwD/?symbol=slg" TargetMode="External" Id="rId435" /><Relationship Type="http://schemas.openxmlformats.org/officeDocument/2006/relationships/hyperlink" Target="https://www.tradingview.com/chart/Q1c5VWwD/?symbol=smci" TargetMode="External" Id="rId436" /><Relationship Type="http://schemas.openxmlformats.org/officeDocument/2006/relationships/hyperlink" Target="https://www.tradingview.com/chart/Q1c5VWwD/?symbol=smr" TargetMode="External" Id="rId437" /><Relationship Type="http://schemas.openxmlformats.org/officeDocument/2006/relationships/hyperlink" Target="https://www.tradingview.com/chart/Q1c5VWwD/?symbol=smtc" TargetMode="External" Id="rId438" /><Relationship Type="http://schemas.openxmlformats.org/officeDocument/2006/relationships/hyperlink" Target="https://www.tradingview.com/chart/Q1c5VWwD/?symbol=snap" TargetMode="External" Id="rId439" /><Relationship Type="http://schemas.openxmlformats.org/officeDocument/2006/relationships/hyperlink" Target="https://www.tradingview.com/chart/Q1c5VWwD/?symbol=sndk" TargetMode="External" Id="rId440" /><Relationship Type="http://schemas.openxmlformats.org/officeDocument/2006/relationships/hyperlink" Target="https://www.tradingview.com/chart/Q1c5VWwD/?symbol=snow" TargetMode="External" Id="rId441" /><Relationship Type="http://schemas.openxmlformats.org/officeDocument/2006/relationships/hyperlink" Target="https://www.tradingview.com/chart/Q1c5VWwD/?symbol=snps" TargetMode="External" Id="rId442" /><Relationship Type="http://schemas.openxmlformats.org/officeDocument/2006/relationships/hyperlink" Target="https://www.tradingview.com/chart/Q1c5VWwD/?symbol=so" TargetMode="External" Id="rId443" /><Relationship Type="http://schemas.openxmlformats.org/officeDocument/2006/relationships/hyperlink" Target="https://www.tradingview.com/chart/Q1c5VWwD/?symbol=sofi" TargetMode="External" Id="rId444" /><Relationship Type="http://schemas.openxmlformats.org/officeDocument/2006/relationships/hyperlink" Target="https://www.tradingview.com/chart/Q1c5VWwD/?symbol=soun" TargetMode="External" Id="rId445" /><Relationship Type="http://schemas.openxmlformats.org/officeDocument/2006/relationships/hyperlink" Target="https://www.tradingview.com/chart/Q1c5VWwD/?symbol=spg" TargetMode="External" Id="rId446" /><Relationship Type="http://schemas.openxmlformats.org/officeDocument/2006/relationships/hyperlink" Target="https://www.tradingview.com/chart/Q1c5VWwD/?symbol=spgi" TargetMode="External" Id="rId447" /><Relationship Type="http://schemas.openxmlformats.org/officeDocument/2006/relationships/hyperlink" Target="https://www.tradingview.com/chart/Q1c5VWwD/?symbol=sr" TargetMode="External" Id="rId448" /><Relationship Type="http://schemas.openxmlformats.org/officeDocument/2006/relationships/hyperlink" Target="https://www.tradingview.com/chart/Q1c5VWwD/?symbol=stag" TargetMode="External" Id="rId449" /><Relationship Type="http://schemas.openxmlformats.org/officeDocument/2006/relationships/hyperlink" Target="https://www.tradingview.com/chart/Q1c5VWwD/?symbol=stld" TargetMode="External" Id="rId450" /><Relationship Type="http://schemas.openxmlformats.org/officeDocument/2006/relationships/hyperlink" Target="https://www.tradingview.com/chart/Q1c5VWwD/?symbol=stx" TargetMode="External" Id="rId451" /><Relationship Type="http://schemas.openxmlformats.org/officeDocument/2006/relationships/hyperlink" Target="https://www.tradingview.com/chart/Q1c5VWwD/?symbol=stz" TargetMode="External" Id="rId452" /><Relationship Type="http://schemas.openxmlformats.org/officeDocument/2006/relationships/hyperlink" Target="https://www.tradingview.com/chart/Q1c5VWwD/?symbol=syf" TargetMode="External" Id="rId453" /><Relationship Type="http://schemas.openxmlformats.org/officeDocument/2006/relationships/hyperlink" Target="https://www.tradingview.com/chart/Q1c5VWwD/?symbol=syk" TargetMode="External" Id="rId454" /><Relationship Type="http://schemas.openxmlformats.org/officeDocument/2006/relationships/hyperlink" Target="https://www.tradingview.com/chart/Q1c5VWwD/?symbol=sym" TargetMode="External" Id="rId455" /><Relationship Type="http://schemas.openxmlformats.org/officeDocument/2006/relationships/hyperlink" Target="https://www.tradingview.com/chart/Q1c5VWwD/?symbol=syy" TargetMode="External" Id="rId456" /><Relationship Type="http://schemas.openxmlformats.org/officeDocument/2006/relationships/hyperlink" Target="https://www.tradingview.com/chart/Q1c5VWwD/?symbol=t" TargetMode="External" Id="rId457" /><Relationship Type="http://schemas.openxmlformats.org/officeDocument/2006/relationships/hyperlink" Target="https://www.tradingview.com/chart/Q1c5VWwD/?symbol=tap" TargetMode="External" Id="rId458" /><Relationship Type="http://schemas.openxmlformats.org/officeDocument/2006/relationships/hyperlink" Target="https://www.tradingview.com/chart/Q1c5VWwD/?symbol=tcehy" TargetMode="External" Id="rId459" /><Relationship Type="http://schemas.openxmlformats.org/officeDocument/2006/relationships/hyperlink" Target="https://www.tradingview.com/chart/Q1c5VWwD/?symbol=tdoc" TargetMode="External" Id="rId460" /><Relationship Type="http://schemas.openxmlformats.org/officeDocument/2006/relationships/hyperlink" Target="https://www.tradingview.com/chart/Q1c5VWwD/?symbol=tdw" TargetMode="External" Id="rId461" /><Relationship Type="http://schemas.openxmlformats.org/officeDocument/2006/relationships/hyperlink" Target="https://www.tradingview.com/chart/Q1c5VWwD/?symbol=team" TargetMode="External" Id="rId462" /><Relationship Type="http://schemas.openxmlformats.org/officeDocument/2006/relationships/hyperlink" Target="https://www.tradingview.com/chart/Q1c5VWwD/?symbol=teck" TargetMode="External" Id="rId463" /><Relationship Type="http://schemas.openxmlformats.org/officeDocument/2006/relationships/hyperlink" Target="https://www.tradingview.com/chart/Q1c5VWwD/?symbol=tel" TargetMode="External" Id="rId464" /><Relationship Type="http://schemas.openxmlformats.org/officeDocument/2006/relationships/hyperlink" Target="https://www.tradingview.com/chart/Q1c5VWwD/?symbol=ter" TargetMode="External" Id="rId465" /><Relationship Type="http://schemas.openxmlformats.org/officeDocument/2006/relationships/hyperlink" Target="https://www.tradingview.com/chart/Q1c5VWwD/?symbol=tfc" TargetMode="External" Id="rId466" /><Relationship Type="http://schemas.openxmlformats.org/officeDocument/2006/relationships/hyperlink" Target="https://www.tradingview.com/chart/Q1c5VWwD/?symbol=thc" TargetMode="External" Id="rId467" /><Relationship Type="http://schemas.openxmlformats.org/officeDocument/2006/relationships/hyperlink" Target="https://www.tradingview.com/chart/Q1c5VWwD/?symbol=tjx" TargetMode="External" Id="rId468" /><Relationship Type="http://schemas.openxmlformats.org/officeDocument/2006/relationships/hyperlink" Target="https://www.tradingview.com/chart/Q1c5VWwD/?symbol=tln" TargetMode="External" Id="rId469" /><Relationship Type="http://schemas.openxmlformats.org/officeDocument/2006/relationships/hyperlink" Target="https://www.tradingview.com/chart/Q1c5VWwD/?symbol=tmc" TargetMode="External" Id="rId470" /><Relationship Type="http://schemas.openxmlformats.org/officeDocument/2006/relationships/hyperlink" Target="https://www.tradingview.com/chart/Q1c5VWwD/?symbol=tmo" TargetMode="External" Id="rId471" /><Relationship Type="http://schemas.openxmlformats.org/officeDocument/2006/relationships/hyperlink" Target="https://www.tradingview.com/chart/Q1c5VWwD/?symbol=tmus" TargetMode="External" Id="rId472" /><Relationship Type="http://schemas.openxmlformats.org/officeDocument/2006/relationships/hyperlink" Target="https://www.tradingview.com/chart/Q1c5VWwD/?symbol=tol" TargetMode="External" Id="rId473" /><Relationship Type="http://schemas.openxmlformats.org/officeDocument/2006/relationships/hyperlink" Target="https://www.tradingview.com/chart/Q1c5VWwD/?symbol=tost" TargetMode="External" Id="rId474" /><Relationship Type="http://schemas.openxmlformats.org/officeDocument/2006/relationships/hyperlink" Target="https://www.tradingview.com/chart/Q1c5VWwD/?symbol=tpb" TargetMode="External" Id="rId475" /><Relationship Type="http://schemas.openxmlformats.org/officeDocument/2006/relationships/hyperlink" Target="https://www.tradingview.com/chart/Q1c5VWwD/?symbol=trow" TargetMode="External" Id="rId476" /><Relationship Type="http://schemas.openxmlformats.org/officeDocument/2006/relationships/hyperlink" Target="https://www.tradingview.com/chart/Q1c5VWwD/?symbol=trv" TargetMode="External" Id="rId477" /><Relationship Type="http://schemas.openxmlformats.org/officeDocument/2006/relationships/hyperlink" Target="https://www.tradingview.com/chart/Q1c5VWwD/?symbol=tsem" TargetMode="External" Id="rId478" /><Relationship Type="http://schemas.openxmlformats.org/officeDocument/2006/relationships/hyperlink" Target="https://www.tradingview.com/chart/Q1c5VWwD/?symbol=tsla" TargetMode="External" Id="rId479" /><Relationship Type="http://schemas.openxmlformats.org/officeDocument/2006/relationships/hyperlink" Target="https://www.tradingview.com/chart/Q1c5VWwD/?symbol=tsm" TargetMode="External" Id="rId480" /><Relationship Type="http://schemas.openxmlformats.org/officeDocument/2006/relationships/hyperlink" Target="https://www.tradingview.com/chart/Q1c5VWwD/?symbol=tsn" TargetMode="External" Id="rId481" /><Relationship Type="http://schemas.openxmlformats.org/officeDocument/2006/relationships/hyperlink" Target="https://www.tradingview.com/chart/Q1c5VWwD/?symbol=tt" TargetMode="External" Id="rId482" /><Relationship Type="http://schemas.openxmlformats.org/officeDocument/2006/relationships/hyperlink" Target="https://www.tradingview.com/chart/Q1c5VWwD/?symbol=ttwo" TargetMode="External" Id="rId483" /><Relationship Type="http://schemas.openxmlformats.org/officeDocument/2006/relationships/hyperlink" Target="https://www.tradingview.com/chart/Q1c5VWwD/?symbol=txn" TargetMode="External" Id="rId484" /><Relationship Type="http://schemas.openxmlformats.org/officeDocument/2006/relationships/hyperlink" Target="https://www.tradingview.com/chart/Q1c5VWwD/?symbol=ual" TargetMode="External" Id="rId485" /><Relationship Type="http://schemas.openxmlformats.org/officeDocument/2006/relationships/hyperlink" Target="https://www.tradingview.com/chart/Q1c5VWwD/?symbol=uec" TargetMode="External" Id="rId486" /><Relationship Type="http://schemas.openxmlformats.org/officeDocument/2006/relationships/hyperlink" Target="https://www.tradingview.com/chart/Q1c5VWwD/?symbol=uhs" TargetMode="External" Id="rId487" /><Relationship Type="http://schemas.openxmlformats.org/officeDocument/2006/relationships/hyperlink" Target="https://www.tradingview.com/chart/Q1c5VWwD/?symbol=umc" TargetMode="External" Id="rId488" /><Relationship Type="http://schemas.openxmlformats.org/officeDocument/2006/relationships/hyperlink" Target="https://www.tradingview.com/chart/Q1c5VWwD/?symbol=unh" TargetMode="External" Id="rId489" /><Relationship Type="http://schemas.openxmlformats.org/officeDocument/2006/relationships/hyperlink" Target="https://www.tradingview.com/chart/Q1c5VWwD/?symbol=unp" TargetMode="External" Id="rId490" /><Relationship Type="http://schemas.openxmlformats.org/officeDocument/2006/relationships/hyperlink" Target="https://www.tradingview.com/chart/Q1c5VWwD/?symbol=ups" TargetMode="External" Id="rId491" /><Relationship Type="http://schemas.openxmlformats.org/officeDocument/2006/relationships/hyperlink" Target="https://www.tradingview.com/chart/Q1c5VWwD/?symbol=upst" TargetMode="External" Id="rId492" /><Relationship Type="http://schemas.openxmlformats.org/officeDocument/2006/relationships/hyperlink" Target="https://www.tradingview.com/chart/Q1c5VWwD/?symbol=usar" TargetMode="External" Id="rId493" /><Relationship Type="http://schemas.openxmlformats.org/officeDocument/2006/relationships/hyperlink" Target="https://www.tradingview.com/chart/Q1c5VWwD/?symbol=usb" TargetMode="External" Id="rId494" /><Relationship Type="http://schemas.openxmlformats.org/officeDocument/2006/relationships/hyperlink" Target="https://www.tradingview.com/chart/Q1c5VWwD/?symbol=usfd" TargetMode="External" Id="rId495" /><Relationship Type="http://schemas.openxmlformats.org/officeDocument/2006/relationships/hyperlink" Target="https://www.tradingview.com/chart/Q1c5VWwD/?symbol=uuuu" TargetMode="External" Id="rId496" /><Relationship Type="http://schemas.openxmlformats.org/officeDocument/2006/relationships/hyperlink" Target="https://www.tradingview.com/chart/Q1c5VWwD/?symbol=v" TargetMode="External" Id="rId497" /><Relationship Type="http://schemas.openxmlformats.org/officeDocument/2006/relationships/hyperlink" Target="https://www.tradingview.com/chart/Q1c5VWwD/?symbol=val" TargetMode="External" Id="rId498" /><Relationship Type="http://schemas.openxmlformats.org/officeDocument/2006/relationships/hyperlink" Target="https://www.tradingview.com/chart/Q1c5VWwD/?symbol=veco" TargetMode="External" Id="rId499" /><Relationship Type="http://schemas.openxmlformats.org/officeDocument/2006/relationships/hyperlink" Target="https://www.tradingview.com/chart/Q1c5VWwD/?symbol=vg" TargetMode="External" Id="rId500" /><Relationship Type="http://schemas.openxmlformats.org/officeDocument/2006/relationships/hyperlink" Target="https://www.tradingview.com/chart/Q1c5VWwD/?symbol=viav" TargetMode="External" Id="rId501" /><Relationship Type="http://schemas.openxmlformats.org/officeDocument/2006/relationships/hyperlink" Target="https://www.tradingview.com/chart/Q1c5VWwD/?symbol=vici" TargetMode="External" Id="rId502" /><Relationship Type="http://schemas.openxmlformats.org/officeDocument/2006/relationships/hyperlink" Target="https://www.tradingview.com/chart/Q1c5VWwD/?symbol=vktx" TargetMode="External" Id="rId503" /><Relationship Type="http://schemas.openxmlformats.org/officeDocument/2006/relationships/hyperlink" Target="https://www.tradingview.com/chart/Q1c5VWwD/?symbol=vlo" TargetMode="External" Id="rId504" /><Relationship Type="http://schemas.openxmlformats.org/officeDocument/2006/relationships/hyperlink" Target="https://www.tradingview.com/chart/Q1c5VWwD/?symbol=vmc" TargetMode="External" Id="rId505" /><Relationship Type="http://schemas.openxmlformats.org/officeDocument/2006/relationships/hyperlink" Target="https://www.tradingview.com/chart/Q1c5VWwD/?symbol=vno" TargetMode="External" Id="rId506" /><Relationship Type="http://schemas.openxmlformats.org/officeDocument/2006/relationships/hyperlink" Target="https://www.tradingview.com/chart/Q1c5VWwD/?symbol=vrt" TargetMode="External" Id="rId507" /><Relationship Type="http://schemas.openxmlformats.org/officeDocument/2006/relationships/hyperlink" Target="https://www.tradingview.com/chart/Q1c5VWwD/?symbol=vrtx" TargetMode="External" Id="rId508" /><Relationship Type="http://schemas.openxmlformats.org/officeDocument/2006/relationships/hyperlink" Target="https://www.tradingview.com/chart/Q1c5VWwD/?symbol=vst" TargetMode="External" Id="rId509" /><Relationship Type="http://schemas.openxmlformats.org/officeDocument/2006/relationships/hyperlink" Target="https://www.tradingview.com/chart/Q1c5VWwD/?symbol=vtr" TargetMode="External" Id="rId510" /><Relationship Type="http://schemas.openxmlformats.org/officeDocument/2006/relationships/hyperlink" Target="https://www.tradingview.com/chart/Q1c5VWwD/?symbol=vz" TargetMode="External" Id="rId511" /><Relationship Type="http://schemas.openxmlformats.org/officeDocument/2006/relationships/hyperlink" Target="https://www.tradingview.com/chart/Q1c5VWwD/?symbol=w" TargetMode="External" Id="rId512" /><Relationship Type="http://schemas.openxmlformats.org/officeDocument/2006/relationships/hyperlink" Target="https://www.tradingview.com/chart/Q1c5VWwD/?symbol=wbd" TargetMode="External" Id="rId513" /><Relationship Type="http://schemas.openxmlformats.org/officeDocument/2006/relationships/hyperlink" Target="https://www.tradingview.com/chart/Q1c5VWwD/?symbol=wcn" TargetMode="External" Id="rId514" /><Relationship Type="http://schemas.openxmlformats.org/officeDocument/2006/relationships/hyperlink" Target="https://www.tradingview.com/chart/Q1c5VWwD/?symbol=wday" TargetMode="External" Id="rId515" /><Relationship Type="http://schemas.openxmlformats.org/officeDocument/2006/relationships/hyperlink" Target="https://www.tradingview.com/chart/Q1c5VWwD/?symbol=wdc" TargetMode="External" Id="rId516" /><Relationship Type="http://schemas.openxmlformats.org/officeDocument/2006/relationships/hyperlink" Target="https://www.tradingview.com/chart/Q1c5VWwD/?symbol=well" TargetMode="External" Id="rId517" /><Relationship Type="http://schemas.openxmlformats.org/officeDocument/2006/relationships/hyperlink" Target="https://www.tradingview.com/chart/Q1c5VWwD/?symbol=wfc" TargetMode="External" Id="rId518" /><Relationship Type="http://schemas.openxmlformats.org/officeDocument/2006/relationships/hyperlink" Target="https://www.tradingview.com/chart/Q1c5VWwD/?symbol=wfrd" TargetMode="External" Id="rId519" /><Relationship Type="http://schemas.openxmlformats.org/officeDocument/2006/relationships/hyperlink" Target="https://www.tradingview.com/chart/Q1c5VWwD/?symbol=whr" TargetMode="External" Id="rId520" /><Relationship Type="http://schemas.openxmlformats.org/officeDocument/2006/relationships/hyperlink" Target="https://www.tradingview.com/chart/Q1c5VWwD/?symbol=wm" TargetMode="External" Id="rId521" /><Relationship Type="http://schemas.openxmlformats.org/officeDocument/2006/relationships/hyperlink" Target="https://www.tradingview.com/chart/Q1c5VWwD/?symbol=wmb" TargetMode="External" Id="rId522" /><Relationship Type="http://schemas.openxmlformats.org/officeDocument/2006/relationships/hyperlink" Target="https://www.tradingview.com/chart/Q1c5VWwD/?symbol=wmt" TargetMode="External" Id="rId523" /><Relationship Type="http://schemas.openxmlformats.org/officeDocument/2006/relationships/hyperlink" Target="https://www.tradingview.com/chart/Q1c5VWwD/?symbol=wtrg" TargetMode="External" Id="rId524" /><Relationship Type="http://schemas.openxmlformats.org/officeDocument/2006/relationships/hyperlink" Target="https://www.tradingview.com/chart/Q1c5VWwD/?symbol=wtw" TargetMode="External" Id="rId525" /><Relationship Type="http://schemas.openxmlformats.org/officeDocument/2006/relationships/hyperlink" Target="https://www.tradingview.com/chart/Q1c5VWwD/?symbol=xel" TargetMode="External" Id="rId526" /><Relationship Type="http://schemas.openxmlformats.org/officeDocument/2006/relationships/hyperlink" Target="https://www.tradingview.com/chart/Q1c5VWwD/?symbol=xom" TargetMode="External" Id="rId527" /><Relationship Type="http://schemas.openxmlformats.org/officeDocument/2006/relationships/hyperlink" Target="https://www.tradingview.com/chart/Q1c5VWwD/?symbol=xpo" TargetMode="External" Id="rId528" /><Relationship Type="http://schemas.openxmlformats.org/officeDocument/2006/relationships/hyperlink" Target="https://www.tradingview.com/chart/Q1c5VWwD/?symbol=yum" TargetMode="External" Id="rId529" /><Relationship Type="http://schemas.openxmlformats.org/officeDocument/2006/relationships/hyperlink" Target="https://www.tradingview.com/chart/Q1c5VWwD/?symbol=z" TargetMode="External" Id="rId530" /><Relationship Type="http://schemas.openxmlformats.org/officeDocument/2006/relationships/hyperlink" Target="https://www.tradingview.com/chart/Q1c5VWwD/?symbol=zion" TargetMode="External" Id="rId531" /><Relationship Type="http://schemas.openxmlformats.org/officeDocument/2006/relationships/hyperlink" Target="https://www.tradingview.com/chart/Q1c5VWwD/?symbol=zs" TargetMode="External" Id="rId532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a" TargetMode="External" Id="rId1" /><Relationship Type="http://schemas.openxmlformats.org/officeDocument/2006/relationships/hyperlink" Target="https://www.tradingview.com/chart/Q1c5VWwD/?symbol=aa" TargetMode="External" Id="rId2" /><Relationship Type="http://schemas.openxmlformats.org/officeDocument/2006/relationships/hyperlink" Target="https://www.tradingview.com/chart/Q1c5VWwD/?symbol=aal" TargetMode="External" Id="rId3" /><Relationship Type="http://schemas.openxmlformats.org/officeDocument/2006/relationships/hyperlink" Target="https://www.tradingview.com/chart/Q1c5VWwD/?symbol=aaoi" TargetMode="External" Id="rId4" /><Relationship Type="http://schemas.openxmlformats.org/officeDocument/2006/relationships/hyperlink" Target="https://www.tradingview.com/chart/Q1c5VWwD/?symbol=aaon" TargetMode="External" Id="rId5" /><Relationship Type="http://schemas.openxmlformats.org/officeDocument/2006/relationships/hyperlink" Target="https://www.tradingview.com/chart/Q1c5VWwD/?symbol=aapl" TargetMode="External" Id="rId6" /><Relationship Type="http://schemas.openxmlformats.org/officeDocument/2006/relationships/hyperlink" Target="https://www.tradingview.com/chart/Q1c5VWwD/?symbol=abbv" TargetMode="External" Id="rId7" /><Relationship Type="http://schemas.openxmlformats.org/officeDocument/2006/relationships/hyperlink" Target="https://www.tradingview.com/chart/Q1c5VWwD/?symbol=abt" TargetMode="External" Id="rId8" /><Relationship Type="http://schemas.openxmlformats.org/officeDocument/2006/relationships/hyperlink" Target="https://www.tradingview.com/chart/Q1c5VWwD/?symbol=aci" TargetMode="External" Id="rId9" /><Relationship Type="http://schemas.openxmlformats.org/officeDocument/2006/relationships/hyperlink" Target="https://www.tradingview.com/chart/Q1c5VWwD/?symbol=acm" TargetMode="External" Id="rId10" /><Relationship Type="http://schemas.openxmlformats.org/officeDocument/2006/relationships/hyperlink" Target="https://www.tradingview.com/chart/Q1c5VWwD/?symbol=acn" TargetMode="External" Id="rId11" /><Relationship Type="http://schemas.openxmlformats.org/officeDocument/2006/relationships/hyperlink" Target="https://www.tradingview.com/chart/Q1c5VWwD/?symbol=adbe" TargetMode="External" Id="rId12" /><Relationship Type="http://schemas.openxmlformats.org/officeDocument/2006/relationships/hyperlink" Target="https://www.tradingview.com/chart/Q1c5VWwD/?symbol=adi" TargetMode="External" Id="rId13" /><Relationship Type="http://schemas.openxmlformats.org/officeDocument/2006/relationships/hyperlink" Target="https://www.tradingview.com/chart/Q1c5VWwD/?symbol=adm" TargetMode="External" Id="rId14" /><Relationship Type="http://schemas.openxmlformats.org/officeDocument/2006/relationships/hyperlink" Target="https://www.tradingview.com/chart/Q1c5VWwD/?symbol=adp" TargetMode="External" Id="rId15" /><Relationship Type="http://schemas.openxmlformats.org/officeDocument/2006/relationships/hyperlink" Target="https://www.tradingview.com/chart/Q1c5VWwD/?symbol=aehr" TargetMode="External" Id="rId16" /><Relationship Type="http://schemas.openxmlformats.org/officeDocument/2006/relationships/hyperlink" Target="https://www.tradingview.com/chart/Q1c5VWwD/?symbol=aem" TargetMode="External" Id="rId17" /><Relationship Type="http://schemas.openxmlformats.org/officeDocument/2006/relationships/hyperlink" Target="https://www.tradingview.com/chart/Q1c5VWwD/?symbol=aep" TargetMode="External" Id="rId18" /><Relationship Type="http://schemas.openxmlformats.org/officeDocument/2006/relationships/hyperlink" Target="https://www.tradingview.com/chart/Q1c5VWwD/?symbol=afl" TargetMode="External" Id="rId19" /><Relationship Type="http://schemas.openxmlformats.org/officeDocument/2006/relationships/hyperlink" Target="https://www.tradingview.com/chart/Q1c5VWwD/?symbol=afrm" TargetMode="External" Id="rId20" /><Relationship Type="http://schemas.openxmlformats.org/officeDocument/2006/relationships/hyperlink" Target="https://www.tradingview.com/chart/Q1c5VWwD/?symbol=ag" TargetMode="External" Id="rId21" /><Relationship Type="http://schemas.openxmlformats.org/officeDocument/2006/relationships/hyperlink" Target="https://www.tradingview.com/chart/Q1c5VWwD/?symbol=ai" TargetMode="External" Id="rId22" /><Relationship Type="http://schemas.openxmlformats.org/officeDocument/2006/relationships/hyperlink" Target="https://www.tradingview.com/chart/Q1c5VWwD/?symbol=aig" TargetMode="External" Id="rId23" /><Relationship Type="http://schemas.openxmlformats.org/officeDocument/2006/relationships/hyperlink" Target="https://www.tradingview.com/chart/Q1c5VWwD/?symbol=ajg" TargetMode="External" Id="rId24" /><Relationship Type="http://schemas.openxmlformats.org/officeDocument/2006/relationships/hyperlink" Target="https://www.tradingview.com/chart/Q1c5VWwD/?symbol=alab" TargetMode="External" Id="rId25" /><Relationship Type="http://schemas.openxmlformats.org/officeDocument/2006/relationships/hyperlink" Target="https://www.tradingview.com/chart/Q1c5VWwD/?symbol=alb" TargetMode="External" Id="rId26" /><Relationship Type="http://schemas.openxmlformats.org/officeDocument/2006/relationships/hyperlink" Target="https://www.tradingview.com/chart/Q1c5VWwD/?symbol=alec" TargetMode="External" Id="rId27" /><Relationship Type="http://schemas.openxmlformats.org/officeDocument/2006/relationships/hyperlink" Target="https://www.tradingview.com/chart/Q1c5VWwD/?symbol=allo" TargetMode="External" Id="rId28" /><Relationship Type="http://schemas.openxmlformats.org/officeDocument/2006/relationships/hyperlink" Target="https://www.tradingview.com/chart/Q1c5VWwD/?symbol=aloy" TargetMode="External" Id="rId29" /><Relationship Type="http://schemas.openxmlformats.org/officeDocument/2006/relationships/hyperlink" Target="https://www.tradingview.com/chart/Q1c5VWwD/?symbol=alt" TargetMode="External" Id="rId30" /><Relationship Type="http://schemas.openxmlformats.org/officeDocument/2006/relationships/hyperlink" Target="https://www.tradingview.com/chart/Q1c5VWwD/?symbol=amat" TargetMode="External" Id="rId31" /><Relationship Type="http://schemas.openxmlformats.org/officeDocument/2006/relationships/hyperlink" Target="https://www.tradingview.com/chart/Q1c5VWwD/?symbol=amd" TargetMode="External" Id="rId32" /><Relationship Type="http://schemas.openxmlformats.org/officeDocument/2006/relationships/hyperlink" Target="https://www.tradingview.com/chart/Q1c5VWwD/?symbol=amg" TargetMode="External" Id="rId33" /><Relationship Type="http://schemas.openxmlformats.org/officeDocument/2006/relationships/hyperlink" Target="https://www.tradingview.com/chart/Q1c5VWwD/?symbol=amgn" TargetMode="External" Id="rId34" /><Relationship Type="http://schemas.openxmlformats.org/officeDocument/2006/relationships/hyperlink" Target="https://www.tradingview.com/chart/Q1c5VWwD/?symbol=amh" TargetMode="External" Id="rId35" /><Relationship Type="http://schemas.openxmlformats.org/officeDocument/2006/relationships/hyperlink" Target="https://www.tradingview.com/chart/Q1c5VWwD/?symbol=amkr" TargetMode="External" Id="rId36" /><Relationship Type="http://schemas.openxmlformats.org/officeDocument/2006/relationships/hyperlink" Target="https://www.tradingview.com/chart/Q1c5VWwD/?symbol=amr" TargetMode="External" Id="rId37" /><Relationship Type="http://schemas.openxmlformats.org/officeDocument/2006/relationships/hyperlink" Target="https://www.tradingview.com/chart/Q1c5VWwD/?symbol=ams" TargetMode="External" Id="rId38" /><Relationship Type="http://schemas.openxmlformats.org/officeDocument/2006/relationships/hyperlink" Target="https://www.tradingview.com/chart/Q1c5VWwD/?symbol=amt" TargetMode="External" Id="rId39" /><Relationship Type="http://schemas.openxmlformats.org/officeDocument/2006/relationships/hyperlink" Target="https://www.tradingview.com/chart/Q1c5VWwD/?symbol=amzn" TargetMode="External" Id="rId40" /><Relationship Type="http://schemas.openxmlformats.org/officeDocument/2006/relationships/hyperlink" Target="https://www.tradingview.com/chart/Q1c5VWwD/?symbol=anet" TargetMode="External" Id="rId41" /><Relationship Type="http://schemas.openxmlformats.org/officeDocument/2006/relationships/hyperlink" Target="https://www.tradingview.com/chart/Q1c5VWwD/?symbol=aon" TargetMode="External" Id="rId42" /><Relationship Type="http://schemas.openxmlformats.org/officeDocument/2006/relationships/hyperlink" Target="https://www.tradingview.com/chart/Q1c5VWwD/?symbol=apd" TargetMode="External" Id="rId43" /><Relationship Type="http://schemas.openxmlformats.org/officeDocument/2006/relationships/hyperlink" Target="https://www.tradingview.com/chart/Q1c5VWwD/?symbol=aph" TargetMode="External" Id="rId44" /><Relationship Type="http://schemas.openxmlformats.org/officeDocument/2006/relationships/hyperlink" Target="https://www.tradingview.com/chart/Q1c5VWwD/?symbol=apld" TargetMode="External" Id="rId45" /><Relationship Type="http://schemas.openxmlformats.org/officeDocument/2006/relationships/hyperlink" Target="https://www.tradingview.com/chart/Q1c5VWwD/?symbol=apo" TargetMode="External" Id="rId46" /><Relationship Type="http://schemas.openxmlformats.org/officeDocument/2006/relationships/hyperlink" Target="https://www.tradingview.com/chart/Q1c5VWwD/?symbol=aptv" TargetMode="External" Id="rId47" /><Relationship Type="http://schemas.openxmlformats.org/officeDocument/2006/relationships/hyperlink" Target="https://www.tradingview.com/chart/Q1c5VWwD/?symbol=ares" TargetMode="External" Id="rId48" /><Relationship Type="http://schemas.openxmlformats.org/officeDocument/2006/relationships/hyperlink" Target="https://www.tradingview.com/chart/Q1c5VWwD/?symbol=arm" TargetMode="External" Id="rId49" /><Relationship Type="http://schemas.openxmlformats.org/officeDocument/2006/relationships/hyperlink" Target="https://www.tradingview.com/chart/Q1c5VWwD/?symbol=arvn" TargetMode="External" Id="rId50" /><Relationship Type="http://schemas.openxmlformats.org/officeDocument/2006/relationships/hyperlink" Target="https://www.tradingview.com/chart/Q1c5VWwD/?symbol=asml" TargetMode="External" Id="rId51" /><Relationship Type="http://schemas.openxmlformats.org/officeDocument/2006/relationships/hyperlink" Target="https://www.tradingview.com/chart/Q1c5VWwD/?symbol=aspi" TargetMode="External" Id="rId52" /><Relationship Type="http://schemas.openxmlformats.org/officeDocument/2006/relationships/hyperlink" Target="https://www.tradingview.com/chart/Q1c5VWwD/?symbol=asts" TargetMode="External" Id="rId53" /><Relationship Type="http://schemas.openxmlformats.org/officeDocument/2006/relationships/hyperlink" Target="https://www.tradingview.com/chart/Q1c5VWwD/?symbol=asx" TargetMode="External" Id="rId54" /><Relationship Type="http://schemas.openxmlformats.org/officeDocument/2006/relationships/hyperlink" Target="https://www.tradingview.com/chart/Q1c5VWwD/?symbol=ato" TargetMode="External" Id="rId55" /><Relationship Type="http://schemas.openxmlformats.org/officeDocument/2006/relationships/hyperlink" Target="https://www.tradingview.com/chart/Q1c5VWwD/?symbol=au" TargetMode="External" Id="rId56" /><Relationship Type="http://schemas.openxmlformats.org/officeDocument/2006/relationships/hyperlink" Target="https://www.tradingview.com/chart/Q1c5VWwD/?symbol=avav" TargetMode="External" Id="rId57" /><Relationship Type="http://schemas.openxmlformats.org/officeDocument/2006/relationships/hyperlink" Target="https://www.tradingview.com/chart/Q1c5VWwD/?symbol=avgo" TargetMode="External" Id="rId58" /><Relationship Type="http://schemas.openxmlformats.org/officeDocument/2006/relationships/hyperlink" Target="https://www.tradingview.com/chart/Q1c5VWwD/?symbol=awk" TargetMode="External" Id="rId59" /><Relationship Type="http://schemas.openxmlformats.org/officeDocument/2006/relationships/hyperlink" Target="https://www.tradingview.com/chart/Q1c5VWwD/?symbol=awr" TargetMode="External" Id="rId60" /><Relationship Type="http://schemas.openxmlformats.org/officeDocument/2006/relationships/hyperlink" Target="https://www.tradingview.com/chart/Q1c5VWwD/?symbol=axp" TargetMode="External" Id="rId61" /><Relationship Type="http://schemas.openxmlformats.org/officeDocument/2006/relationships/hyperlink" Target="https://www.tradingview.com/chart/Q1c5VWwD/?symbol=axti" TargetMode="External" Id="rId62" /><Relationship Type="http://schemas.openxmlformats.org/officeDocument/2006/relationships/hyperlink" Target="https://www.tradingview.com/chart/Q1c5VWwD/?symbol=ba" TargetMode="External" Id="rId63" /><Relationship Type="http://schemas.openxmlformats.org/officeDocument/2006/relationships/hyperlink" Target="https://www.tradingview.com/chart/Q1c5VWwD/?symbol=baba" TargetMode="External" Id="rId64" /><Relationship Type="http://schemas.openxmlformats.org/officeDocument/2006/relationships/hyperlink" Target="https://www.tradingview.com/chart/Q1c5VWwD/?symbol=bac" TargetMode="External" Id="rId65" /><Relationship Type="http://schemas.openxmlformats.org/officeDocument/2006/relationships/hyperlink" Target="https://www.tradingview.com/chart/Q1c5VWwD/?symbol=bby" TargetMode="External" Id="rId66" /><Relationship Type="http://schemas.openxmlformats.org/officeDocument/2006/relationships/hyperlink" Target="https://www.tradingview.com/chart/Q1c5VWwD/?symbol=bc" TargetMode="External" Id="rId67" /><Relationship Type="http://schemas.openxmlformats.org/officeDocument/2006/relationships/hyperlink" Target="https://www.tradingview.com/chart/Q1c5VWwD/?symbol=be" TargetMode="External" Id="rId68" /><Relationship Type="http://schemas.openxmlformats.org/officeDocument/2006/relationships/hyperlink" Target="https://www.tradingview.com/chart/Q1c5VWwD/?symbol=beam" TargetMode="External" Id="rId69" /><Relationship Type="http://schemas.openxmlformats.org/officeDocument/2006/relationships/hyperlink" Target="https://www.tradingview.com/chart/Q1c5VWwD/?symbol=ben" TargetMode="External" Id="rId70" /><Relationship Type="http://schemas.openxmlformats.org/officeDocument/2006/relationships/hyperlink" Target="https://www.tradingview.com/chart/Q1c5VWwD/?symbol=bf.b" TargetMode="External" Id="rId71" /><Relationship Type="http://schemas.openxmlformats.org/officeDocument/2006/relationships/hyperlink" Target="https://www.tradingview.com/chart/Q1c5VWwD/?symbol=bg" TargetMode="External" Id="rId72" /><Relationship Type="http://schemas.openxmlformats.org/officeDocument/2006/relationships/hyperlink" Target="https://www.tradingview.com/chart/Q1c5VWwD/?symbol=bidu" TargetMode="External" Id="rId73" /><Relationship Type="http://schemas.openxmlformats.org/officeDocument/2006/relationships/hyperlink" Target="https://www.tradingview.com/chart/Q1c5VWwD/?symbol=biib" TargetMode="External" Id="rId74" /><Relationship Type="http://schemas.openxmlformats.org/officeDocument/2006/relationships/hyperlink" Target="https://www.tradingview.com/chart/Q1c5VWwD/?symbol=bj" TargetMode="External" Id="rId75" /><Relationship Type="http://schemas.openxmlformats.org/officeDocument/2006/relationships/hyperlink" Target="https://www.tradingview.com/chart/Q1c5VWwD/?symbol=bkr" TargetMode="External" Id="rId76" /><Relationship Type="http://schemas.openxmlformats.org/officeDocument/2006/relationships/hyperlink" Target="https://www.tradingview.com/chart/Q1c5VWwD/?symbol=blk" TargetMode="External" Id="rId77" /><Relationship Type="http://schemas.openxmlformats.org/officeDocument/2006/relationships/hyperlink" Target="https://www.tradingview.com/chart/Q1c5VWwD/?symbol=bmy" TargetMode="External" Id="rId78" /><Relationship Type="http://schemas.openxmlformats.org/officeDocument/2006/relationships/hyperlink" Target="https://www.tradingview.com/chart/Q1c5VWwD/?symbol=bro" TargetMode="External" Id="rId79" /><Relationship Type="http://schemas.openxmlformats.org/officeDocument/2006/relationships/hyperlink" Target="https://www.tradingview.com/chart/Q1c5VWwD/?symbol=bsx" TargetMode="External" Id="rId80" /><Relationship Type="http://schemas.openxmlformats.org/officeDocument/2006/relationships/hyperlink" Target="https://www.tradingview.com/chart/Q1c5VWwD/?symbol=btu" TargetMode="External" Id="rId81" /><Relationship Type="http://schemas.openxmlformats.org/officeDocument/2006/relationships/hyperlink" Target="https://www.tradingview.com/chart/Q1c5VWwD/?symbol=bwxt" TargetMode="External" Id="rId82" /><Relationship Type="http://schemas.openxmlformats.org/officeDocument/2006/relationships/hyperlink" Target="https://www.tradingview.com/chart/Q1c5VWwD/?symbol=bx" TargetMode="External" Id="rId83" /><Relationship Type="http://schemas.openxmlformats.org/officeDocument/2006/relationships/hyperlink" Target="https://www.tradingview.com/chart/Q1c5VWwD/?symbol=bxp" TargetMode="External" Id="rId84" /><Relationship Type="http://schemas.openxmlformats.org/officeDocument/2006/relationships/hyperlink" Target="https://www.tradingview.com/chart/Q1c5VWwD/?symbol=c" TargetMode="External" Id="rId85" /><Relationship Type="http://schemas.openxmlformats.org/officeDocument/2006/relationships/hyperlink" Target="https://www.tradingview.com/chart/Q1c5VWwD/?symbol=cag" TargetMode="External" Id="rId86" /><Relationship Type="http://schemas.openxmlformats.org/officeDocument/2006/relationships/hyperlink" Target="https://www.tradingview.com/chart/Q1c5VWwD/?symbol=cah" TargetMode="External" Id="rId87" /><Relationship Type="http://schemas.openxmlformats.org/officeDocument/2006/relationships/hyperlink" Target="https://www.tradingview.com/chart/Q1c5VWwD/?symbol=camt" TargetMode="External" Id="rId88" /><Relationship Type="http://schemas.openxmlformats.org/officeDocument/2006/relationships/hyperlink" Target="https://www.tradingview.com/chart/Q1c5VWwD/?symbol=carr" TargetMode="External" Id="rId89" /><Relationship Type="http://schemas.openxmlformats.org/officeDocument/2006/relationships/hyperlink" Target="https://www.tradingview.com/chart/Q1c5VWwD/?symbol=cat" TargetMode="External" Id="rId90" /><Relationship Type="http://schemas.openxmlformats.org/officeDocument/2006/relationships/hyperlink" Target="https://www.tradingview.com/chart/Q1c5VWwD/?symbol=cb" TargetMode="External" Id="rId91" /><Relationship Type="http://schemas.openxmlformats.org/officeDocument/2006/relationships/hyperlink" Target="https://www.tradingview.com/chart/Q1c5VWwD/?symbol=cboe" TargetMode="External" Id="rId92" /><Relationship Type="http://schemas.openxmlformats.org/officeDocument/2006/relationships/hyperlink" Target="https://www.tradingview.com/chart/Q1c5VWwD/?symbol=cbre" TargetMode="External" Id="rId93" /><Relationship Type="http://schemas.openxmlformats.org/officeDocument/2006/relationships/hyperlink" Target="https://www.tradingview.com/chart/Q1c5VWwD/?symbol=cci" TargetMode="External" Id="rId94" /><Relationship Type="http://schemas.openxmlformats.org/officeDocument/2006/relationships/hyperlink" Target="https://www.tradingview.com/chart/Q1c5VWwD/?symbol=ccj" TargetMode="External" Id="rId95" /><Relationship Type="http://schemas.openxmlformats.org/officeDocument/2006/relationships/hyperlink" Target="https://www.tradingview.com/chart/Q1c5VWwD/?symbol=ccl" TargetMode="External" Id="rId96" /><Relationship Type="http://schemas.openxmlformats.org/officeDocument/2006/relationships/hyperlink" Target="https://www.tradingview.com/chart/Q1c5VWwD/?symbol=cde" TargetMode="External" Id="rId97" /><Relationship Type="http://schemas.openxmlformats.org/officeDocument/2006/relationships/hyperlink" Target="https://www.tradingview.com/chart/Q1c5VWwD/?symbol=cdns" TargetMode="External" Id="rId98" /><Relationship Type="http://schemas.openxmlformats.org/officeDocument/2006/relationships/hyperlink" Target="https://www.tradingview.com/chart/Q1c5VWwD/?symbol=ceg" TargetMode="External" Id="rId99" /><Relationship Type="http://schemas.openxmlformats.org/officeDocument/2006/relationships/hyperlink" Target="https://www.tradingview.com/chart/Q1c5VWwD/?symbol=celh" TargetMode="External" Id="rId100" /><Relationship Type="http://schemas.openxmlformats.org/officeDocument/2006/relationships/hyperlink" Target="https://www.tradingview.com/chart/Q1c5VWwD/?symbol=cenx" TargetMode="External" Id="rId101" /><Relationship Type="http://schemas.openxmlformats.org/officeDocument/2006/relationships/hyperlink" Target="https://www.tradingview.com/chart/Q1c5VWwD/?symbol=cf" TargetMode="External" Id="rId102" /><Relationship Type="http://schemas.openxmlformats.org/officeDocument/2006/relationships/hyperlink" Target="https://www.tradingview.com/chart/Q1c5VWwD/?symbol=chd" TargetMode="External" Id="rId103" /><Relationship Type="http://schemas.openxmlformats.org/officeDocument/2006/relationships/hyperlink" Target="https://www.tradingview.com/chart/Q1c5VWwD/?symbol=chef" TargetMode="External" Id="rId104" /><Relationship Type="http://schemas.openxmlformats.org/officeDocument/2006/relationships/hyperlink" Target="https://www.tradingview.com/chart/Q1c5VWwD/?symbol=chtr" TargetMode="External" Id="rId105" /><Relationship Type="http://schemas.openxmlformats.org/officeDocument/2006/relationships/hyperlink" Target="https://www.tradingview.com/chart/Q1c5VWwD/?symbol=chwy" TargetMode="External" Id="rId106" /><Relationship Type="http://schemas.openxmlformats.org/officeDocument/2006/relationships/hyperlink" Target="https://www.tradingview.com/chart/Q1c5VWwD/?symbol=ci" TargetMode="External" Id="rId107" /><Relationship Type="http://schemas.openxmlformats.org/officeDocument/2006/relationships/hyperlink" Target="https://www.tradingview.com/chart/Q1c5VWwD/?symbol=cien" TargetMode="External" Id="rId108" /><Relationship Type="http://schemas.openxmlformats.org/officeDocument/2006/relationships/hyperlink" Target="https://www.tradingview.com/chart/Q1c5VWwD/?symbol=cl" TargetMode="External" Id="rId109" /><Relationship Type="http://schemas.openxmlformats.org/officeDocument/2006/relationships/hyperlink" Target="https://www.tradingview.com/chart/Q1c5VWwD/?symbol=clf" TargetMode="External" Id="rId110" /><Relationship Type="http://schemas.openxmlformats.org/officeDocument/2006/relationships/hyperlink" Target="https://www.tradingview.com/chart/Q1c5VWwD/?symbol=clh" TargetMode="External" Id="rId111" /><Relationship Type="http://schemas.openxmlformats.org/officeDocument/2006/relationships/hyperlink" Target="https://www.tradingview.com/chart/Q1c5VWwD/?symbol=cmcsa" TargetMode="External" Id="rId112" /><Relationship Type="http://schemas.openxmlformats.org/officeDocument/2006/relationships/hyperlink" Target="https://www.tradingview.com/chart/Q1c5VWwD/?symbol=cme" TargetMode="External" Id="rId113" /><Relationship Type="http://schemas.openxmlformats.org/officeDocument/2006/relationships/hyperlink" Target="https://www.tradingview.com/chart/Q1c5VWwD/?symbol=cmg" TargetMode="External" Id="rId114" /><Relationship Type="http://schemas.openxmlformats.org/officeDocument/2006/relationships/hyperlink" Target="https://www.tradingview.com/chart/Q1c5VWwD/?symbol=cmi" TargetMode="External" Id="rId115" /><Relationship Type="http://schemas.openxmlformats.org/officeDocument/2006/relationships/hyperlink" Target="https://www.tradingview.com/chart/Q1c5VWwD/?symbol=cnc" TargetMode="External" Id="rId116" /><Relationship Type="http://schemas.openxmlformats.org/officeDocument/2006/relationships/hyperlink" Target="https://www.tradingview.com/chart/Q1c5VWwD/?symbol=cnr" TargetMode="External" Id="rId117" /><Relationship Type="http://schemas.openxmlformats.org/officeDocument/2006/relationships/hyperlink" Target="https://www.tradingview.com/chart/Q1c5VWwD/?symbol=cof" TargetMode="External" Id="rId118" /><Relationship Type="http://schemas.openxmlformats.org/officeDocument/2006/relationships/hyperlink" Target="https://www.tradingview.com/chart/Q1c5VWwD/?symbol=cohr" TargetMode="External" Id="rId119" /><Relationship Type="http://schemas.openxmlformats.org/officeDocument/2006/relationships/hyperlink" Target="https://www.tradingview.com/chart/Q1c5VWwD/?symbol=coin" TargetMode="External" Id="rId120" /><Relationship Type="http://schemas.openxmlformats.org/officeDocument/2006/relationships/hyperlink" Target="https://www.tradingview.com/chart/Q1c5VWwD/?symbol=comp" TargetMode="External" Id="rId121" /><Relationship Type="http://schemas.openxmlformats.org/officeDocument/2006/relationships/hyperlink" Target="https://www.tradingview.com/chart/Q1c5VWwD/?symbol=cop" TargetMode="External" Id="rId122" /><Relationship Type="http://schemas.openxmlformats.org/officeDocument/2006/relationships/hyperlink" Target="https://www.tradingview.com/chart/Q1c5VWwD/?symbol=cor" TargetMode="External" Id="rId123" /><Relationship Type="http://schemas.openxmlformats.org/officeDocument/2006/relationships/hyperlink" Target="https://www.tradingview.com/chart/Q1c5VWwD/?symbol=cost" TargetMode="External" Id="rId124" /><Relationship Type="http://schemas.openxmlformats.org/officeDocument/2006/relationships/hyperlink" Target="https://www.tradingview.com/chart/Q1c5VWwD/?symbol=crcl" TargetMode="External" Id="rId125" /><Relationship Type="http://schemas.openxmlformats.org/officeDocument/2006/relationships/hyperlink" Target="https://www.tradingview.com/chart/Q1c5VWwD/?symbol=crdo" TargetMode="External" Id="rId126" /><Relationship Type="http://schemas.openxmlformats.org/officeDocument/2006/relationships/hyperlink" Target="https://www.tradingview.com/chart/Q1c5VWwD/?symbol=crh" TargetMode="External" Id="rId127" /><Relationship Type="http://schemas.openxmlformats.org/officeDocument/2006/relationships/hyperlink" Target="https://www.tradingview.com/chart/Q1c5VWwD/?symbol=crm" TargetMode="External" Id="rId128" /><Relationship Type="http://schemas.openxmlformats.org/officeDocument/2006/relationships/hyperlink" Target="https://www.tradingview.com/chart/Q1c5VWwD/?symbol=crsp" TargetMode="External" Id="rId129" /><Relationship Type="http://schemas.openxmlformats.org/officeDocument/2006/relationships/hyperlink" Target="https://www.tradingview.com/chart/Q1c5VWwD/?symbol=crvs" TargetMode="External" Id="rId130" /><Relationship Type="http://schemas.openxmlformats.org/officeDocument/2006/relationships/hyperlink" Target="https://www.tradingview.com/chart/Q1c5VWwD/?symbol=crwd" TargetMode="External" Id="rId131" /><Relationship Type="http://schemas.openxmlformats.org/officeDocument/2006/relationships/hyperlink" Target="https://www.tradingview.com/chart/Q1c5VWwD/?symbol=crwv" TargetMode="External" Id="rId132" /><Relationship Type="http://schemas.openxmlformats.org/officeDocument/2006/relationships/hyperlink" Target="https://www.tradingview.com/chart/Q1c5VWwD/?symbol=csco" TargetMode="External" Id="rId133" /><Relationship Type="http://schemas.openxmlformats.org/officeDocument/2006/relationships/hyperlink" Target="https://www.tradingview.com/chart/Q1c5VWwD/?symbol=csx" TargetMode="External" Id="rId134" /><Relationship Type="http://schemas.openxmlformats.org/officeDocument/2006/relationships/hyperlink" Target="https://www.tradingview.com/chart/Q1c5VWwD/?symbol=ctas" TargetMode="External" Id="rId135" /><Relationship Type="http://schemas.openxmlformats.org/officeDocument/2006/relationships/hyperlink" Target="https://www.tradingview.com/chart/Q1c5VWwD/?symbol=ctsh" TargetMode="External" Id="rId136" /><Relationship Type="http://schemas.openxmlformats.org/officeDocument/2006/relationships/hyperlink" Target="https://www.tradingview.com/chart/Q1c5VWwD/?symbol=ctva" TargetMode="External" Id="rId137" /><Relationship Type="http://schemas.openxmlformats.org/officeDocument/2006/relationships/hyperlink" Target="https://www.tradingview.com/chart/Q1c5VWwD/?symbol=cvs" TargetMode="External" Id="rId138" /><Relationship Type="http://schemas.openxmlformats.org/officeDocument/2006/relationships/hyperlink" Target="https://www.tradingview.com/chart/Q1c5VWwD/?symbol=cvx" TargetMode="External" Id="rId139" /><Relationship Type="http://schemas.openxmlformats.org/officeDocument/2006/relationships/hyperlink" Target="https://www.tradingview.com/chart/Q1c5VWwD/?symbol=cwst" TargetMode="External" Id="rId140" /><Relationship Type="http://schemas.openxmlformats.org/officeDocument/2006/relationships/hyperlink" Target="https://www.tradingview.com/chart/Q1c5VWwD/?symbol=cwt" TargetMode="External" Id="rId141" /><Relationship Type="http://schemas.openxmlformats.org/officeDocument/2006/relationships/hyperlink" Target="https://www.tradingview.com/chart/Q1c5VWwD/?symbol=d" TargetMode="External" Id="rId142" /><Relationship Type="http://schemas.openxmlformats.org/officeDocument/2006/relationships/hyperlink" Target="https://www.tradingview.com/chart/Q1c5VWwD/?symbol=dal" TargetMode="External" Id="rId143" /><Relationship Type="http://schemas.openxmlformats.org/officeDocument/2006/relationships/hyperlink" Target="https://www.tradingview.com/chart/Q1c5VWwD/?symbol=ddog" TargetMode="External" Id="rId144" /><Relationship Type="http://schemas.openxmlformats.org/officeDocument/2006/relationships/hyperlink" Target="https://www.tradingview.com/chart/Q1c5VWwD/?symbol=de" TargetMode="External" Id="rId145" /><Relationship Type="http://schemas.openxmlformats.org/officeDocument/2006/relationships/hyperlink" Target="https://www.tradingview.com/chart/Q1c5VWwD/?symbol=deck" TargetMode="External" Id="rId146" /><Relationship Type="http://schemas.openxmlformats.org/officeDocument/2006/relationships/hyperlink" Target="https://www.tradingview.com/chart/Q1c5VWwD/?symbol=dell" TargetMode="External" Id="rId147" /><Relationship Type="http://schemas.openxmlformats.org/officeDocument/2006/relationships/hyperlink" Target="https://www.tradingview.com/chart/Q1c5VWwD/?symbol=deo" TargetMode="External" Id="rId148" /><Relationship Type="http://schemas.openxmlformats.org/officeDocument/2006/relationships/hyperlink" Target="https://www.tradingview.com/chart/Q1c5VWwD/?symbol=dhi" TargetMode="External" Id="rId149" /><Relationship Type="http://schemas.openxmlformats.org/officeDocument/2006/relationships/hyperlink" Target="https://www.tradingview.com/chart/Q1c5VWwD/?symbol=dhr" TargetMode="External" Id="rId150" /><Relationship Type="http://schemas.openxmlformats.org/officeDocument/2006/relationships/hyperlink" Target="https://www.tradingview.com/chart/Q1c5VWwD/?symbol=dino" TargetMode="External" Id="rId151" /><Relationship Type="http://schemas.openxmlformats.org/officeDocument/2006/relationships/hyperlink" Target="https://www.tradingview.com/chart/Q1c5VWwD/?symbol=dis" TargetMode="External" Id="rId152" /><Relationship Type="http://schemas.openxmlformats.org/officeDocument/2006/relationships/hyperlink" Target="https://www.tradingview.com/chart/Q1c5VWwD/?symbol=dkng" TargetMode="External" Id="rId153" /><Relationship Type="http://schemas.openxmlformats.org/officeDocument/2006/relationships/hyperlink" Target="https://www.tradingview.com/chart/Q1c5VWwD/?symbol=dlr" TargetMode="External" Id="rId154" /><Relationship Type="http://schemas.openxmlformats.org/officeDocument/2006/relationships/hyperlink" Target="https://www.tradingview.com/chart/Q1c5VWwD/?symbol=dnli" TargetMode="External" Id="rId155" /><Relationship Type="http://schemas.openxmlformats.org/officeDocument/2006/relationships/hyperlink" Target="https://www.tradingview.com/chart/Q1c5VWwD/?symbol=dnn" TargetMode="External" Id="rId156" /><Relationship Type="http://schemas.openxmlformats.org/officeDocument/2006/relationships/hyperlink" Target="https://www.tradingview.com/chart/Q1c5VWwD/?symbol=doc" TargetMode="External" Id="rId157" /><Relationship Type="http://schemas.openxmlformats.org/officeDocument/2006/relationships/hyperlink" Target="https://www.tradingview.com/chart/Q1c5VWwD/?symbol=docs" TargetMode="External" Id="rId158" /><Relationship Type="http://schemas.openxmlformats.org/officeDocument/2006/relationships/hyperlink" Target="https://www.tradingview.com/chart/Q1c5VWwD/?symbol=dow" TargetMode="External" Id="rId159" /><Relationship Type="http://schemas.openxmlformats.org/officeDocument/2006/relationships/hyperlink" Target="https://www.tradingview.com/chart/Q1c5VWwD/?symbol=dri" TargetMode="External" Id="rId160" /><Relationship Type="http://schemas.openxmlformats.org/officeDocument/2006/relationships/hyperlink" Target="https://www.tradingview.com/chart/Q1c5VWwD/?symbol=dtil" TargetMode="External" Id="rId161" /><Relationship Type="http://schemas.openxmlformats.org/officeDocument/2006/relationships/hyperlink" Target="https://www.tradingview.com/chart/Q1c5VWwD/?symbol=duk" TargetMode="External" Id="rId162" /><Relationship Type="http://schemas.openxmlformats.org/officeDocument/2006/relationships/hyperlink" Target="https://www.tradingview.com/chart/Q1c5VWwD/?symbol=duol" TargetMode="External" Id="rId163" /><Relationship Type="http://schemas.openxmlformats.org/officeDocument/2006/relationships/hyperlink" Target="https://www.tradingview.com/chart/Q1c5VWwD/?symbol=dvn" TargetMode="External" Id="rId164" /><Relationship Type="http://schemas.openxmlformats.org/officeDocument/2006/relationships/hyperlink" Target="https://www.tradingview.com/chart/Q1c5VWwD/?symbol=ebay" TargetMode="External" Id="rId165" /><Relationship Type="http://schemas.openxmlformats.org/officeDocument/2006/relationships/hyperlink" Target="https://www.tradingview.com/chart/Q1c5VWwD/?symbol=ecl" TargetMode="External" Id="rId166" /><Relationship Type="http://schemas.openxmlformats.org/officeDocument/2006/relationships/hyperlink" Target="https://www.tradingview.com/chart/Q1c5VWwD/?symbol=ee" TargetMode="External" Id="rId167" /><Relationship Type="http://schemas.openxmlformats.org/officeDocument/2006/relationships/hyperlink" Target="https://www.tradingview.com/chart/Q1c5VWwD/?symbol=egp" TargetMode="External" Id="rId168" /><Relationship Type="http://schemas.openxmlformats.org/officeDocument/2006/relationships/hyperlink" Target="https://www.tradingview.com/chart/Q1c5VWwD/?symbol=ehc" TargetMode="External" Id="rId169" /><Relationship Type="http://schemas.openxmlformats.org/officeDocument/2006/relationships/hyperlink" Target="https://www.tradingview.com/chart/Q1c5VWwD/?symbol=el" TargetMode="External" Id="rId170" /><Relationship Type="http://schemas.openxmlformats.org/officeDocument/2006/relationships/hyperlink" Target="https://www.tradingview.com/chart/Q1c5VWwD/?symbol=elv" TargetMode="External" Id="rId171" /><Relationship Type="http://schemas.openxmlformats.org/officeDocument/2006/relationships/hyperlink" Target="https://www.tradingview.com/chart/Q1c5VWwD/?symbol=eme" TargetMode="External" Id="rId172" /><Relationship Type="http://schemas.openxmlformats.org/officeDocument/2006/relationships/hyperlink" Target="https://www.tradingview.com/chart/Q1c5VWwD/?symbol=emr" TargetMode="External" Id="rId173" /><Relationship Type="http://schemas.openxmlformats.org/officeDocument/2006/relationships/hyperlink" Target="https://www.tradingview.com/chart/Q1c5VWwD/?symbol=enph" TargetMode="External" Id="rId174" /><Relationship Type="http://schemas.openxmlformats.org/officeDocument/2006/relationships/hyperlink" Target="https://www.tradingview.com/chart/Q1c5VWwD/?symbol=eog" TargetMode="External" Id="rId175" /><Relationship Type="http://schemas.openxmlformats.org/officeDocument/2006/relationships/hyperlink" Target="https://www.tradingview.com/chart/Q1c5VWwD/?symbol=epam" TargetMode="External" Id="rId176" /><Relationship Type="http://schemas.openxmlformats.org/officeDocument/2006/relationships/hyperlink" Target="https://www.tradingview.com/chart/Q1c5VWwD/?symbol=epd" TargetMode="External" Id="rId177" /><Relationship Type="http://schemas.openxmlformats.org/officeDocument/2006/relationships/hyperlink" Target="https://www.tradingview.com/chart/Q1c5VWwD/?symbol=eqh" TargetMode="External" Id="rId178" /><Relationship Type="http://schemas.openxmlformats.org/officeDocument/2006/relationships/hyperlink" Target="https://www.tradingview.com/chart/Q1c5VWwD/?symbol=eqix" TargetMode="External" Id="rId179" /><Relationship Type="http://schemas.openxmlformats.org/officeDocument/2006/relationships/hyperlink" Target="https://www.tradingview.com/chart/Q1c5VWwD/?symbol=et" TargetMode="External" Id="rId180" /><Relationship Type="http://schemas.openxmlformats.org/officeDocument/2006/relationships/hyperlink" Target="https://www.tradingview.com/chart/Q1c5VWwD/?symbol=etn" TargetMode="External" Id="rId181" /><Relationship Type="http://schemas.openxmlformats.org/officeDocument/2006/relationships/hyperlink" Target="https://www.tradingview.com/chart/Q1c5VWwD/?symbol=evr" TargetMode="External" Id="rId182" /><Relationship Type="http://schemas.openxmlformats.org/officeDocument/2006/relationships/hyperlink" Target="https://www.tradingview.com/chart/Q1c5VWwD/?symbol=exr" TargetMode="External" Id="rId183" /><Relationship Type="http://schemas.openxmlformats.org/officeDocument/2006/relationships/hyperlink" Target="https://www.tradingview.com/chart/Q1c5VWwD/?symbol=f" TargetMode="External" Id="rId184" /><Relationship Type="http://schemas.openxmlformats.org/officeDocument/2006/relationships/hyperlink" Target="https://www.tradingview.com/chart/Q1c5VWwD/?symbol=fang" TargetMode="External" Id="rId185" /><Relationship Type="http://schemas.openxmlformats.org/officeDocument/2006/relationships/hyperlink" Target="https://www.tradingview.com/chart/Q1c5VWwD/?symbol=fate" TargetMode="External" Id="rId186" /><Relationship Type="http://schemas.openxmlformats.org/officeDocument/2006/relationships/hyperlink" Target="https://www.tradingview.com/chart/Q1c5VWwD/?symbol=fcx" TargetMode="External" Id="rId187" /><Relationship Type="http://schemas.openxmlformats.org/officeDocument/2006/relationships/hyperlink" Target="https://www.tradingview.com/chart/Q1c5VWwD/?symbol=fdx" TargetMode="External" Id="rId188" /><Relationship Type="http://schemas.openxmlformats.org/officeDocument/2006/relationships/hyperlink" Target="https://www.tradingview.com/chart/Q1c5VWwD/?symbol=flex" TargetMode="External" Id="rId189" /><Relationship Type="http://schemas.openxmlformats.org/officeDocument/2006/relationships/hyperlink" Target="https://www.tradingview.com/chart/Q1c5VWwD/?symbol=flr" TargetMode="External" Id="rId190" /><Relationship Type="http://schemas.openxmlformats.org/officeDocument/2006/relationships/hyperlink" Target="https://www.tradingview.com/chart/Q1c5VWwD/?symbol=flut" TargetMode="External" Id="rId191" /><Relationship Type="http://schemas.openxmlformats.org/officeDocument/2006/relationships/hyperlink" Target="https://www.tradingview.com/chart/Q1c5VWwD/?symbol=fn" TargetMode="External" Id="rId192" /><Relationship Type="http://schemas.openxmlformats.org/officeDocument/2006/relationships/hyperlink" Target="https://www.tradingview.com/chart/Q1c5VWwD/?symbol=form" TargetMode="External" Id="rId193" /><Relationship Type="http://schemas.openxmlformats.org/officeDocument/2006/relationships/hyperlink" Target="https://www.tradingview.com/chart/Q1c5VWwD/?symbol=fr" TargetMode="External" Id="rId194" /><Relationship Type="http://schemas.openxmlformats.org/officeDocument/2006/relationships/hyperlink" Target="https://www.tradingview.com/chart/Q1c5VWwD/?symbol=frt" TargetMode="External" Id="rId195" /><Relationship Type="http://schemas.openxmlformats.org/officeDocument/2006/relationships/hyperlink" Target="https://www.tradingview.com/chart/Q1c5VWwD/?symbol=fslr" TargetMode="External" Id="rId196" /><Relationship Type="http://schemas.openxmlformats.org/officeDocument/2006/relationships/hyperlink" Target="https://www.tradingview.com/chart/Q1c5VWwD/?symbol=ftnt" TargetMode="External" Id="rId197" /><Relationship Type="http://schemas.openxmlformats.org/officeDocument/2006/relationships/hyperlink" Target="https://www.tradingview.com/chart/Q1c5VWwD/?symbol=fwonk" TargetMode="External" Id="rId198" /><Relationship Type="http://schemas.openxmlformats.org/officeDocument/2006/relationships/hyperlink" Target="https://www.tradingview.com/chart/Q1c5VWwD/?symbol=gd" TargetMode="External" Id="rId199" /><Relationship Type="http://schemas.openxmlformats.org/officeDocument/2006/relationships/hyperlink" Target="https://www.tradingview.com/chart/Q1c5VWwD/?symbol=gev" TargetMode="External" Id="rId200" /><Relationship Type="http://schemas.openxmlformats.org/officeDocument/2006/relationships/hyperlink" Target="https://www.tradingview.com/chart/Q1c5VWwD/?symbol=gfs" TargetMode="External" Id="rId201" /><Relationship Type="http://schemas.openxmlformats.org/officeDocument/2006/relationships/hyperlink" Target="https://www.tradingview.com/chart/Q1c5VWwD/?symbol=gild" TargetMode="External" Id="rId202" /><Relationship Type="http://schemas.openxmlformats.org/officeDocument/2006/relationships/hyperlink" Target="https://www.tradingview.com/chart/Q1c5VWwD/?symbol=gis" TargetMode="External" Id="rId203" /><Relationship Type="http://schemas.openxmlformats.org/officeDocument/2006/relationships/hyperlink" Target="https://www.tradingview.com/chart/Q1c5VWwD/?symbol=glng" TargetMode="External" Id="rId204" /><Relationship Type="http://schemas.openxmlformats.org/officeDocument/2006/relationships/hyperlink" Target="https://www.tradingview.com/chart/Q1c5VWwD/?symbol=glpi" TargetMode="External" Id="rId205" /><Relationship Type="http://schemas.openxmlformats.org/officeDocument/2006/relationships/hyperlink" Target="https://www.tradingview.com/chart/Q1c5VWwD/?symbol=glw" TargetMode="External" Id="rId206" /><Relationship Type="http://schemas.openxmlformats.org/officeDocument/2006/relationships/hyperlink" Target="https://www.tradingview.com/chart/Q1c5VWwD/?symbol=gm" TargetMode="External" Id="rId207" /><Relationship Type="http://schemas.openxmlformats.org/officeDocument/2006/relationships/hyperlink" Target="https://www.tradingview.com/chart/Q1c5VWwD/?symbol=gnrc" TargetMode="External" Id="rId208" /><Relationship Type="http://schemas.openxmlformats.org/officeDocument/2006/relationships/hyperlink" Target="https://www.tradingview.com/chart/Q1c5VWwD/?symbol=gold" TargetMode="External" Id="rId209" /><Relationship Type="http://schemas.openxmlformats.org/officeDocument/2006/relationships/hyperlink" Target="https://www.tradingview.com/chart/Q1c5VWwD/?symbol=googl" TargetMode="External" Id="rId210" /><Relationship Type="http://schemas.openxmlformats.org/officeDocument/2006/relationships/hyperlink" Target="https://www.tradingview.com/chart/Q1c5VWwD/?symbol=gpn" TargetMode="External" Id="rId211" /><Relationship Type="http://schemas.openxmlformats.org/officeDocument/2006/relationships/hyperlink" Target="https://www.tradingview.com/chart/Q1c5VWwD/?symbol=gs" TargetMode="External" Id="rId212" /><Relationship Type="http://schemas.openxmlformats.org/officeDocument/2006/relationships/hyperlink" Target="https://www.tradingview.com/chart/Q1c5VWwD/?symbol=hal" TargetMode="External" Id="rId213" /><Relationship Type="http://schemas.openxmlformats.org/officeDocument/2006/relationships/hyperlink" Target="https://www.tradingview.com/chart/Q1c5VWwD/?symbol=hbm" TargetMode="External" Id="rId214" /><Relationship Type="http://schemas.openxmlformats.org/officeDocument/2006/relationships/hyperlink" Target="https://www.tradingview.com/chart/Q1c5VWwD/?symbol=hca" TargetMode="External" Id="rId215" /><Relationship Type="http://schemas.openxmlformats.org/officeDocument/2006/relationships/hyperlink" Target="https://www.tradingview.com/chart/Q1c5VWwD/?symbol=hcc" TargetMode="External" Id="rId216" /><Relationship Type="http://schemas.openxmlformats.org/officeDocument/2006/relationships/hyperlink" Target="https://www.tradingview.com/chart/Q1c5VWwD/?symbol=hd" TargetMode="External" Id="rId217" /><Relationship Type="http://schemas.openxmlformats.org/officeDocument/2006/relationships/hyperlink" Target="https://www.tradingview.com/chart/Q1c5VWwD/?symbol=hims" TargetMode="External" Id="rId218" /><Relationship Type="http://schemas.openxmlformats.org/officeDocument/2006/relationships/hyperlink" Target="https://www.tradingview.com/chart/Q1c5VWwD/?symbol=hiw" TargetMode="External" Id="rId219" /><Relationship Type="http://schemas.openxmlformats.org/officeDocument/2006/relationships/hyperlink" Target="https://www.tradingview.com/chart/Q1c5VWwD/?symbol=hl" TargetMode="External" Id="rId220" /><Relationship Type="http://schemas.openxmlformats.org/officeDocument/2006/relationships/hyperlink" Target="https://www.tradingview.com/chart/Q1c5VWwD/?symbol=hlt" TargetMode="External" Id="rId221" /><Relationship Type="http://schemas.openxmlformats.org/officeDocument/2006/relationships/hyperlink" Target="https://www.tradingview.com/chart/Q1c5VWwD/?symbol=hon" TargetMode="External" Id="rId222" /><Relationship Type="http://schemas.openxmlformats.org/officeDocument/2006/relationships/hyperlink" Target="https://www.tradingview.com/chart/Q1c5VWwD/?symbol=hood" TargetMode="External" Id="rId223" /><Relationship Type="http://schemas.openxmlformats.org/officeDocument/2006/relationships/hyperlink" Target="https://www.tradingview.com/chart/Q1c5VWwD/?symbol=hpe" TargetMode="External" Id="rId224" /><Relationship Type="http://schemas.openxmlformats.org/officeDocument/2006/relationships/hyperlink" Target="https://www.tradingview.com/chart/Q1c5VWwD/?symbol=hrb" TargetMode="External" Id="rId225" /><Relationship Type="http://schemas.openxmlformats.org/officeDocument/2006/relationships/hyperlink" Target="https://www.tradingview.com/chart/Q1c5VWwD/?symbol=hsy" TargetMode="External" Id="rId226" /><Relationship Type="http://schemas.openxmlformats.org/officeDocument/2006/relationships/hyperlink" Target="https://www.tradingview.com/chart/Q1c5VWwD/?symbol=hto" TargetMode="External" Id="rId227" /><Relationship Type="http://schemas.openxmlformats.org/officeDocument/2006/relationships/hyperlink" Target="https://www.tradingview.com/chart/Q1c5VWwD/?symbol=hubb" TargetMode="External" Id="rId228" /><Relationship Type="http://schemas.openxmlformats.org/officeDocument/2006/relationships/hyperlink" Target="https://www.tradingview.com/chart/Q1c5VWwD/?symbol=hum" TargetMode="External" Id="rId229" /><Relationship Type="http://schemas.openxmlformats.org/officeDocument/2006/relationships/hyperlink" Target="https://www.tradingview.com/chart/Q1c5VWwD/?symbol=ibm" TargetMode="External" Id="rId230" /><Relationship Type="http://schemas.openxmlformats.org/officeDocument/2006/relationships/hyperlink" Target="https://www.tradingview.com/chart/Q1c5VWwD/?symbol=ice" TargetMode="External" Id="rId231" /><Relationship Type="http://schemas.openxmlformats.org/officeDocument/2006/relationships/hyperlink" Target="https://www.tradingview.com/chart/Q1c5VWwD/?symbol=ilmn" TargetMode="External" Id="rId232" /><Relationship Type="http://schemas.openxmlformats.org/officeDocument/2006/relationships/hyperlink" Target="https://www.tradingview.com/chart/Q1c5VWwD/?symbol=infy" TargetMode="External" Id="rId233" /><Relationship Type="http://schemas.openxmlformats.org/officeDocument/2006/relationships/hyperlink" Target="https://www.tradingview.com/chart/Q1c5VWwD/?symbol=ingr" TargetMode="External" Id="rId234" /><Relationship Type="http://schemas.openxmlformats.org/officeDocument/2006/relationships/hyperlink" Target="https://www.tradingview.com/chart/Q1c5VWwD/?symbol=intc" TargetMode="External" Id="rId235" /><Relationship Type="http://schemas.openxmlformats.org/officeDocument/2006/relationships/hyperlink" Target="https://www.tradingview.com/chart/Q1c5VWwD/?symbol=invh" TargetMode="External" Id="rId236" /><Relationship Type="http://schemas.openxmlformats.org/officeDocument/2006/relationships/hyperlink" Target="https://www.tradingview.com/chart/Q1c5VWwD/?symbol=ionq" TargetMode="External" Id="rId237" /><Relationship Type="http://schemas.openxmlformats.org/officeDocument/2006/relationships/hyperlink" Target="https://www.tradingview.com/chart/Q1c5VWwD/?symbol=ions" TargetMode="External" Id="rId238" /><Relationship Type="http://schemas.openxmlformats.org/officeDocument/2006/relationships/hyperlink" Target="https://www.tradingview.com/chart/Q1c5VWwD/?symbol=iova" TargetMode="External" Id="rId239" /><Relationship Type="http://schemas.openxmlformats.org/officeDocument/2006/relationships/hyperlink" Target="https://www.tradingview.com/chart/Q1c5VWwD/?symbol=ip" TargetMode="External" Id="rId240" /><Relationship Type="http://schemas.openxmlformats.org/officeDocument/2006/relationships/hyperlink" Target="https://www.tradingview.com/chart/Q1c5VWwD/?symbol=ipgp" TargetMode="External" Id="rId241" /><Relationship Type="http://schemas.openxmlformats.org/officeDocument/2006/relationships/hyperlink" Target="https://www.tradingview.com/chart/Q1c5VWwD/?symbol=iren" TargetMode="External" Id="rId242" /><Relationship Type="http://schemas.openxmlformats.org/officeDocument/2006/relationships/hyperlink" Target="https://www.tradingview.com/chart/Q1c5VWwD/?symbol=isrg" TargetMode="External" Id="rId243" /><Relationship Type="http://schemas.openxmlformats.org/officeDocument/2006/relationships/hyperlink" Target="https://www.tradingview.com/chart/Q1c5VWwD/?symbol=j" TargetMode="External" Id="rId244" /><Relationship Type="http://schemas.openxmlformats.org/officeDocument/2006/relationships/hyperlink" Target="https://www.tradingview.com/chart/Q1c5VWwD/?symbol=jbht" TargetMode="External" Id="rId245" /><Relationship Type="http://schemas.openxmlformats.org/officeDocument/2006/relationships/hyperlink" Target="https://www.tradingview.com/chart/Q1c5VWwD/?symbol=jbl" TargetMode="External" Id="rId246" /><Relationship Type="http://schemas.openxmlformats.org/officeDocument/2006/relationships/hyperlink" Target="https://www.tradingview.com/chart/Q1c5VWwD/?symbol=jci" TargetMode="External" Id="rId247" /><Relationship Type="http://schemas.openxmlformats.org/officeDocument/2006/relationships/hyperlink" Target="https://www.tradingview.com/chart/Q1c5VWwD/?symbol=jef" TargetMode="External" Id="rId248" /><Relationship Type="http://schemas.openxmlformats.org/officeDocument/2006/relationships/hyperlink" Target="https://www.tradingview.com/chart/Q1c5VWwD/?symbol=jll" TargetMode="External" Id="rId249" /><Relationship Type="http://schemas.openxmlformats.org/officeDocument/2006/relationships/hyperlink" Target="https://www.tradingview.com/chart/Q1c5VWwD/?symbol=jnj" TargetMode="External" Id="rId250" /><Relationship Type="http://schemas.openxmlformats.org/officeDocument/2006/relationships/hyperlink" Target="https://www.tradingview.com/chart/Q1c5VWwD/?symbol=jpm" TargetMode="External" Id="rId251" /><Relationship Type="http://schemas.openxmlformats.org/officeDocument/2006/relationships/hyperlink" Target="https://www.tradingview.com/chart/Q1c5VWwD/?symbol=kalu" TargetMode="External" Id="rId252" /><Relationship Type="http://schemas.openxmlformats.org/officeDocument/2006/relationships/hyperlink" Target="https://www.tradingview.com/chart/Q1c5VWwD/?symbol=kdp" TargetMode="External" Id="rId253" /><Relationship Type="http://schemas.openxmlformats.org/officeDocument/2006/relationships/hyperlink" Target="https://www.tradingview.com/chart/Q1c5VWwD/?symbol=kgc" TargetMode="External" Id="rId254" /><Relationship Type="http://schemas.openxmlformats.org/officeDocument/2006/relationships/hyperlink" Target="https://www.tradingview.com/chart/Q1c5VWwD/?symbol=khc" TargetMode="External" Id="rId255" /><Relationship Type="http://schemas.openxmlformats.org/officeDocument/2006/relationships/hyperlink" Target="https://www.tradingview.com/chart/Q1c5VWwD/?symbol=kim" TargetMode="External" Id="rId256" /><Relationship Type="http://schemas.openxmlformats.org/officeDocument/2006/relationships/hyperlink" Target="https://www.tradingview.com/chart/Q1c5VWwD/?symbol=kkr" TargetMode="External" Id="rId257" /><Relationship Type="http://schemas.openxmlformats.org/officeDocument/2006/relationships/hyperlink" Target="https://www.tradingview.com/chart/Q1c5VWwD/?symbol=klac" TargetMode="External" Id="rId258" /><Relationship Type="http://schemas.openxmlformats.org/officeDocument/2006/relationships/hyperlink" Target="https://www.tradingview.com/chart/Q1c5VWwD/?symbol=kmb" TargetMode="External" Id="rId259" /><Relationship Type="http://schemas.openxmlformats.org/officeDocument/2006/relationships/hyperlink" Target="https://www.tradingview.com/chart/Q1c5VWwD/?symbol=kmi" TargetMode="External" Id="rId260" /><Relationship Type="http://schemas.openxmlformats.org/officeDocument/2006/relationships/hyperlink" Target="https://www.tradingview.com/chart/Q1c5VWwD/?symbol=ko" TargetMode="External" Id="rId261" /><Relationship Type="http://schemas.openxmlformats.org/officeDocument/2006/relationships/hyperlink" Target="https://www.tradingview.com/chart/Q1c5VWwD/?symbol=kr" TargetMode="External" Id="rId262" /><Relationship Type="http://schemas.openxmlformats.org/officeDocument/2006/relationships/hyperlink" Target="https://www.tradingview.com/chart/Q1c5VWwD/?symbol=ktos" TargetMode="External" Id="rId263" /><Relationship Type="http://schemas.openxmlformats.org/officeDocument/2006/relationships/hyperlink" Target="https://www.tradingview.com/chart/Q1c5VWwD/?symbol=lamr" TargetMode="External" Id="rId264" /><Relationship Type="http://schemas.openxmlformats.org/officeDocument/2006/relationships/hyperlink" Target="https://www.tradingview.com/chart/Q1c5VWwD/?symbol=lasr" TargetMode="External" Id="rId265" /><Relationship Type="http://schemas.openxmlformats.org/officeDocument/2006/relationships/hyperlink" Target="https://www.tradingview.com/chart/Q1c5VWwD/?symbol=laz" TargetMode="External" Id="rId266" /><Relationship Type="http://schemas.openxmlformats.org/officeDocument/2006/relationships/hyperlink" Target="https://www.tradingview.com/chart/Q1c5VWwD/?symbol=lcid" TargetMode="External" Id="rId267" /><Relationship Type="http://schemas.openxmlformats.org/officeDocument/2006/relationships/hyperlink" Target="https://www.tradingview.com/chart/Q1c5VWwD/?symbol=lea" TargetMode="External" Id="rId268" /><Relationship Type="http://schemas.openxmlformats.org/officeDocument/2006/relationships/hyperlink" Target="https://www.tradingview.com/chart/Q1c5VWwD/?symbol=legn" TargetMode="External" Id="rId269" /><Relationship Type="http://schemas.openxmlformats.org/officeDocument/2006/relationships/hyperlink" Target="https://www.tradingview.com/chart/Q1c5VWwD/?symbol=len" TargetMode="External" Id="rId270" /><Relationship Type="http://schemas.openxmlformats.org/officeDocument/2006/relationships/hyperlink" Target="https://www.tradingview.com/chart/Q1c5VWwD/?symbol=leu" TargetMode="External" Id="rId271" /><Relationship Type="http://schemas.openxmlformats.org/officeDocument/2006/relationships/hyperlink" Target="https://www.tradingview.com/chart/Q1c5VWwD/?symbol=lhx" TargetMode="External" Id="rId272" /><Relationship Type="http://schemas.openxmlformats.org/officeDocument/2006/relationships/hyperlink" Target="https://www.tradingview.com/chart/Q1c5VWwD/?symbol=lii" TargetMode="External" Id="rId273" /><Relationship Type="http://schemas.openxmlformats.org/officeDocument/2006/relationships/hyperlink" Target="https://www.tradingview.com/chart/Q1c5VWwD/?symbol=lin" TargetMode="External" Id="rId274" /><Relationship Type="http://schemas.openxmlformats.org/officeDocument/2006/relationships/hyperlink" Target="https://www.tradingview.com/chart/Q1c5VWwD/?symbol=lite" TargetMode="External" Id="rId275" /><Relationship Type="http://schemas.openxmlformats.org/officeDocument/2006/relationships/hyperlink" Target="https://www.tradingview.com/chart/Q1c5VWwD/?symbol=lly" TargetMode="External" Id="rId276" /><Relationship Type="http://schemas.openxmlformats.org/officeDocument/2006/relationships/hyperlink" Target="https://www.tradingview.com/chart/Q1c5VWwD/?symbol=lmt" TargetMode="External" Id="rId277" /><Relationship Type="http://schemas.openxmlformats.org/officeDocument/2006/relationships/hyperlink" Target="https://www.tradingview.com/chart/Q1c5VWwD/?symbol=lnc" TargetMode="External" Id="rId278" /><Relationship Type="http://schemas.openxmlformats.org/officeDocument/2006/relationships/hyperlink" Target="https://www.tradingview.com/chart/Q1c5VWwD/?symbol=lng" TargetMode="External" Id="rId279" /><Relationship Type="http://schemas.openxmlformats.org/officeDocument/2006/relationships/hyperlink" Target="https://www.tradingview.com/chart/Q1c5VWwD/?symbol=low" TargetMode="External" Id="rId280" /><Relationship Type="http://schemas.openxmlformats.org/officeDocument/2006/relationships/hyperlink" Target="https://www.tradingview.com/chart/Q1c5VWwD/?symbol=lpth" TargetMode="External" Id="rId281" /><Relationship Type="http://schemas.openxmlformats.org/officeDocument/2006/relationships/hyperlink" Target="https://www.tradingview.com/chart/Q1c5VWwD/?symbol=lrcx" TargetMode="External" Id="rId282" /><Relationship Type="http://schemas.openxmlformats.org/officeDocument/2006/relationships/hyperlink" Target="https://www.tradingview.com/chart/Q1c5VWwD/?symbol=lrn" TargetMode="External" Id="rId283" /><Relationship Type="http://schemas.openxmlformats.org/officeDocument/2006/relationships/hyperlink" Target="https://www.tradingview.com/chart/Q1c5VWwD/?symbol=lulu" TargetMode="External" Id="rId284" /><Relationship Type="http://schemas.openxmlformats.org/officeDocument/2006/relationships/hyperlink" Target="https://www.tradingview.com/chart/Q1c5VWwD/?symbol=lunr" TargetMode="External" Id="rId285" /><Relationship Type="http://schemas.openxmlformats.org/officeDocument/2006/relationships/hyperlink" Target="https://www.tradingview.com/chart/Q1c5VWwD/?symbol=luv" TargetMode="External" Id="rId286" /><Relationship Type="http://schemas.openxmlformats.org/officeDocument/2006/relationships/hyperlink" Target="https://www.tradingview.com/chart/Q1c5VWwD/?symbol=lvs" TargetMode="External" Id="rId287" /><Relationship Type="http://schemas.openxmlformats.org/officeDocument/2006/relationships/hyperlink" Target="https://www.tradingview.com/chart/Q1c5VWwD/?symbol=lwlg" TargetMode="External" Id="rId288" /><Relationship Type="http://schemas.openxmlformats.org/officeDocument/2006/relationships/hyperlink" Target="https://www.tradingview.com/chart/Q1c5VWwD/?symbol=lyb" TargetMode="External" Id="rId289" /><Relationship Type="http://schemas.openxmlformats.org/officeDocument/2006/relationships/hyperlink" Target="https://www.tradingview.com/chart/Q1c5VWwD/?symbol=lyv" TargetMode="External" Id="rId290" /><Relationship Type="http://schemas.openxmlformats.org/officeDocument/2006/relationships/hyperlink" Target="https://www.tradingview.com/chart/Q1c5VWwD/?symbol=ma" TargetMode="External" Id="rId291" /><Relationship Type="http://schemas.openxmlformats.org/officeDocument/2006/relationships/hyperlink" Target="https://www.tradingview.com/chart/Q1c5VWwD/?symbol=maa" TargetMode="External" Id="rId292" /><Relationship Type="http://schemas.openxmlformats.org/officeDocument/2006/relationships/hyperlink" Target="https://www.tradingview.com/chart/Q1c5VWwD/?symbol=man" TargetMode="External" Id="rId293" /><Relationship Type="http://schemas.openxmlformats.org/officeDocument/2006/relationships/hyperlink" Target="https://www.tradingview.com/chart/Q1c5VWwD/?symbol=mar" TargetMode="External" Id="rId294" /><Relationship Type="http://schemas.openxmlformats.org/officeDocument/2006/relationships/hyperlink" Target="https://www.tradingview.com/chart/Q1c5VWwD/?symbol=mara" TargetMode="External" Id="rId295" /><Relationship Type="http://schemas.openxmlformats.org/officeDocument/2006/relationships/hyperlink" Target="https://www.tradingview.com/chart/Q1c5VWwD/?symbol=mcd" TargetMode="External" Id="rId296" /><Relationship Type="http://schemas.openxmlformats.org/officeDocument/2006/relationships/hyperlink" Target="https://www.tradingview.com/chart/Q1c5VWwD/?symbol=mck" TargetMode="External" Id="rId297" /><Relationship Type="http://schemas.openxmlformats.org/officeDocument/2006/relationships/hyperlink" Target="https://www.tradingview.com/chart/Q1c5VWwD/?symbol=mdb" TargetMode="External" Id="rId298" /><Relationship Type="http://schemas.openxmlformats.org/officeDocument/2006/relationships/hyperlink" Target="https://www.tradingview.com/chart/Q1c5VWwD/?symbol=mdgl" TargetMode="External" Id="rId299" /><Relationship Type="http://schemas.openxmlformats.org/officeDocument/2006/relationships/hyperlink" Target="https://www.tradingview.com/chart/Q1c5VWwD/?symbol=mdt" TargetMode="External" Id="rId300" /><Relationship Type="http://schemas.openxmlformats.org/officeDocument/2006/relationships/hyperlink" Target="https://www.tradingview.com/chart/Q1c5VWwD/?symbol=met" TargetMode="External" Id="rId301" /><Relationship Type="http://schemas.openxmlformats.org/officeDocument/2006/relationships/hyperlink" Target="https://www.tradingview.com/chart/Q1c5VWwD/?symbol=meta" TargetMode="External" Id="rId302" /><Relationship Type="http://schemas.openxmlformats.org/officeDocument/2006/relationships/hyperlink" Target="https://www.tradingview.com/chart/Q1c5VWwD/?symbol=metc" TargetMode="External" Id="rId303" /><Relationship Type="http://schemas.openxmlformats.org/officeDocument/2006/relationships/hyperlink" Target="https://www.tradingview.com/chart/Q1c5VWwD/?symbol=mga" TargetMode="External" Id="rId304" /><Relationship Type="http://schemas.openxmlformats.org/officeDocument/2006/relationships/hyperlink" Target="https://www.tradingview.com/chart/Q1c5VWwD/?symbol=mgm" TargetMode="External" Id="rId305" /><Relationship Type="http://schemas.openxmlformats.org/officeDocument/2006/relationships/hyperlink" Target="https://www.tradingview.com/chart/Q1c5VWwD/?symbol=mhk" TargetMode="External" Id="rId306" /><Relationship Type="http://schemas.openxmlformats.org/officeDocument/2006/relationships/hyperlink" Target="https://www.tradingview.com/chart/Q1c5VWwD/?symbol=mlm" TargetMode="External" Id="rId307" /><Relationship Type="http://schemas.openxmlformats.org/officeDocument/2006/relationships/hyperlink" Target="https://www.tradingview.com/chart/Q1c5VWwD/?symbol=mnst" TargetMode="External" Id="rId308" /><Relationship Type="http://schemas.openxmlformats.org/officeDocument/2006/relationships/hyperlink" Target="https://www.tradingview.com/chart/Q1c5VWwD/?symbol=mo" TargetMode="External" Id="rId309" /><Relationship Type="http://schemas.openxmlformats.org/officeDocument/2006/relationships/hyperlink" Target="https://www.tradingview.com/chart/Q1c5VWwD/?symbol=mod" TargetMode="External" Id="rId310" /><Relationship Type="http://schemas.openxmlformats.org/officeDocument/2006/relationships/hyperlink" Target="https://www.tradingview.com/chart/Q1c5VWwD/?symbol=mos" TargetMode="External" Id="rId311" /><Relationship Type="http://schemas.openxmlformats.org/officeDocument/2006/relationships/hyperlink" Target="https://www.tradingview.com/chart/Q1c5VWwD/?symbol=mp" TargetMode="External" Id="rId312" /><Relationship Type="http://schemas.openxmlformats.org/officeDocument/2006/relationships/hyperlink" Target="https://www.tradingview.com/chart/Q1c5VWwD/?symbol=mpc" TargetMode="External" Id="rId313" /><Relationship Type="http://schemas.openxmlformats.org/officeDocument/2006/relationships/hyperlink" Target="https://www.tradingview.com/chart/Q1c5VWwD/?symbol=mpwr" TargetMode="External" Id="rId314" /><Relationship Type="http://schemas.openxmlformats.org/officeDocument/2006/relationships/hyperlink" Target="https://www.tradingview.com/chart/Q1c5VWwD/?symbol=mrk" TargetMode="External" Id="rId315" /><Relationship Type="http://schemas.openxmlformats.org/officeDocument/2006/relationships/hyperlink" Target="https://www.tradingview.com/chart/Q1c5VWwD/?symbol=mrvl" TargetMode="External" Id="rId316" /><Relationship Type="http://schemas.openxmlformats.org/officeDocument/2006/relationships/hyperlink" Target="https://www.tradingview.com/chart/Q1c5VWwD/?symbol=ms" TargetMode="External" Id="rId317" /><Relationship Type="http://schemas.openxmlformats.org/officeDocument/2006/relationships/hyperlink" Target="https://www.tradingview.com/chart/Q1c5VWwD/?symbol=msft" TargetMode="External" Id="rId318" /><Relationship Type="http://schemas.openxmlformats.org/officeDocument/2006/relationships/hyperlink" Target="https://www.tradingview.com/chart/Q1c5VWwD/?symbol=mtb" TargetMode="External" Id="rId319" /><Relationship Type="http://schemas.openxmlformats.org/officeDocument/2006/relationships/hyperlink" Target="https://www.tradingview.com/chart/Q1c5VWwD/?symbol=mtch" TargetMode="External" Id="rId320" /><Relationship Type="http://schemas.openxmlformats.org/officeDocument/2006/relationships/hyperlink" Target="https://www.tradingview.com/chart/Q1c5VWwD/?symbol=mtsi" TargetMode="External" Id="rId321" /><Relationship Type="http://schemas.openxmlformats.org/officeDocument/2006/relationships/hyperlink" Target="https://www.tradingview.com/chart/Q1c5VWwD/?symbol=mtz" TargetMode="External" Id="rId322" /><Relationship Type="http://schemas.openxmlformats.org/officeDocument/2006/relationships/hyperlink" Target="https://www.tradingview.com/chart/Q1c5VWwD/?symbol=mu" TargetMode="External" Id="rId323" /><Relationship Type="http://schemas.openxmlformats.org/officeDocument/2006/relationships/hyperlink" Target="https://www.tradingview.com/chart/Q1c5VWwD/?symbol=nb" TargetMode="External" Id="rId324" /><Relationship Type="http://schemas.openxmlformats.org/officeDocument/2006/relationships/hyperlink" Target="https://www.tradingview.com/chart/Q1c5VWwD/?symbol=nbis" TargetMode="External" Id="rId325" /><Relationship Type="http://schemas.openxmlformats.org/officeDocument/2006/relationships/hyperlink" Target="https://www.tradingview.com/chart/Q1c5VWwD/?symbol=nclh" TargetMode="External" Id="rId326" /><Relationship Type="http://schemas.openxmlformats.org/officeDocument/2006/relationships/hyperlink" Target="https://www.tradingview.com/chart/Q1c5VWwD/?symbol=ndaq" TargetMode="External" Id="rId327" /><Relationship Type="http://schemas.openxmlformats.org/officeDocument/2006/relationships/hyperlink" Target="https://www.tradingview.com/chart/Q1c5VWwD/?symbol=ndsn" TargetMode="External" Id="rId328" /><Relationship Type="http://schemas.openxmlformats.org/officeDocument/2006/relationships/hyperlink" Target="https://www.tradingview.com/chart/Q1c5VWwD/?symbol=ne" TargetMode="External" Id="rId329" /><Relationship Type="http://schemas.openxmlformats.org/officeDocument/2006/relationships/hyperlink" Target="https://www.tradingview.com/chart/Q1c5VWwD/?symbol=nee" TargetMode="External" Id="rId330" /><Relationship Type="http://schemas.openxmlformats.org/officeDocument/2006/relationships/hyperlink" Target="https://www.tradingview.com/chart/Q1c5VWwD/?symbol=nem" TargetMode="External" Id="rId331" /><Relationship Type="http://schemas.openxmlformats.org/officeDocument/2006/relationships/hyperlink" Target="https://www.tradingview.com/chart/Q1c5VWwD/?symbol=net" TargetMode="External" Id="rId332" /><Relationship Type="http://schemas.openxmlformats.org/officeDocument/2006/relationships/hyperlink" Target="https://www.tradingview.com/chart/Q1c5VWwD/?symbol=nfe" TargetMode="External" Id="rId333" /><Relationship Type="http://schemas.openxmlformats.org/officeDocument/2006/relationships/hyperlink" Target="https://www.tradingview.com/chart/Q1c5VWwD/?symbol=nflx" TargetMode="External" Id="rId334" /><Relationship Type="http://schemas.openxmlformats.org/officeDocument/2006/relationships/hyperlink" Target="https://www.tradingview.com/chart/Q1c5VWwD/?symbol=ni" TargetMode="External" Id="rId335" /><Relationship Type="http://schemas.openxmlformats.org/officeDocument/2006/relationships/hyperlink" Target="https://www.tradingview.com/chart/Q1c5VWwD/?symbol=njr" TargetMode="External" Id="rId336" /><Relationship Type="http://schemas.openxmlformats.org/officeDocument/2006/relationships/hyperlink" Target="https://www.tradingview.com/chart/Q1c5VWwD/?symbol=nke" TargetMode="External" Id="rId337" /><Relationship Type="http://schemas.openxmlformats.org/officeDocument/2006/relationships/hyperlink" Target="https://www.tradingview.com/chart/Q1c5VWwD/?symbol=nktx" TargetMode="External" Id="rId338" /><Relationship Type="http://schemas.openxmlformats.org/officeDocument/2006/relationships/hyperlink" Target="https://www.tradingview.com/chart/Q1c5VWwD/?symbol=nne" TargetMode="External" Id="rId339" /><Relationship Type="http://schemas.openxmlformats.org/officeDocument/2006/relationships/hyperlink" Target="https://www.tradingview.com/chart/Q1c5VWwD/?symbol=noc" TargetMode="External" Id="rId340" /><Relationship Type="http://schemas.openxmlformats.org/officeDocument/2006/relationships/hyperlink" Target="https://www.tradingview.com/chart/Q1c5VWwD/?symbol=now" TargetMode="External" Id="rId341" /><Relationship Type="http://schemas.openxmlformats.org/officeDocument/2006/relationships/hyperlink" Target="https://www.tradingview.com/chart/Q1c5VWwD/?symbol=nrg" TargetMode="External" Id="rId342" /><Relationship Type="http://schemas.openxmlformats.org/officeDocument/2006/relationships/hyperlink" Target="https://www.tradingview.com/chart/Q1c5VWwD/?symbol=nsc" TargetMode="External" Id="rId343" /><Relationship Type="http://schemas.openxmlformats.org/officeDocument/2006/relationships/hyperlink" Target="https://www.tradingview.com/chart/Q1c5VWwD/?symbol=ntap" TargetMode="External" Id="rId344" /><Relationship Type="http://schemas.openxmlformats.org/officeDocument/2006/relationships/hyperlink" Target="https://www.tradingview.com/chart/Q1c5VWwD/?symbol=ntla" TargetMode="External" Id="rId345" /><Relationship Type="http://schemas.openxmlformats.org/officeDocument/2006/relationships/hyperlink" Target="https://www.tradingview.com/chart/Q1c5VWwD/?symbol=ntr" TargetMode="External" Id="rId346" /><Relationship Type="http://schemas.openxmlformats.org/officeDocument/2006/relationships/hyperlink" Target="https://www.tradingview.com/chart/Q1c5VWwD/?symbol=nue" TargetMode="External" Id="rId347" /><Relationship Type="http://schemas.openxmlformats.org/officeDocument/2006/relationships/hyperlink" Target="https://www.tradingview.com/chart/Q1c5VWwD/?symbol=nvda" TargetMode="External" Id="rId348" /><Relationship Type="http://schemas.openxmlformats.org/officeDocument/2006/relationships/hyperlink" Target="https://www.tradingview.com/chart/Q1c5VWwD/?symbol=nvo" TargetMode="External" Id="rId349" /><Relationship Type="http://schemas.openxmlformats.org/officeDocument/2006/relationships/hyperlink" Target="https://www.tradingview.com/chart/Q1c5VWwD/?symbol=nvr" TargetMode="External" Id="rId350" /><Relationship Type="http://schemas.openxmlformats.org/officeDocument/2006/relationships/hyperlink" Target="https://www.tradingview.com/chart/Q1c5VWwD/?symbol=nwsa" TargetMode="External" Id="rId351" /><Relationship Type="http://schemas.openxmlformats.org/officeDocument/2006/relationships/hyperlink" Target="https://www.tradingview.com/chart/Q1c5VWwD/?symbol=nxpi" TargetMode="External" Id="rId352" /><Relationship Type="http://schemas.openxmlformats.org/officeDocument/2006/relationships/hyperlink" Target="https://www.tradingview.com/chart/Q1c5VWwD/?symbol=nxt" TargetMode="External" Id="rId353" /><Relationship Type="http://schemas.openxmlformats.org/officeDocument/2006/relationships/hyperlink" Target="https://www.tradingview.com/chart/Q1c5VWwD/?symbol=o" TargetMode="External" Id="rId354" /><Relationship Type="http://schemas.openxmlformats.org/officeDocument/2006/relationships/hyperlink" Target="https://www.tradingview.com/chart/Q1c5VWwD/?symbol=odfl" TargetMode="External" Id="rId355" /><Relationship Type="http://schemas.openxmlformats.org/officeDocument/2006/relationships/hyperlink" Target="https://www.tradingview.com/chart/Q1c5VWwD/?symbol=ohi" TargetMode="External" Id="rId356" /><Relationship Type="http://schemas.openxmlformats.org/officeDocument/2006/relationships/hyperlink" Target="https://www.tradingview.com/chart/Q1c5VWwD/?symbol=oke" TargetMode="External" Id="rId357" /><Relationship Type="http://schemas.openxmlformats.org/officeDocument/2006/relationships/hyperlink" Target="https://www.tradingview.com/chart/Q1c5VWwD/?symbol=oklo" TargetMode="External" Id="rId358" /><Relationship Type="http://schemas.openxmlformats.org/officeDocument/2006/relationships/hyperlink" Target="https://www.tradingview.com/chart/Q1c5VWwD/?symbol=on" TargetMode="External" Id="rId359" /><Relationship Type="http://schemas.openxmlformats.org/officeDocument/2006/relationships/hyperlink" Target="https://www.tradingview.com/chart/Q1c5VWwD/?symbol=onds" TargetMode="External" Id="rId360" /><Relationship Type="http://schemas.openxmlformats.org/officeDocument/2006/relationships/hyperlink" Target="https://www.tradingview.com/chart/Q1c5VWwD/?symbol=onon" TargetMode="External" Id="rId361" /><Relationship Type="http://schemas.openxmlformats.org/officeDocument/2006/relationships/hyperlink" Target="https://www.tradingview.com/chart/Q1c5VWwD/?symbol=onto" TargetMode="External" Id="rId362" /><Relationship Type="http://schemas.openxmlformats.org/officeDocument/2006/relationships/hyperlink" Target="https://www.tradingview.com/chart/Q1c5VWwD/?symbol=open" TargetMode="External" Id="rId363" /><Relationship Type="http://schemas.openxmlformats.org/officeDocument/2006/relationships/hyperlink" Target="https://www.tradingview.com/chart/Q1c5VWwD/?symbol=orcl" TargetMode="External" Id="rId364" /><Relationship Type="http://schemas.openxmlformats.org/officeDocument/2006/relationships/hyperlink" Target="https://www.tradingview.com/chart/Q1c5VWwD/?symbol=oscr" TargetMode="External" Id="rId365" /><Relationship Type="http://schemas.openxmlformats.org/officeDocument/2006/relationships/hyperlink" Target="https://www.tradingview.com/chart/Q1c5VWwD/?symbol=owl" TargetMode="External" Id="rId366" /><Relationship Type="http://schemas.openxmlformats.org/officeDocument/2006/relationships/hyperlink" Target="https://www.tradingview.com/chart/Q1c5VWwD/?symbol=oxy" TargetMode="External" Id="rId367" /><Relationship Type="http://schemas.openxmlformats.org/officeDocument/2006/relationships/hyperlink" Target="https://www.tradingview.com/chart/Q1c5VWwD/?symbol=paas" TargetMode="External" Id="rId368" /><Relationship Type="http://schemas.openxmlformats.org/officeDocument/2006/relationships/hyperlink" Target="https://www.tradingview.com/chart/Q1c5VWwD/?symbol=panw" TargetMode="External" Id="rId369" /><Relationship Type="http://schemas.openxmlformats.org/officeDocument/2006/relationships/hyperlink" Target="https://www.tradingview.com/chart/Q1c5VWwD/?symbol=para" TargetMode="External" Id="rId370" /><Relationship Type="http://schemas.openxmlformats.org/officeDocument/2006/relationships/hyperlink" Target="https://www.tradingview.com/chart/Q1c5VWwD/?symbol=payx" TargetMode="External" Id="rId371" /><Relationship Type="http://schemas.openxmlformats.org/officeDocument/2006/relationships/hyperlink" Target="https://www.tradingview.com/chart/Q1c5VWwD/?symbol=pcar" TargetMode="External" Id="rId372" /><Relationship Type="http://schemas.openxmlformats.org/officeDocument/2006/relationships/hyperlink" Target="https://www.tradingview.com/chart/Q1c5VWwD/?symbol=pep" TargetMode="External" Id="rId373" /><Relationship Type="http://schemas.openxmlformats.org/officeDocument/2006/relationships/hyperlink" Target="https://www.tradingview.com/chart/Q1c5VWwD/?symbol=pfe" TargetMode="External" Id="rId374" /><Relationship Type="http://schemas.openxmlformats.org/officeDocument/2006/relationships/hyperlink" Target="https://www.tradingview.com/chart/Q1c5VWwD/?symbol=pfgc" TargetMode="External" Id="rId375" /><Relationship Type="http://schemas.openxmlformats.org/officeDocument/2006/relationships/hyperlink" Target="https://www.tradingview.com/chart/Q1c5VWwD/?symbol=pg" TargetMode="External" Id="rId376" /><Relationship Type="http://schemas.openxmlformats.org/officeDocument/2006/relationships/hyperlink" Target="https://www.tradingview.com/chart/Q1c5VWwD/?symbol=pgr" TargetMode="External" Id="rId377" /><Relationship Type="http://schemas.openxmlformats.org/officeDocument/2006/relationships/hyperlink" Target="https://www.tradingview.com/chart/Q1c5VWwD/?symbol=phm" TargetMode="External" Id="rId378" /><Relationship Type="http://schemas.openxmlformats.org/officeDocument/2006/relationships/hyperlink" Target="https://www.tradingview.com/chart/Q1c5VWwD/?symbol=pins" TargetMode="External" Id="rId379" /><Relationship Type="http://schemas.openxmlformats.org/officeDocument/2006/relationships/hyperlink" Target="https://www.tradingview.com/chart/Q1c5VWwD/?symbol=pkg" TargetMode="External" Id="rId380" /><Relationship Type="http://schemas.openxmlformats.org/officeDocument/2006/relationships/hyperlink" Target="https://www.tradingview.com/chart/Q1c5VWwD/?symbol=pl" TargetMode="External" Id="rId381" /><Relationship Type="http://schemas.openxmlformats.org/officeDocument/2006/relationships/hyperlink" Target="https://www.tradingview.com/chart/Q1c5VWwD/?symbol=pld" TargetMode="External" Id="rId382" /><Relationship Type="http://schemas.openxmlformats.org/officeDocument/2006/relationships/hyperlink" Target="https://www.tradingview.com/chart/Q1c5VWwD/?symbol=pltk" TargetMode="External" Id="rId383" /><Relationship Type="http://schemas.openxmlformats.org/officeDocument/2006/relationships/hyperlink" Target="https://www.tradingview.com/chart/Q1c5VWwD/?symbol=pltr" TargetMode="External" Id="rId384" /><Relationship Type="http://schemas.openxmlformats.org/officeDocument/2006/relationships/hyperlink" Target="https://www.tradingview.com/chart/Q1c5VWwD/?symbol=pm" TargetMode="External" Id="rId385" /><Relationship Type="http://schemas.openxmlformats.org/officeDocument/2006/relationships/hyperlink" Target="https://www.tradingview.com/chart/Q1c5VWwD/?symbol=pnc" TargetMode="External" Id="rId386" /><Relationship Type="http://schemas.openxmlformats.org/officeDocument/2006/relationships/hyperlink" Target="https://www.tradingview.com/chart/Q1c5VWwD/?symbol=poet" TargetMode="External" Id="rId387" /><Relationship Type="http://schemas.openxmlformats.org/officeDocument/2006/relationships/hyperlink" Target="https://www.tradingview.com/chart/Q1c5VWwD/?symbol=pool" TargetMode="External" Id="rId388" /><Relationship Type="http://schemas.openxmlformats.org/officeDocument/2006/relationships/hyperlink" Target="https://www.tradingview.com/chart/Q1c5VWwD/?symbol=prim" TargetMode="External" Id="rId389" /><Relationship Type="http://schemas.openxmlformats.org/officeDocument/2006/relationships/hyperlink" Target="https://www.tradingview.com/chart/Q1c5VWwD/?symbol=pru" TargetMode="External" Id="rId390" /><Relationship Type="http://schemas.openxmlformats.org/officeDocument/2006/relationships/hyperlink" Target="https://www.tradingview.com/chart/Q1c5VWwD/?symbol=psa" TargetMode="External" Id="rId391" /><Relationship Type="http://schemas.openxmlformats.org/officeDocument/2006/relationships/hyperlink" Target="https://www.tradingview.com/chart/Q1c5VWwD/?symbol=psx" TargetMode="External" Id="rId392" /><Relationship Type="http://schemas.openxmlformats.org/officeDocument/2006/relationships/hyperlink" Target="https://www.tradingview.com/chart/Q1c5VWwD/?symbol=pwr" TargetMode="External" Id="rId393" /><Relationship Type="http://schemas.openxmlformats.org/officeDocument/2006/relationships/hyperlink" Target="https://www.tradingview.com/chart/Q1c5VWwD/?symbol=pypl" TargetMode="External" Id="rId394" /><Relationship Type="http://schemas.openxmlformats.org/officeDocument/2006/relationships/hyperlink" Target="https://www.tradingview.com/chart/Q1c5VWwD/?symbol=qbts" TargetMode="External" Id="rId395" /><Relationship Type="http://schemas.openxmlformats.org/officeDocument/2006/relationships/hyperlink" Target="https://www.tradingview.com/chart/Q1c5VWwD/?symbol=qcom" TargetMode="External" Id="rId396" /><Relationship Type="http://schemas.openxmlformats.org/officeDocument/2006/relationships/hyperlink" Target="https://www.tradingview.com/chart/Q1c5VWwD/?symbol=qubt" TargetMode="External" Id="rId397" /><Relationship Type="http://schemas.openxmlformats.org/officeDocument/2006/relationships/hyperlink" Target="https://www.tradingview.com/chart/Q1c5VWwD/?symbol=rblx" TargetMode="External" Id="rId398" /><Relationship Type="http://schemas.openxmlformats.org/officeDocument/2006/relationships/hyperlink" Target="https://www.tradingview.com/chart/Q1c5VWwD/?symbol=rcat" TargetMode="External" Id="rId399" /><Relationship Type="http://schemas.openxmlformats.org/officeDocument/2006/relationships/hyperlink" Target="https://www.tradingview.com/chart/Q1c5VWwD/?symbol=rcl" TargetMode="External" Id="rId400" /><Relationship Type="http://schemas.openxmlformats.org/officeDocument/2006/relationships/hyperlink" Target="https://www.tradingview.com/chart/Q1c5VWwD/?symbol=rddt" TargetMode="External" Id="rId401" /><Relationship Type="http://schemas.openxmlformats.org/officeDocument/2006/relationships/hyperlink" Target="https://www.tradingview.com/chart/Q1c5VWwD/?symbol=rdw" TargetMode="External" Id="rId402" /><Relationship Type="http://schemas.openxmlformats.org/officeDocument/2006/relationships/hyperlink" Target="https://www.tradingview.com/chart/Q1c5VWwD/?symbol=reg" TargetMode="External" Id="rId403" /><Relationship Type="http://schemas.openxmlformats.org/officeDocument/2006/relationships/hyperlink" Target="https://www.tradingview.com/chart/Q1c5VWwD/?symbol=regn" TargetMode="External" Id="rId404" /><Relationship Type="http://schemas.openxmlformats.org/officeDocument/2006/relationships/hyperlink" Target="https://www.tradingview.com/chart/Q1c5VWwD/?symbol=rgld" TargetMode="External" Id="rId405" /><Relationship Type="http://schemas.openxmlformats.org/officeDocument/2006/relationships/hyperlink" Target="https://www.tradingview.com/chart/Q1c5VWwD/?symbol=rgti" TargetMode="External" Id="rId406" /><Relationship Type="http://schemas.openxmlformats.org/officeDocument/2006/relationships/hyperlink" Target="https://www.tradingview.com/chart/Q1c5VWwD/?symbol=rhi" TargetMode="External" Id="rId407" /><Relationship Type="http://schemas.openxmlformats.org/officeDocument/2006/relationships/hyperlink" Target="https://www.tradingview.com/chart/Q1c5VWwD/?symbol=rig" TargetMode="External" Id="rId408" /><Relationship Type="http://schemas.openxmlformats.org/officeDocument/2006/relationships/hyperlink" Target="https://www.tradingview.com/chart/Q1c5VWwD/?symbol=riot" TargetMode="External" Id="rId409" /><Relationship Type="http://schemas.openxmlformats.org/officeDocument/2006/relationships/hyperlink" Target="https://www.tradingview.com/chart/Q1c5VWwD/?symbol=rivn" TargetMode="External" Id="rId410" /><Relationship Type="http://schemas.openxmlformats.org/officeDocument/2006/relationships/hyperlink" Target="https://www.tradingview.com/chart/Q1c5VWwD/?symbol=rklb" TargetMode="External" Id="rId411" /><Relationship Type="http://schemas.openxmlformats.org/officeDocument/2006/relationships/hyperlink" Target="https://www.tradingview.com/chart/Q1c5VWwD/?symbol=rl" TargetMode="External" Id="rId412" /><Relationship Type="http://schemas.openxmlformats.org/officeDocument/2006/relationships/hyperlink" Target="https://www.tradingview.com/chart/Q1c5VWwD/?symbol=rmbs" TargetMode="External" Id="rId413" /><Relationship Type="http://schemas.openxmlformats.org/officeDocument/2006/relationships/hyperlink" Target="https://www.tradingview.com/chart/Q1c5VWwD/?symbol=rnr" TargetMode="External" Id="rId414" /><Relationship Type="http://schemas.openxmlformats.org/officeDocument/2006/relationships/hyperlink" Target="https://www.tradingview.com/chart/Q1c5VWwD/?symbol=rok" TargetMode="External" Id="rId415" /><Relationship Type="http://schemas.openxmlformats.org/officeDocument/2006/relationships/hyperlink" Target="https://www.tradingview.com/chart/Q1c5VWwD/?symbol=roku" TargetMode="External" Id="rId416" /><Relationship Type="http://schemas.openxmlformats.org/officeDocument/2006/relationships/hyperlink" Target="https://www.tradingview.com/chart/Q1c5VWwD/?symbol=rost" TargetMode="External" Id="rId417" /><Relationship Type="http://schemas.openxmlformats.org/officeDocument/2006/relationships/hyperlink" Target="https://www.tradingview.com/chart/Q1c5VWwD/?symbol=rs" TargetMode="External" Id="rId418" /><Relationship Type="http://schemas.openxmlformats.org/officeDocument/2006/relationships/hyperlink" Target="https://www.tradingview.com/chart/Q1c5VWwD/?symbol=rsg" TargetMode="External" Id="rId419" /><Relationship Type="http://schemas.openxmlformats.org/officeDocument/2006/relationships/hyperlink" Target="https://www.tradingview.com/chart/Q1c5VWwD/?symbol=rtx" TargetMode="External" Id="rId420" /><Relationship Type="http://schemas.openxmlformats.org/officeDocument/2006/relationships/hyperlink" Target="https://www.tradingview.com/chart/Q1c5VWwD/?symbol=run" TargetMode="External" Id="rId421" /><Relationship Type="http://schemas.openxmlformats.org/officeDocument/2006/relationships/hyperlink" Target="https://www.tradingview.com/chart/Q1c5VWwD/?symbol=rvmd" TargetMode="External" Id="rId422" /><Relationship Type="http://schemas.openxmlformats.org/officeDocument/2006/relationships/hyperlink" Target="https://www.tradingview.com/chart/Q1c5VWwD/?symbol=rxt" TargetMode="External" Id="rId423" /><Relationship Type="http://schemas.openxmlformats.org/officeDocument/2006/relationships/hyperlink" Target="https://www.tradingview.com/chart/Q1c5VWwD/?symbol=s" TargetMode="External" Id="rId424" /><Relationship Type="http://schemas.openxmlformats.org/officeDocument/2006/relationships/hyperlink" Target="https://www.tradingview.com/chart/Q1c5VWwD/?symbol=sana" TargetMode="External" Id="rId425" /><Relationship Type="http://schemas.openxmlformats.org/officeDocument/2006/relationships/hyperlink" Target="https://www.tradingview.com/chart/Q1c5VWwD/?symbol=sbac" TargetMode="External" Id="rId426" /><Relationship Type="http://schemas.openxmlformats.org/officeDocument/2006/relationships/hyperlink" Target="https://www.tradingview.com/chart/Q1c5VWwD/?symbol=sbgsy" TargetMode="External" Id="rId427" /><Relationship Type="http://schemas.openxmlformats.org/officeDocument/2006/relationships/hyperlink" Target="https://www.tradingview.com/chart/Q1c5VWwD/?symbol=sbux" TargetMode="External" Id="rId428" /><Relationship Type="http://schemas.openxmlformats.org/officeDocument/2006/relationships/hyperlink" Target="https://www.tradingview.com/chart/Q1c5VWwD/?symbol=scco" TargetMode="External" Id="rId429" /><Relationship Type="http://schemas.openxmlformats.org/officeDocument/2006/relationships/hyperlink" Target="https://www.tradingview.com/chart/Q1c5VWwD/?symbol=sci" TargetMode="External" Id="rId430" /><Relationship Type="http://schemas.openxmlformats.org/officeDocument/2006/relationships/hyperlink" Target="https://www.tradingview.com/chart/Q1c5VWwD/?symbol=shop" TargetMode="External" Id="rId431" /><Relationship Type="http://schemas.openxmlformats.org/officeDocument/2006/relationships/hyperlink" Target="https://www.tradingview.com/chart/Q1c5VWwD/?symbol=shw" TargetMode="External" Id="rId432" /><Relationship Type="http://schemas.openxmlformats.org/officeDocument/2006/relationships/hyperlink" Target="https://www.tradingview.com/chart/Q1c5VWwD/?symbol=simo" TargetMode="External" Id="rId433" /><Relationship Type="http://schemas.openxmlformats.org/officeDocument/2006/relationships/hyperlink" Target="https://www.tradingview.com/chart/Q1c5VWwD/?symbol=slb" TargetMode="External" Id="rId434" /><Relationship Type="http://schemas.openxmlformats.org/officeDocument/2006/relationships/hyperlink" Target="https://www.tradingview.com/chart/Q1c5VWwD/?symbol=slg" TargetMode="External" Id="rId435" /><Relationship Type="http://schemas.openxmlformats.org/officeDocument/2006/relationships/hyperlink" Target="https://www.tradingview.com/chart/Q1c5VWwD/?symbol=smci" TargetMode="External" Id="rId436" /><Relationship Type="http://schemas.openxmlformats.org/officeDocument/2006/relationships/hyperlink" Target="https://www.tradingview.com/chart/Q1c5VWwD/?symbol=smr" TargetMode="External" Id="rId437" /><Relationship Type="http://schemas.openxmlformats.org/officeDocument/2006/relationships/hyperlink" Target="https://www.tradingview.com/chart/Q1c5VWwD/?symbol=smtc" TargetMode="External" Id="rId438" /><Relationship Type="http://schemas.openxmlformats.org/officeDocument/2006/relationships/hyperlink" Target="https://www.tradingview.com/chart/Q1c5VWwD/?symbol=snap" TargetMode="External" Id="rId439" /><Relationship Type="http://schemas.openxmlformats.org/officeDocument/2006/relationships/hyperlink" Target="https://www.tradingview.com/chart/Q1c5VWwD/?symbol=sndk" TargetMode="External" Id="rId440" /><Relationship Type="http://schemas.openxmlformats.org/officeDocument/2006/relationships/hyperlink" Target="https://www.tradingview.com/chart/Q1c5VWwD/?symbol=snow" TargetMode="External" Id="rId441" /><Relationship Type="http://schemas.openxmlformats.org/officeDocument/2006/relationships/hyperlink" Target="https://www.tradingview.com/chart/Q1c5VWwD/?symbol=snps" TargetMode="External" Id="rId442" /><Relationship Type="http://schemas.openxmlformats.org/officeDocument/2006/relationships/hyperlink" Target="https://www.tradingview.com/chart/Q1c5VWwD/?symbol=so" TargetMode="External" Id="rId443" /><Relationship Type="http://schemas.openxmlformats.org/officeDocument/2006/relationships/hyperlink" Target="https://www.tradingview.com/chart/Q1c5VWwD/?symbol=sofi" TargetMode="External" Id="rId444" /><Relationship Type="http://schemas.openxmlformats.org/officeDocument/2006/relationships/hyperlink" Target="https://www.tradingview.com/chart/Q1c5VWwD/?symbol=soun" TargetMode="External" Id="rId445" /><Relationship Type="http://schemas.openxmlformats.org/officeDocument/2006/relationships/hyperlink" Target="https://www.tradingview.com/chart/Q1c5VWwD/?symbol=spg" TargetMode="External" Id="rId446" /><Relationship Type="http://schemas.openxmlformats.org/officeDocument/2006/relationships/hyperlink" Target="https://www.tradingview.com/chart/Q1c5VWwD/?symbol=spgi" TargetMode="External" Id="rId447" /><Relationship Type="http://schemas.openxmlformats.org/officeDocument/2006/relationships/hyperlink" Target="https://www.tradingview.com/chart/Q1c5VWwD/?symbol=sr" TargetMode="External" Id="rId448" /><Relationship Type="http://schemas.openxmlformats.org/officeDocument/2006/relationships/hyperlink" Target="https://www.tradingview.com/chart/Q1c5VWwD/?symbol=stag" TargetMode="External" Id="rId449" /><Relationship Type="http://schemas.openxmlformats.org/officeDocument/2006/relationships/hyperlink" Target="https://www.tradingview.com/chart/Q1c5VWwD/?symbol=stld" TargetMode="External" Id="rId450" /><Relationship Type="http://schemas.openxmlformats.org/officeDocument/2006/relationships/hyperlink" Target="https://www.tradingview.com/chart/Q1c5VWwD/?symbol=stx" TargetMode="External" Id="rId451" /><Relationship Type="http://schemas.openxmlformats.org/officeDocument/2006/relationships/hyperlink" Target="https://www.tradingview.com/chart/Q1c5VWwD/?symbol=stz" TargetMode="External" Id="rId452" /><Relationship Type="http://schemas.openxmlformats.org/officeDocument/2006/relationships/hyperlink" Target="https://www.tradingview.com/chart/Q1c5VWwD/?symbol=syf" TargetMode="External" Id="rId453" /><Relationship Type="http://schemas.openxmlformats.org/officeDocument/2006/relationships/hyperlink" Target="https://www.tradingview.com/chart/Q1c5VWwD/?symbol=syk" TargetMode="External" Id="rId454" /><Relationship Type="http://schemas.openxmlformats.org/officeDocument/2006/relationships/hyperlink" Target="https://www.tradingview.com/chart/Q1c5VWwD/?symbol=sym" TargetMode="External" Id="rId455" /><Relationship Type="http://schemas.openxmlformats.org/officeDocument/2006/relationships/hyperlink" Target="https://www.tradingview.com/chart/Q1c5VWwD/?symbol=syy" TargetMode="External" Id="rId456" /><Relationship Type="http://schemas.openxmlformats.org/officeDocument/2006/relationships/hyperlink" Target="https://www.tradingview.com/chart/Q1c5VWwD/?symbol=t" TargetMode="External" Id="rId457" /><Relationship Type="http://schemas.openxmlformats.org/officeDocument/2006/relationships/hyperlink" Target="https://www.tradingview.com/chart/Q1c5VWwD/?symbol=tap" TargetMode="External" Id="rId458" /><Relationship Type="http://schemas.openxmlformats.org/officeDocument/2006/relationships/hyperlink" Target="https://www.tradingview.com/chart/Q1c5VWwD/?symbol=tcehy" TargetMode="External" Id="rId459" /><Relationship Type="http://schemas.openxmlformats.org/officeDocument/2006/relationships/hyperlink" Target="https://www.tradingview.com/chart/Q1c5VWwD/?symbol=tdoc" TargetMode="External" Id="rId460" /><Relationship Type="http://schemas.openxmlformats.org/officeDocument/2006/relationships/hyperlink" Target="https://www.tradingview.com/chart/Q1c5VWwD/?symbol=tdw" TargetMode="External" Id="rId461" /><Relationship Type="http://schemas.openxmlformats.org/officeDocument/2006/relationships/hyperlink" Target="https://www.tradingview.com/chart/Q1c5VWwD/?symbol=team" TargetMode="External" Id="rId462" /><Relationship Type="http://schemas.openxmlformats.org/officeDocument/2006/relationships/hyperlink" Target="https://www.tradingview.com/chart/Q1c5VWwD/?symbol=teck" TargetMode="External" Id="rId463" /><Relationship Type="http://schemas.openxmlformats.org/officeDocument/2006/relationships/hyperlink" Target="https://www.tradingview.com/chart/Q1c5VWwD/?symbol=tel" TargetMode="External" Id="rId464" /><Relationship Type="http://schemas.openxmlformats.org/officeDocument/2006/relationships/hyperlink" Target="https://www.tradingview.com/chart/Q1c5VWwD/?symbol=ter" TargetMode="External" Id="rId465" /><Relationship Type="http://schemas.openxmlformats.org/officeDocument/2006/relationships/hyperlink" Target="https://www.tradingview.com/chart/Q1c5VWwD/?symbol=tfc" TargetMode="External" Id="rId466" /><Relationship Type="http://schemas.openxmlformats.org/officeDocument/2006/relationships/hyperlink" Target="https://www.tradingview.com/chart/Q1c5VWwD/?symbol=thc" TargetMode="External" Id="rId467" /><Relationship Type="http://schemas.openxmlformats.org/officeDocument/2006/relationships/hyperlink" Target="https://www.tradingview.com/chart/Q1c5VWwD/?symbol=tjx" TargetMode="External" Id="rId468" /><Relationship Type="http://schemas.openxmlformats.org/officeDocument/2006/relationships/hyperlink" Target="https://www.tradingview.com/chart/Q1c5VWwD/?symbol=tln" TargetMode="External" Id="rId469" /><Relationship Type="http://schemas.openxmlformats.org/officeDocument/2006/relationships/hyperlink" Target="https://www.tradingview.com/chart/Q1c5VWwD/?symbol=tmc" TargetMode="External" Id="rId470" /><Relationship Type="http://schemas.openxmlformats.org/officeDocument/2006/relationships/hyperlink" Target="https://www.tradingview.com/chart/Q1c5VWwD/?symbol=tmo" TargetMode="External" Id="rId471" /><Relationship Type="http://schemas.openxmlformats.org/officeDocument/2006/relationships/hyperlink" Target="https://www.tradingview.com/chart/Q1c5VWwD/?symbol=tmus" TargetMode="External" Id="rId472" /><Relationship Type="http://schemas.openxmlformats.org/officeDocument/2006/relationships/hyperlink" Target="https://www.tradingview.com/chart/Q1c5VWwD/?symbol=tol" TargetMode="External" Id="rId473" /><Relationship Type="http://schemas.openxmlformats.org/officeDocument/2006/relationships/hyperlink" Target="https://www.tradingview.com/chart/Q1c5VWwD/?symbol=tost" TargetMode="External" Id="rId474" /><Relationship Type="http://schemas.openxmlformats.org/officeDocument/2006/relationships/hyperlink" Target="https://www.tradingview.com/chart/Q1c5VWwD/?symbol=tpb" TargetMode="External" Id="rId475" /><Relationship Type="http://schemas.openxmlformats.org/officeDocument/2006/relationships/hyperlink" Target="https://www.tradingview.com/chart/Q1c5VWwD/?symbol=trow" TargetMode="External" Id="rId476" /><Relationship Type="http://schemas.openxmlformats.org/officeDocument/2006/relationships/hyperlink" Target="https://www.tradingview.com/chart/Q1c5VWwD/?symbol=trv" TargetMode="External" Id="rId477" /><Relationship Type="http://schemas.openxmlformats.org/officeDocument/2006/relationships/hyperlink" Target="https://www.tradingview.com/chart/Q1c5VWwD/?symbol=tsem" TargetMode="External" Id="rId478" /><Relationship Type="http://schemas.openxmlformats.org/officeDocument/2006/relationships/hyperlink" Target="https://www.tradingview.com/chart/Q1c5VWwD/?symbol=tsla" TargetMode="External" Id="rId479" /><Relationship Type="http://schemas.openxmlformats.org/officeDocument/2006/relationships/hyperlink" Target="https://www.tradingview.com/chart/Q1c5VWwD/?symbol=tsm" TargetMode="External" Id="rId480" /><Relationship Type="http://schemas.openxmlformats.org/officeDocument/2006/relationships/hyperlink" Target="https://www.tradingview.com/chart/Q1c5VWwD/?symbol=tsn" TargetMode="External" Id="rId481" /><Relationship Type="http://schemas.openxmlformats.org/officeDocument/2006/relationships/hyperlink" Target="https://www.tradingview.com/chart/Q1c5VWwD/?symbol=tt" TargetMode="External" Id="rId482" /><Relationship Type="http://schemas.openxmlformats.org/officeDocument/2006/relationships/hyperlink" Target="https://www.tradingview.com/chart/Q1c5VWwD/?symbol=ttwo" TargetMode="External" Id="rId483" /><Relationship Type="http://schemas.openxmlformats.org/officeDocument/2006/relationships/hyperlink" Target="https://www.tradingview.com/chart/Q1c5VWwD/?symbol=txn" TargetMode="External" Id="rId484" /><Relationship Type="http://schemas.openxmlformats.org/officeDocument/2006/relationships/hyperlink" Target="https://www.tradingview.com/chart/Q1c5VWwD/?symbol=ual" TargetMode="External" Id="rId485" /><Relationship Type="http://schemas.openxmlformats.org/officeDocument/2006/relationships/hyperlink" Target="https://www.tradingview.com/chart/Q1c5VWwD/?symbol=uec" TargetMode="External" Id="rId486" /><Relationship Type="http://schemas.openxmlformats.org/officeDocument/2006/relationships/hyperlink" Target="https://www.tradingview.com/chart/Q1c5VWwD/?symbol=uhs" TargetMode="External" Id="rId487" /><Relationship Type="http://schemas.openxmlformats.org/officeDocument/2006/relationships/hyperlink" Target="https://www.tradingview.com/chart/Q1c5VWwD/?symbol=umc" TargetMode="External" Id="rId488" /><Relationship Type="http://schemas.openxmlformats.org/officeDocument/2006/relationships/hyperlink" Target="https://www.tradingview.com/chart/Q1c5VWwD/?symbol=unh" TargetMode="External" Id="rId489" /><Relationship Type="http://schemas.openxmlformats.org/officeDocument/2006/relationships/hyperlink" Target="https://www.tradingview.com/chart/Q1c5VWwD/?symbol=unp" TargetMode="External" Id="rId490" /><Relationship Type="http://schemas.openxmlformats.org/officeDocument/2006/relationships/hyperlink" Target="https://www.tradingview.com/chart/Q1c5VWwD/?symbol=ups" TargetMode="External" Id="rId491" /><Relationship Type="http://schemas.openxmlformats.org/officeDocument/2006/relationships/hyperlink" Target="https://www.tradingview.com/chart/Q1c5VWwD/?symbol=upst" TargetMode="External" Id="rId492" /><Relationship Type="http://schemas.openxmlformats.org/officeDocument/2006/relationships/hyperlink" Target="https://www.tradingview.com/chart/Q1c5VWwD/?symbol=usar" TargetMode="External" Id="rId493" /><Relationship Type="http://schemas.openxmlformats.org/officeDocument/2006/relationships/hyperlink" Target="https://www.tradingview.com/chart/Q1c5VWwD/?symbol=usb" TargetMode="External" Id="rId494" /><Relationship Type="http://schemas.openxmlformats.org/officeDocument/2006/relationships/hyperlink" Target="https://www.tradingview.com/chart/Q1c5VWwD/?symbol=usfd" TargetMode="External" Id="rId495" /><Relationship Type="http://schemas.openxmlformats.org/officeDocument/2006/relationships/hyperlink" Target="https://www.tradingview.com/chart/Q1c5VWwD/?symbol=uuuu" TargetMode="External" Id="rId496" /><Relationship Type="http://schemas.openxmlformats.org/officeDocument/2006/relationships/hyperlink" Target="https://www.tradingview.com/chart/Q1c5VWwD/?symbol=v" TargetMode="External" Id="rId497" /><Relationship Type="http://schemas.openxmlformats.org/officeDocument/2006/relationships/hyperlink" Target="https://www.tradingview.com/chart/Q1c5VWwD/?symbol=val" TargetMode="External" Id="rId498" /><Relationship Type="http://schemas.openxmlformats.org/officeDocument/2006/relationships/hyperlink" Target="https://www.tradingview.com/chart/Q1c5VWwD/?symbol=veco" TargetMode="External" Id="rId499" /><Relationship Type="http://schemas.openxmlformats.org/officeDocument/2006/relationships/hyperlink" Target="https://www.tradingview.com/chart/Q1c5VWwD/?symbol=vg" TargetMode="External" Id="rId500" /><Relationship Type="http://schemas.openxmlformats.org/officeDocument/2006/relationships/hyperlink" Target="https://www.tradingview.com/chart/Q1c5VWwD/?symbol=viav" TargetMode="External" Id="rId501" /><Relationship Type="http://schemas.openxmlformats.org/officeDocument/2006/relationships/hyperlink" Target="https://www.tradingview.com/chart/Q1c5VWwD/?symbol=vici" TargetMode="External" Id="rId502" /><Relationship Type="http://schemas.openxmlformats.org/officeDocument/2006/relationships/hyperlink" Target="https://www.tradingview.com/chart/Q1c5VWwD/?symbol=vktx" TargetMode="External" Id="rId503" /><Relationship Type="http://schemas.openxmlformats.org/officeDocument/2006/relationships/hyperlink" Target="https://www.tradingview.com/chart/Q1c5VWwD/?symbol=vlo" TargetMode="External" Id="rId504" /><Relationship Type="http://schemas.openxmlformats.org/officeDocument/2006/relationships/hyperlink" Target="https://www.tradingview.com/chart/Q1c5VWwD/?symbol=vmc" TargetMode="External" Id="rId505" /><Relationship Type="http://schemas.openxmlformats.org/officeDocument/2006/relationships/hyperlink" Target="https://www.tradingview.com/chart/Q1c5VWwD/?symbol=vno" TargetMode="External" Id="rId506" /><Relationship Type="http://schemas.openxmlformats.org/officeDocument/2006/relationships/hyperlink" Target="https://www.tradingview.com/chart/Q1c5VWwD/?symbol=vrt" TargetMode="External" Id="rId507" /><Relationship Type="http://schemas.openxmlformats.org/officeDocument/2006/relationships/hyperlink" Target="https://www.tradingview.com/chart/Q1c5VWwD/?symbol=vrtx" TargetMode="External" Id="rId508" /><Relationship Type="http://schemas.openxmlformats.org/officeDocument/2006/relationships/hyperlink" Target="https://www.tradingview.com/chart/Q1c5VWwD/?symbol=vst" TargetMode="External" Id="rId509" /><Relationship Type="http://schemas.openxmlformats.org/officeDocument/2006/relationships/hyperlink" Target="https://www.tradingview.com/chart/Q1c5VWwD/?symbol=vtr" TargetMode="External" Id="rId510" /><Relationship Type="http://schemas.openxmlformats.org/officeDocument/2006/relationships/hyperlink" Target="https://www.tradingview.com/chart/Q1c5VWwD/?symbol=vz" TargetMode="External" Id="rId511" /><Relationship Type="http://schemas.openxmlformats.org/officeDocument/2006/relationships/hyperlink" Target="https://www.tradingview.com/chart/Q1c5VWwD/?symbol=w" TargetMode="External" Id="rId512" /><Relationship Type="http://schemas.openxmlformats.org/officeDocument/2006/relationships/hyperlink" Target="https://www.tradingview.com/chart/Q1c5VWwD/?symbol=wbd" TargetMode="External" Id="rId513" /><Relationship Type="http://schemas.openxmlformats.org/officeDocument/2006/relationships/hyperlink" Target="https://www.tradingview.com/chart/Q1c5VWwD/?symbol=wcn" TargetMode="External" Id="rId514" /><Relationship Type="http://schemas.openxmlformats.org/officeDocument/2006/relationships/hyperlink" Target="https://www.tradingview.com/chart/Q1c5VWwD/?symbol=wday" TargetMode="External" Id="rId515" /><Relationship Type="http://schemas.openxmlformats.org/officeDocument/2006/relationships/hyperlink" Target="https://www.tradingview.com/chart/Q1c5VWwD/?symbol=wdc" TargetMode="External" Id="rId516" /><Relationship Type="http://schemas.openxmlformats.org/officeDocument/2006/relationships/hyperlink" Target="https://www.tradingview.com/chart/Q1c5VWwD/?symbol=well" TargetMode="External" Id="rId517" /><Relationship Type="http://schemas.openxmlformats.org/officeDocument/2006/relationships/hyperlink" Target="https://www.tradingview.com/chart/Q1c5VWwD/?symbol=wfc" TargetMode="External" Id="rId518" /><Relationship Type="http://schemas.openxmlformats.org/officeDocument/2006/relationships/hyperlink" Target="https://www.tradingview.com/chart/Q1c5VWwD/?symbol=wfrd" TargetMode="External" Id="rId519" /><Relationship Type="http://schemas.openxmlformats.org/officeDocument/2006/relationships/hyperlink" Target="https://www.tradingview.com/chart/Q1c5VWwD/?symbol=whr" TargetMode="External" Id="rId520" /><Relationship Type="http://schemas.openxmlformats.org/officeDocument/2006/relationships/hyperlink" Target="https://www.tradingview.com/chart/Q1c5VWwD/?symbol=wm" TargetMode="External" Id="rId521" /><Relationship Type="http://schemas.openxmlformats.org/officeDocument/2006/relationships/hyperlink" Target="https://www.tradingview.com/chart/Q1c5VWwD/?symbol=wmb" TargetMode="External" Id="rId522" /><Relationship Type="http://schemas.openxmlformats.org/officeDocument/2006/relationships/hyperlink" Target="https://www.tradingview.com/chart/Q1c5VWwD/?symbol=wmt" TargetMode="External" Id="rId523" /><Relationship Type="http://schemas.openxmlformats.org/officeDocument/2006/relationships/hyperlink" Target="https://www.tradingview.com/chart/Q1c5VWwD/?symbol=wtrg" TargetMode="External" Id="rId524" /><Relationship Type="http://schemas.openxmlformats.org/officeDocument/2006/relationships/hyperlink" Target="https://www.tradingview.com/chart/Q1c5VWwD/?symbol=wtw" TargetMode="External" Id="rId525" /><Relationship Type="http://schemas.openxmlformats.org/officeDocument/2006/relationships/hyperlink" Target="https://www.tradingview.com/chart/Q1c5VWwD/?symbol=xel" TargetMode="External" Id="rId526" /><Relationship Type="http://schemas.openxmlformats.org/officeDocument/2006/relationships/hyperlink" Target="https://www.tradingview.com/chart/Q1c5VWwD/?symbol=xom" TargetMode="External" Id="rId527" /><Relationship Type="http://schemas.openxmlformats.org/officeDocument/2006/relationships/hyperlink" Target="https://www.tradingview.com/chart/Q1c5VWwD/?symbol=xpo" TargetMode="External" Id="rId528" /><Relationship Type="http://schemas.openxmlformats.org/officeDocument/2006/relationships/hyperlink" Target="https://www.tradingview.com/chart/Q1c5VWwD/?symbol=yum" TargetMode="External" Id="rId529" /><Relationship Type="http://schemas.openxmlformats.org/officeDocument/2006/relationships/hyperlink" Target="https://www.tradingview.com/chart/Q1c5VWwD/?symbol=z" TargetMode="External" Id="rId530" /><Relationship Type="http://schemas.openxmlformats.org/officeDocument/2006/relationships/hyperlink" Target="https://www.tradingview.com/chart/Q1c5VWwD/?symbol=zion" TargetMode="External" Id="rId531" /><Relationship Type="http://schemas.openxmlformats.org/officeDocument/2006/relationships/hyperlink" Target="https://www.tradingview.com/chart/Q1c5VWwD/?symbol=zs" TargetMode="External" Id="rId5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24" customWidth="1" min="1" max="1"/>
  </cols>
  <sheetData>
    <row r="1">
      <c r="A1" s="1" t="inlineStr">
        <is>
          <t>美股觀察名單 — 全體成分股「營收 / 營利」對照表 R1.00</t>
        </is>
      </c>
    </row>
    <row r="2">
      <c r="A2" s="2" t="inlineStr">
        <is>
          <t>編製時間 2026-09-07 10:18 HKT ｜ 532 隻 ｜ 涵蓋 Sub-Sector Watchlist R4.00（491 隻）與 AI Sector Watchlist R5.00（111 隻），70 隻兩表重疊</t>
        </is>
      </c>
    </row>
    <row r="3">
      <c r="A3" s="2" t="inlineStr"/>
    </row>
    <row r="4">
      <c r="A4" s="3" t="inlineStr">
        <is>
          <t>【本表用途】</t>
        </is>
      </c>
    </row>
    <row r="5">
      <c r="A5" s="2" t="inlineStr">
        <is>
          <t>• 兩份資金流向報告只看價量，唔睇基本面。本表補上每隻成分股嘅「賺唔賺到錢」——最近五個季度營收、四個季度營業利益、</t>
        </is>
      </c>
    </row>
    <row r="6">
      <c r="A6" s="2" t="inlineStr">
        <is>
          <t xml:space="preserve">  以及最新一季嘅毛利率／營業利益率／淨利率，令「資金流入邊個板塊」可以同「邊個板塊真係有盈利」對照睇。</t>
        </is>
      </c>
    </row>
    <row r="7">
      <c r="A7" s="2" t="inlineStr"/>
    </row>
    <row r="8">
      <c r="A8" s="3" t="inlineStr">
        <is>
          <t>【版面沿用 AI_Growth_Breakeven_Watchlist_R7.xlsx】</t>
        </is>
      </c>
    </row>
    <row r="9">
      <c r="A9" s="2" t="inlineStr">
        <is>
          <t>• 同樣係「說明 / 主表 / 分級彙總 / 圖表連結 / 資料來源」結構；主表凍結窗格、開篩選、營收欄淺藍底、營利欄淺紅底、級別欄按等級上色。</t>
        </is>
      </c>
    </row>
    <row r="10">
      <c r="A10" s="2" t="inlineStr">
        <is>
          <t>• 同樣將營收寫成純數字（單位「百萬」寫喺表頭），可直接排序、計算按季變動、畫圖；幣別與季度對照獨立成欄。</t>
        </is>
      </c>
    </row>
    <row r="11">
      <c r="A11" s="4" t="inlineStr">
        <is>
          <t>• 不同之處（因為資料來源唔同，必須講清楚）：</t>
        </is>
      </c>
    </row>
    <row r="12">
      <c r="A12" s="2" t="inlineStr">
        <is>
          <t xml:space="preserve">   R7 嘅「淨利｜經常｜一次」三行拆解、「一次性項目清單」、「經常性軌跡」係逐間公司人手查財報寫出嚟嘅。</t>
        </is>
      </c>
    </row>
    <row r="13">
      <c r="A13" s="2" t="inlineStr">
        <is>
          <t xml:space="preserve">   本表 532 隻全部由 Yahoo Finance 財報 API 自動抓取，冇人手核實每間公司嘅一次性項目，所以唔會憑空寫呢三欄。</t>
        </is>
      </c>
    </row>
    <row r="14">
      <c r="A14" s="2" t="inlineStr">
        <is>
          <t xml:space="preserve">   取而代之，本表用「營業利益」(Operating Income) 作為經常性盈利嘅代理 —— 佢本身已剔除大部分投資收益、</t>
        </is>
      </c>
    </row>
    <row r="15">
      <c r="A15" s="2" t="inlineStr">
        <is>
          <t xml:space="preserve">   資產出售、稅務等非營運項目，係喺無人手核實嘅前提下最接近 R7「經常」口徑嘅公開數字。</t>
        </is>
      </c>
    </row>
    <row r="16">
      <c r="A16" s="2" t="inlineStr">
        <is>
          <t xml:space="preserve">   如果需要 R7 式嘅逐隻一次性項目拆解，要另行逐間公司查財報，唔可以由本表自動生成。</t>
        </is>
      </c>
    </row>
    <row r="17">
      <c r="A17" s="2" t="inlineStr"/>
    </row>
    <row r="18">
      <c r="A18" s="3" t="inlineStr">
        <is>
          <t>【欄位說明 — 主表「觀察名單」】</t>
        </is>
      </c>
    </row>
    <row r="19">
      <c r="A19" s="2" t="inlineStr">
        <is>
          <t>• B 美股 Ticker：按落去開 TradingView 圖表（沿用 /chart/Q1c5VWwD/ layout）。</t>
        </is>
      </c>
    </row>
    <row r="20">
      <c r="A20" s="2" t="inlineStr">
        <is>
          <t>• C 子板塊：Sub-Sector Watchlist R4.00 入面呢隻股所屬嘅子板塊；一隻股可屬多個子板塊，以「、」分隔。空白 = 只喺 AI 表。</t>
        </is>
      </c>
    </row>
    <row r="21">
      <c r="A21" s="2" t="inlineStr">
        <is>
          <t>• E AI 小群組：AI Sector Watchlist R5.00 嘅小群組代號與名稱；若唔喺 AI 表，改為顯示 Yahoo 嘅行業分類。</t>
        </is>
      </c>
    </row>
    <row r="22">
      <c r="A22" s="2" t="inlineStr">
        <is>
          <t>• F 幣別：財報呈報幣別（financialCurrency）。並非全部都係美元 —— 部分 ADR 以本國幣別呈報，跨股比較金額前要睇呢欄。</t>
        </is>
      </c>
    </row>
    <row r="23">
      <c r="A23" s="2" t="inlineStr">
        <is>
          <t>• G 季度對照：H–L 五欄實際對應嘅五個財季（按財報期末日換算成日曆季）。各公司財政年度唔同，冇呢欄就會拿錯期比較。</t>
        </is>
      </c>
    </row>
    <row r="24">
      <c r="A24" s="2" t="inlineStr">
        <is>
          <t>• H–L 營收 Q-4→Q0：五個季度營業收入，單位百萬（幣別見 F 欄）。Q0 = 最新已公布季度。</t>
        </is>
      </c>
    </row>
    <row r="25">
      <c r="A25" s="2" t="inlineStr">
        <is>
          <t>• M 營收按年 %：公式 = Q0 ÷ Q-4 − 1，即最新季對上年同季（五季相隔四季）。</t>
        </is>
      </c>
    </row>
    <row r="26">
      <c r="A26" s="2" t="inlineStr">
        <is>
          <t>• N–Q 營業利益 Q-3→Q0：四個季度營業利益（Operating Income），單位百萬。負數以括號顯示。</t>
        </is>
      </c>
    </row>
    <row r="27">
      <c r="A27" s="2" t="inlineStr">
        <is>
          <t>• R 營業利益率、T 毛利率、V 淨利率：公式 = 對應損益項 ÷ 同季營收。</t>
        </is>
      </c>
    </row>
    <row r="28">
      <c r="A28" s="2" t="inlineStr">
        <is>
          <t>• W–Y 年度數字：最近一個完整財政年度嘅營收、營業利益與利益率（年報口徑，非四季加總）。</t>
        </is>
      </c>
    </row>
    <row r="29">
      <c r="A29" s="2" t="inlineStr">
        <is>
          <t>• Z 盈利狀態 / AA 級：由 N–Q 四季營業利益用公式判定，定義見下。</t>
        </is>
      </c>
    </row>
    <row r="30">
      <c r="A30" s="2" t="inlineStr">
        <is>
          <t>• AB 資料截至：Q0 嘅財報期末日。</t>
        </is>
      </c>
    </row>
    <row r="31">
      <c r="A31" s="2" t="inlineStr"/>
    </row>
    <row r="32">
      <c r="A32" s="3" t="inlineStr">
        <is>
          <t>【分級定義 — 全部由公式計算，非人手評級】</t>
        </is>
      </c>
    </row>
    <row r="33">
      <c r="A33" s="2" t="inlineStr">
        <is>
          <t xml:space="preserve">  A  四季營業利益全部為正 —— 持續盈利</t>
        </is>
      </c>
    </row>
    <row r="34">
      <c r="A34" s="2" t="inlineStr">
        <is>
          <t xml:space="preserve">  B  最新季營業利益為正，但四季之中有負 —— 剛轉正或有波動</t>
        </is>
      </c>
    </row>
    <row r="35">
      <c r="A35" s="2" t="inlineStr">
        <is>
          <t xml:space="preserve">  C  最新季營業利益為負，但較 Q-3 收窄 —— 虧損收窄</t>
        </is>
      </c>
    </row>
    <row r="36">
      <c r="A36" s="2" t="inlineStr">
        <is>
          <t xml:space="preserve">  D  最新季營業利益為負且較 Q-3 擴大（或由正轉負） —— 惡化</t>
        </is>
      </c>
    </row>
    <row r="37">
      <c r="A37" s="2" t="inlineStr">
        <is>
          <t xml:space="preserve">  —  四季營業利益唔齊，無法判定</t>
        </is>
      </c>
    </row>
    <row r="38">
      <c r="A38" s="2" t="inlineStr"/>
    </row>
    <row r="39">
      <c r="A39" s="3" t="inlineStr">
        <is>
          <t>【必須留意嘅限制】</t>
        </is>
      </c>
    </row>
    <row r="40">
      <c r="A40" s="2" t="inlineStr">
        <is>
          <t>• 本表數字係 Yahoo Finance 整理嘅財報數據，非直接讀取 SEC 原文；個別公司嘅重分類、重述或非標準列報可能同公告有出入，</t>
        </is>
      </c>
    </row>
    <row r="41">
      <c r="A41" s="2" t="inlineStr">
        <is>
          <t xml:space="preserve">  重大決定前請以公司正式公告為準。</t>
        </is>
      </c>
    </row>
    <row r="42">
      <c r="A42" s="2" t="inlineStr">
        <is>
          <t>• 銀行、保險、REIT 等行業嘅「營業利益」定義同製造業唔同（部分甚至冇呢一項），跨行業比較利益率要小心。</t>
        </is>
      </c>
    </row>
    <row r="43">
      <c r="A43" s="2" t="inlineStr">
        <is>
          <t>• 空白 = Yahoo 無提供該項目，並非零。所有衍生欄（%、級別、彙總）遇到空白會顯示空白而唔會當零計。</t>
        </is>
      </c>
    </row>
    <row r="44">
      <c r="A44" s="2" t="inlineStr">
        <is>
          <t>• 幣別：532 隻之中 519 隻以美元呈報，13 隻以本國幣別呈報（ASML EUR；TSM／UMC／ASX TWD；BABA／BIDU／TCEHY CNY；</t>
        </is>
      </c>
    </row>
    <row r="45">
      <c r="A45" s="2" t="inlineStr">
        <is>
          <t xml:space="preserve">  CCJ／DNN／TECK CAD；NVO DKK；ONON CHF；SBGSY EUR）。本容器無可靠匯率來源，唔會擅自換算，</t>
        </is>
      </c>
    </row>
    <row r="46">
      <c r="A46" s="2" t="inlineStr">
        <is>
          <t xml:space="preserve">  所以「子板塊彙總」與「AI小群組彙總」嘅金額合計&lt;b&gt;只計美元呈報者&lt;/b&gt;，並喺「非美元呈報」欄列明每組被撇除幾多隻。</t>
        </is>
      </c>
    </row>
    <row r="47">
      <c r="A47" s="2" t="inlineStr">
        <is>
          <t xml:space="preserve">  主表逐隻嘅數字全部照原幣呈現（見 F 欄），跨股比較金額前必須睇幣別。</t>
        </is>
      </c>
    </row>
    <row r="48">
      <c r="A48" s="2" t="inlineStr">
        <is>
          <t>• 財政年度非曆年嘅公司（如 1 月底結算），G 欄嘅日曆季標籤同公司自稱嘅「FY Q1」會唔同，以 G 欄期末日為準。</t>
        </is>
      </c>
    </row>
    <row r="49">
      <c r="A49" s="2" t="inlineStr">
        <is>
          <t>• 本表為公開資料整理與研究參考，非投資建議。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AB5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11" customWidth="1" min="2" max="2"/>
    <col width="22" customWidth="1" min="3" max="3"/>
    <col width="26" customWidth="1" min="4" max="4"/>
    <col width="24" customWidth="1" min="5" max="5"/>
    <col width="7" customWidth="1" min="6" max="6"/>
    <col width="30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1" customWidth="1" min="18" max="18"/>
    <col width="11" customWidth="1" min="19" max="19"/>
    <col width="10" customWidth="1" min="20" max="20"/>
    <col width="11" customWidth="1" min="21" max="21"/>
    <col width="10" customWidth="1" min="22" max="22"/>
    <col width="14" customWidth="1" min="23" max="23"/>
    <col width="14" customWidth="1" min="24" max="24"/>
    <col width="11" customWidth="1" min="25" max="25"/>
    <col width="16" customWidth="1" min="26" max="26"/>
    <col width="5" customWidth="1" min="27" max="27"/>
    <col width="11" customWidth="1" min="28" max="28"/>
  </cols>
  <sheetData>
    <row r="1" ht="46" customHeight="1">
      <c r="A1" s="5" t="inlineStr">
        <is>
          <t>#</t>
        </is>
      </c>
      <c r="B1" s="6" t="inlineStr">
        <is>
          <t>美股 Ticker
(按=開圖)</t>
        </is>
      </c>
      <c r="C1" s="5" t="inlineStr">
        <is>
          <t>子板塊 SubSector
(R4.00)</t>
        </is>
      </c>
      <c r="D1" s="5" t="inlineStr">
        <is>
          <t>公司</t>
        </is>
      </c>
      <c r="E1" s="5" t="inlineStr">
        <is>
          <t>AI 小群組 (R5.00)
／行業</t>
        </is>
      </c>
      <c r="F1" s="5" t="inlineStr">
        <is>
          <t>幣別</t>
        </is>
      </c>
      <c r="G1" s="5" t="inlineStr">
        <is>
          <t>季度對照 (Q-4 → Q0)</t>
        </is>
      </c>
      <c r="H1" s="7" t="inlineStr">
        <is>
          <t>營收 Q-4
(百萬)</t>
        </is>
      </c>
      <c r="I1" s="7" t="inlineStr">
        <is>
          <t>營收 Q-3
(百萬)</t>
        </is>
      </c>
      <c r="J1" s="7" t="inlineStr">
        <is>
          <t>營收 Q-2
(百萬)</t>
        </is>
      </c>
      <c r="K1" s="7" t="inlineStr">
        <is>
          <t>營收 Q-1
(百萬)</t>
        </is>
      </c>
      <c r="L1" s="7" t="inlineStr">
        <is>
          <t>營收 Q0 最新
(百萬)</t>
        </is>
      </c>
      <c r="M1" s="7" t="inlineStr">
        <is>
          <t>營收按年 %
(Q0/Q-4)</t>
        </is>
      </c>
      <c r="N1" s="8" t="inlineStr">
        <is>
          <t>營業利益 Q-3
(百萬)</t>
        </is>
      </c>
      <c r="O1" s="8" t="inlineStr">
        <is>
          <t>營業利益 Q-2
(百萬)</t>
        </is>
      </c>
      <c r="P1" s="8" t="inlineStr">
        <is>
          <t>營業利益 Q-1
(百萬)</t>
        </is>
      </c>
      <c r="Q1" s="8" t="inlineStr">
        <is>
          <t>營業利益 Q0
(百萬)</t>
        </is>
      </c>
      <c r="R1" s="8" t="inlineStr">
        <is>
          <t>營業利益率
Q0 %</t>
        </is>
      </c>
      <c r="S1" s="8" t="inlineStr">
        <is>
          <t>毛利 Q0
(百萬)</t>
        </is>
      </c>
      <c r="T1" s="8" t="inlineStr">
        <is>
          <t>毛利率
Q0 %</t>
        </is>
      </c>
      <c r="U1" s="8" t="inlineStr">
        <is>
          <t>淨利 Q0
(百萬)</t>
        </is>
      </c>
      <c r="V1" s="8" t="inlineStr">
        <is>
          <t>淨利率
Q0 %</t>
        </is>
      </c>
      <c r="W1" s="5" t="inlineStr">
        <is>
          <t>年度營收
(最近財年, 百萬)</t>
        </is>
      </c>
      <c r="X1" s="5" t="inlineStr">
        <is>
          <t>年度營業利益
(最近財年, 百萬)</t>
        </is>
      </c>
      <c r="Y1" s="5" t="inlineStr">
        <is>
          <t>年度營業
利益率 %</t>
        </is>
      </c>
      <c r="Z1" s="5" t="inlineStr">
        <is>
          <t>盈利狀態</t>
        </is>
      </c>
      <c r="AA1" s="5" t="inlineStr">
        <is>
          <t>級</t>
        </is>
      </c>
      <c r="AB1" s="5" t="inlineStr">
        <is>
          <t>資料截至</t>
        </is>
      </c>
    </row>
    <row r="2" ht="15" customHeight="1">
      <c r="A2" s="9" t="n">
        <v>1</v>
      </c>
      <c r="B2" s="10" t="inlineStr">
        <is>
          <t>A</t>
        </is>
      </c>
      <c r="C2" s="11" t="inlineStr">
        <is>
          <t>診斷與生命科學工具</t>
        </is>
      </c>
      <c r="D2" s="11" t="inlineStr">
        <is>
          <t>Agilent Technologies, Inc.</t>
        </is>
      </c>
      <c r="E2" s="11" t="inlineStr">
        <is>
          <t>Diagnostics &amp; Research</t>
        </is>
      </c>
      <c r="F2" s="9" t="inlineStr">
        <is>
          <t>USD</t>
        </is>
      </c>
      <c r="G2" s="11" t="inlineStr">
        <is>
          <t>25Q3 / 25Q4 / 26Q1 / 26Q2 / 26Q3</t>
        </is>
      </c>
      <c r="H2" s="12" t="n">
        <v>1738</v>
      </c>
      <c r="I2" s="12" t="n">
        <v>1861</v>
      </c>
      <c r="J2" s="12" t="n">
        <v>1798</v>
      </c>
      <c r="K2" s="12" t="n">
        <v>1835</v>
      </c>
      <c r="L2" s="12" t="n">
        <v>1878</v>
      </c>
      <c r="M2" s="13">
        <f>IF(OR(N(H2)=0,L2=""),"",L2/H2-1)</f>
        <v>0.08055235903337166</v>
      </c>
      <c r="N2" s="14" t="n">
        <v>443</v>
      </c>
      <c r="O2" s="14" t="n">
        <v>353</v>
      </c>
      <c r="P2" s="14" t="n">
        <v>399</v>
      </c>
      <c r="Q2" s="14" t="n">
        <v>444</v>
      </c>
      <c r="R2" s="13">
        <f>IF(OR(N(L2)=0,Q2=""),"",Q2/L2)</f>
        <v>0.2364217252396166</v>
      </c>
      <c r="S2" s="14" t="n">
        <v>1042</v>
      </c>
      <c r="T2" s="13">
        <f>IF(OR(N(L2)=0,S2=""),"",S2/L2)</f>
        <v>0.5548455804046858</v>
      </c>
      <c r="U2" s="14" t="n">
        <v>362</v>
      </c>
      <c r="V2" s="13">
        <f>IF(OR(N(L2)=0,U2=""),"",U2/L2)</f>
        <v>0.19275825346112885</v>
      </c>
      <c r="W2" s="14" t="n">
        <v>6948</v>
      </c>
      <c r="X2" s="14" t="n">
        <v>1479</v>
      </c>
      <c r="Y2" s="13">
        <f>IF(OR(N(W2)=0,X2=""),"",X2/W2)</f>
        <v>0.21286701208981001</v>
      </c>
      <c r="Z2" s="11" t="str">
        <f>IF(AA2="A","四季持續盈利",IF(AA2="B","最新季為正/波動",IF(AA2="C","虧損收窄",IF(AA2="D","虧損擴大或轉虧","數據不足"))))</f>
        <v>四季持續盈利</v>
      </c>
      <c r="AA2" s="9" t="str">
        <f>IF(COUNT(N2:Q2)&lt;4,"—",IF(MIN(N2:Q2)&gt;0,"A",IF(Q2&gt;0,"B",IF(Q2&gt;N2,"C","D"))))</f>
        <v>A</v>
      </c>
      <c r="AB2" s="9" t="inlineStr">
        <is>
          <t>2026-07-31</t>
        </is>
      </c>
    </row>
    <row r="3" ht="15" customHeight="1">
      <c r="A3" s="9" t="n">
        <v>2</v>
      </c>
      <c r="B3" s="10" t="inlineStr">
        <is>
          <t>AA</t>
        </is>
      </c>
      <c r="C3" s="11" t="inlineStr">
        <is>
          <t>鋁業</t>
        </is>
      </c>
      <c r="D3" s="11" t="inlineStr">
        <is>
          <t>Alcoa Corporation</t>
        </is>
      </c>
      <c r="E3" s="11" t="inlineStr">
        <is>
          <t>Aluminum</t>
        </is>
      </c>
      <c r="F3" s="9" t="inlineStr">
        <is>
          <t>USD</t>
        </is>
      </c>
      <c r="G3" s="11" t="inlineStr">
        <is>
          <t>25Q2 / 25Q3 / 25Q4 / 26Q1 / 26Q2</t>
        </is>
      </c>
      <c r="H3" s="12" t="n">
        <v>3018</v>
      </c>
      <c r="I3" s="12" t="n">
        <v>2995</v>
      </c>
      <c r="J3" s="12" t="n">
        <v>3449</v>
      </c>
      <c r="K3" s="12" t="n">
        <v>3193</v>
      </c>
      <c r="L3" s="12" t="n">
        <v>3966</v>
      </c>
      <c r="M3" s="13">
        <f>IF(OR(N(H3)=0,L3=""),"",L3/H3-1)</f>
        <v>0.31411530815109345</v>
      </c>
      <c r="N3" s="14" t="n">
        <v>51</v>
      </c>
      <c r="O3" s="14" t="n">
        <v>-112</v>
      </c>
      <c r="P3" s="14" t="n">
        <v>426</v>
      </c>
      <c r="Q3" s="14" t="n">
        <v>714</v>
      </c>
      <c r="R3" s="13">
        <f>IF(OR(N(L3)=0,Q3=""),"",Q3/L3)</f>
        <v>0.1800302571860817</v>
      </c>
      <c r="S3" s="14" t="n">
        <v>999</v>
      </c>
      <c r="T3" s="13">
        <f>IF(OR(N(L3)=0,S3=""),"",S3/L3)</f>
        <v>0.2518910741301059</v>
      </c>
      <c r="U3" s="14" t="n">
        <v>407</v>
      </c>
      <c r="V3" s="13">
        <f>IF(OR(N(L3)=0,U3=""),"",U3/L3)</f>
        <v>0.10262228946041352</v>
      </c>
      <c r="W3" s="14" t="n">
        <v>12831</v>
      </c>
      <c r="X3" s="14" t="n">
        <v>758</v>
      </c>
      <c r="Y3" s="13">
        <f>IF(OR(N(W3)=0,X3=""),"",X3/W3)</f>
        <v>0.05907567609695269</v>
      </c>
      <c r="Z3" s="11" t="str">
        <f>IF(AA3="A","四季持續盈利",IF(AA3="B","最新季為正/波動",IF(AA3="C","虧損收窄",IF(AA3="D","虧損擴大或轉虧","數據不足"))))</f>
        <v>最新季為正/波動</v>
      </c>
      <c r="AA3" s="9" t="str">
        <f>IF(COUNT(N3:Q3)&lt;4,"—",IF(MIN(N3:Q3)&gt;0,"A",IF(Q3&gt;0,"B",IF(Q3&gt;N3,"C","D"))))</f>
        <v>B</v>
      </c>
      <c r="AB3" s="9" t="inlineStr">
        <is>
          <t>2026-06-30</t>
        </is>
      </c>
    </row>
    <row r="4" ht="15" customHeight="1">
      <c r="A4" s="9" t="n">
        <v>3</v>
      </c>
      <c r="B4" s="10" t="inlineStr">
        <is>
          <t>AAL</t>
        </is>
      </c>
      <c r="C4" s="11" t="inlineStr">
        <is>
          <t>航空公司</t>
        </is>
      </c>
      <c r="D4" s="11" t="inlineStr">
        <is>
          <t>American Airlines Group Inc.</t>
        </is>
      </c>
      <c r="E4" s="11" t="inlineStr">
        <is>
          <t>Airlines</t>
        </is>
      </c>
      <c r="F4" s="9" t="inlineStr">
        <is>
          <t>USD</t>
        </is>
      </c>
      <c r="G4" s="11" t="inlineStr">
        <is>
          <t>25Q2 / 25Q3 / 25Q4 / 26Q1 / 26Q2</t>
        </is>
      </c>
      <c r="H4" s="12" t="n">
        <v>14392</v>
      </c>
      <c r="I4" s="12" t="n">
        <v>13691</v>
      </c>
      <c r="J4" s="12" t="n">
        <v>13999</v>
      </c>
      <c r="K4" s="12" t="n">
        <v>13912</v>
      </c>
      <c r="L4" s="12" t="n">
        <v>16735</v>
      </c>
      <c r="M4" s="13">
        <f>IF(OR(N(H4)=0,L4=""),"",L4/H4-1)</f>
        <v>0.16279877709838808</v>
      </c>
      <c r="N4" s="14" t="n">
        <v>158</v>
      </c>
      <c r="O4" s="14" t="n">
        <v>486</v>
      </c>
      <c r="P4" s="14" t="n">
        <v>-27</v>
      </c>
      <c r="Q4" s="14" t="n">
        <v>453</v>
      </c>
      <c r="R4" s="13">
        <f>IF(OR(N(L4)=0,Q4=""),"",Q4/L4)</f>
        <v>0.02706901703017628</v>
      </c>
      <c r="S4" s="14" t="n">
        <v>2991</v>
      </c>
      <c r="T4" s="13">
        <f>IF(OR(N(L4)=0,S4=""),"",S4/L4)</f>
        <v>0.1787272184045414</v>
      </c>
      <c r="U4" s="14" t="n">
        <v>71</v>
      </c>
      <c r="V4" s="13">
        <f>IF(OR(N(L4)=0,U4=""),"",U4/L4)</f>
        <v>0.004242605318195399</v>
      </c>
      <c r="W4" s="14" t="n">
        <v>54633</v>
      </c>
      <c r="X4" s="14" t="n">
        <v>1626</v>
      </c>
      <c r="Y4" s="13">
        <f>IF(OR(N(W4)=0,X4=""),"",X4/W4)</f>
        <v>0.029762231618252706</v>
      </c>
      <c r="Z4" s="11" t="str">
        <f>IF(AA4="A","四季持續盈利",IF(AA4="B","最新季為正/波動",IF(AA4="C","虧損收窄",IF(AA4="D","虧損擴大或轉虧","數據不足"))))</f>
        <v>最新季為正/波動</v>
      </c>
      <c r="AA4" s="9" t="str">
        <f>IF(COUNT(N4:Q4)&lt;4,"—",IF(MIN(N4:Q4)&gt;0,"A",IF(Q4&gt;0,"B",IF(Q4&gt;N4,"C","D"))))</f>
        <v>B</v>
      </c>
      <c r="AB4" s="9" t="inlineStr">
        <is>
          <t>2026-06-30</t>
        </is>
      </c>
    </row>
    <row r="5" ht="15" customHeight="1">
      <c r="A5" s="9" t="n">
        <v>4</v>
      </c>
      <c r="B5" s="10" t="inlineStr">
        <is>
          <t>AAOI</t>
        </is>
      </c>
      <c r="C5" s="11" t="inlineStr">
        <is>
          <t>光通訊/CPO</t>
        </is>
      </c>
      <c r="D5" s="11" t="inlineStr">
        <is>
          <t>Applied Optoelectronics, Inc.</t>
        </is>
      </c>
      <c r="E5" s="11" t="inlineStr">
        <is>
          <t>Communication Equipment</t>
        </is>
      </c>
      <c r="F5" s="9" t="inlineStr">
        <is>
          <t>USD</t>
        </is>
      </c>
      <c r="G5" s="11" t="inlineStr">
        <is>
          <t>25Q2 / 25Q3 / 25Q4 / 26Q1 / 26Q2</t>
        </is>
      </c>
      <c r="H5" s="12" t="n">
        <v>102.952</v>
      </c>
      <c r="I5" s="12" t="n">
        <v>118.63</v>
      </c>
      <c r="J5" s="12" t="n">
        <v>134.274</v>
      </c>
      <c r="K5" s="12" t="n">
        <v>151.144</v>
      </c>
      <c r="L5" s="12" t="n">
        <v>191.922</v>
      </c>
      <c r="M5" s="13">
        <f>IF(OR(N(H5)=0,L5=""),"",L5/H5-1)</f>
        <v>0.8641891366850571</v>
      </c>
      <c r="N5" s="14" t="n">
        <v>-14.968</v>
      </c>
      <c r="O5" s="14" t="n">
        <v>-11.352</v>
      </c>
      <c r="P5" s="14" t="n">
        <v>-12.877</v>
      </c>
      <c r="Q5" s="14" t="n">
        <v>-23.847</v>
      </c>
      <c r="R5" s="13">
        <f>IF(OR(N(L5)=0,Q5=""),"",Q5/L5)</f>
        <v>-0.12425360302622941</v>
      </c>
      <c r="S5" s="14" t="n">
        <v>53.207</v>
      </c>
      <c r="T5" s="13">
        <f>IF(OR(N(L5)=0,S5=""),"",S5/L5)</f>
        <v>0.2772324173362095</v>
      </c>
      <c r="U5" s="14" t="n">
        <v>-22.781</v>
      </c>
      <c r="V5" s="13">
        <f>IF(OR(N(L5)=0,U5=""),"",U5/L5)</f>
        <v>-0.11869926324235887</v>
      </c>
      <c r="W5" s="14" t="n">
        <v>455.715</v>
      </c>
      <c r="X5" s="14" t="n">
        <v>-49.736</v>
      </c>
      <c r="Y5" s="13">
        <f>IF(OR(N(W5)=0,X5=""),"",X5/W5)</f>
        <v>-0.109138386930428</v>
      </c>
      <c r="Z5" s="11" t="str">
        <f>IF(AA5="A","四季持續盈利",IF(AA5="B","最新季為正/波動",IF(AA5="C","虧損收窄",IF(AA5="D","虧損擴大或轉虧","數據不足"))))</f>
        <v>虧損擴大或轉虧</v>
      </c>
      <c r="AA5" s="9" t="str">
        <f>IF(COUNT(N5:Q5)&lt;4,"—",IF(MIN(N5:Q5)&gt;0,"A",IF(Q5&gt;0,"B",IF(Q5&gt;N5,"C","D"))))</f>
        <v>D</v>
      </c>
      <c r="AB5" s="9" t="inlineStr">
        <is>
          <t>2026-06-30</t>
        </is>
      </c>
    </row>
    <row r="6" ht="15" customHeight="1">
      <c r="A6" s="9" t="n">
        <v>5</v>
      </c>
      <c r="B6" s="10" t="inlineStr">
        <is>
          <t>AAON</t>
        </is>
      </c>
      <c r="C6" s="11" t="inlineStr">
        <is>
          <t>樓宇產品與HVAC</t>
        </is>
      </c>
      <c r="D6" s="11" t="inlineStr">
        <is>
          <t>AAON, Inc.</t>
        </is>
      </c>
      <c r="E6" s="11" t="inlineStr">
        <is>
          <t>Building Products &amp; Equipment</t>
        </is>
      </c>
      <c r="F6" s="9" t="inlineStr">
        <is>
          <t>USD</t>
        </is>
      </c>
      <c r="G6" s="11" t="inlineStr">
        <is>
          <t>25Q2 / 25Q3 / 25Q4 / 26Q1 / 26Q2</t>
        </is>
      </c>
      <c r="H6" s="12" t="n">
        <v>311.567</v>
      </c>
      <c r="I6" s="12" t="n">
        <v>384.238</v>
      </c>
      <c r="J6" s="12" t="n">
        <v>424.217</v>
      </c>
      <c r="K6" s="12" t="n">
        <v>496.936</v>
      </c>
      <c r="L6" s="12" t="n">
        <v>626.976</v>
      </c>
      <c r="M6" s="13">
        <f>IF(OR(N(H6)=0,L6=""),"",L6/H6-1)</f>
        <v>1.0123312160787248</v>
      </c>
      <c r="N6" s="14" t="n">
        <v>43.631</v>
      </c>
      <c r="O6" s="14" t="n">
        <v>43.96</v>
      </c>
      <c r="P6" s="14" t="n">
        <v>57.059</v>
      </c>
      <c r="Q6" s="14" t="n">
        <v>70.33199999999999</v>
      </c>
      <c r="R6" s="13">
        <f>IF(OR(N(L6)=0,Q6=""),"",Q6/L6)</f>
        <v>0.11217654264278057</v>
      </c>
      <c r="S6" s="14" t="n">
        <v>152.491</v>
      </c>
      <c r="T6" s="13">
        <f>IF(OR(N(L6)=0,S6=""),"",S6/L6)</f>
        <v>0.2432166462512122</v>
      </c>
      <c r="U6" s="14" t="n">
        <v>56.659</v>
      </c>
      <c r="V6" s="13">
        <f>IF(OR(N(L6)=0,U6=""),"",U6/L6)</f>
        <v>0.09036869034859388</v>
      </c>
      <c r="W6" s="14" t="n">
        <v>1442.076</v>
      </c>
      <c r="X6" s="14" t="n">
        <v>152.349</v>
      </c>
      <c r="Y6" s="13">
        <f>IF(OR(N(W6)=0,X6=""),"",X6/W6)</f>
        <v>0.10564561091093673</v>
      </c>
      <c r="Z6" s="11" t="str">
        <f>IF(AA6="A","四季持續盈利",IF(AA6="B","最新季為正/波動",IF(AA6="C","虧損收窄",IF(AA6="D","虧損擴大或轉虧","數據不足"))))</f>
        <v>四季持續盈利</v>
      </c>
      <c r="AA6" s="9" t="str">
        <f>IF(COUNT(N6:Q6)&lt;4,"—",IF(MIN(N6:Q6)&gt;0,"A",IF(Q6&gt;0,"B",IF(Q6&gt;N6,"C","D"))))</f>
        <v>A</v>
      </c>
      <c r="AB6" s="9" t="inlineStr">
        <is>
          <t>2026-06-30</t>
        </is>
      </c>
    </row>
    <row r="7" ht="15" customHeight="1">
      <c r="A7" s="9" t="n">
        <v>6</v>
      </c>
      <c r="B7" s="10" t="inlineStr">
        <is>
          <t>AAPL</t>
        </is>
      </c>
      <c r="C7" s="11" t="inlineStr">
        <is>
          <t>電子硬件與EMS/連接器</t>
        </is>
      </c>
      <c r="D7" s="11" t="inlineStr">
        <is>
          <t>Apple Inc.</t>
        </is>
      </c>
      <c r="E7" s="11" t="inlineStr">
        <is>
          <t>A4 運算</t>
        </is>
      </c>
      <c r="F7" s="9" t="inlineStr">
        <is>
          <t>USD</t>
        </is>
      </c>
      <c r="G7" s="11" t="inlineStr">
        <is>
          <t>25Q2 / 25Q3 / 25Q4 / 26Q1 / 26Q2</t>
        </is>
      </c>
      <c r="H7" s="12" t="n">
        <v>94036</v>
      </c>
      <c r="I7" s="12" t="n">
        <v>102466</v>
      </c>
      <c r="J7" s="12" t="n">
        <v>143756</v>
      </c>
      <c r="K7" s="12" t="n">
        <v>111184</v>
      </c>
      <c r="L7" s="12" t="n">
        <v>109417</v>
      </c>
      <c r="M7" s="13">
        <f>IF(OR(N(H7)=0,L7=""),"",L7/H7-1)</f>
        <v>0.16356501765281384</v>
      </c>
      <c r="N7" s="14" t="n">
        <v>32427</v>
      </c>
      <c r="O7" s="14" t="n">
        <v>50852</v>
      </c>
      <c r="P7" s="14" t="n">
        <v>35885</v>
      </c>
      <c r="Q7" s="14" t="n">
        <v>35695</v>
      </c>
      <c r="R7" s="13">
        <f>IF(OR(N(L7)=0,Q7=""),"",Q7/L7)</f>
        <v>0.3262290137729969</v>
      </c>
      <c r="S7" s="14" t="n">
        <v>54770</v>
      </c>
      <c r="T7" s="13">
        <f>IF(OR(N(L7)=0,S7=""),"",S7/L7)</f>
        <v>0.500562069879452</v>
      </c>
      <c r="U7" s="14" t="n">
        <v>29789</v>
      </c>
      <c r="V7" s="13">
        <f>IF(OR(N(L7)=0,U7=""),"",U7/L7)</f>
        <v>0.2722520266503377</v>
      </c>
      <c r="W7" s="14" t="n">
        <v>416161</v>
      </c>
      <c r="X7" s="14" t="n">
        <v>133050</v>
      </c>
      <c r="Y7" s="13">
        <f>IF(OR(N(W7)=0,X7=""),"",X7/W7)</f>
        <v>0.31970799762591884</v>
      </c>
      <c r="Z7" s="11" t="str">
        <f>IF(AA7="A","四季持續盈利",IF(AA7="B","最新季為正/波動",IF(AA7="C","虧損收窄",IF(AA7="D","虧損擴大或轉虧","數據不足"))))</f>
        <v>四季持續盈利</v>
      </c>
      <c r="AA7" s="9" t="str">
        <f>IF(COUNT(N7:Q7)&lt;4,"—",IF(MIN(N7:Q7)&gt;0,"A",IF(Q7&gt;0,"B",IF(Q7&gt;N7,"C","D"))))</f>
        <v>A</v>
      </c>
      <c r="AB7" s="9" t="inlineStr">
        <is>
          <t>2026-06-30</t>
        </is>
      </c>
    </row>
    <row r="8" ht="15" customHeight="1">
      <c r="A8" s="9" t="n">
        <v>7</v>
      </c>
      <c r="B8" s="10" t="inlineStr">
        <is>
          <t>ABBV</t>
        </is>
      </c>
      <c r="C8" s="11" t="inlineStr">
        <is>
          <t>大型藥廠</t>
        </is>
      </c>
      <c r="D8" s="11" t="inlineStr">
        <is>
          <t>AbbVie Inc.</t>
        </is>
      </c>
      <c r="E8" s="11" t="inlineStr">
        <is>
          <t>Drug Manufacturers - General</t>
        </is>
      </c>
      <c r="F8" s="9" t="inlineStr">
        <is>
          <t>USD</t>
        </is>
      </c>
      <c r="G8" s="11" t="inlineStr">
        <is>
          <t>25Q2 / 25Q3 / 25Q4 / 26Q1 / 26Q2</t>
        </is>
      </c>
      <c r="H8" s="12" t="n">
        <v>15423</v>
      </c>
      <c r="I8" s="12" t="n">
        <v>15776</v>
      </c>
      <c r="J8" s="12" t="n">
        <v>16618</v>
      </c>
      <c r="K8" s="12" t="n">
        <v>15002</v>
      </c>
      <c r="L8" s="12" t="n">
        <v>16990</v>
      </c>
      <c r="M8" s="13">
        <f>IF(OR(N(H8)=0,L8=""),"",L8/H8-1)</f>
        <v>0.10160150424690406</v>
      </c>
      <c r="N8" s="14" t="n">
        <v>4584</v>
      </c>
      <c r="O8" s="14" t="n">
        <v>5809</v>
      </c>
      <c r="P8" s="14" t="n">
        <v>4734</v>
      </c>
      <c r="Q8" s="14" t="n">
        <v>6723</v>
      </c>
      <c r="R8" s="13">
        <f>IF(OR(N(L8)=0,Q8=""),"",Q8/L8)</f>
        <v>0.3957033549146557</v>
      </c>
      <c r="S8" s="14" t="n">
        <v>12699</v>
      </c>
      <c r="T8" s="13">
        <f>IF(OR(N(L8)=0,S8=""),"",S8/L8)</f>
        <v>0.7474396703943497</v>
      </c>
      <c r="U8" s="14" t="n">
        <v>3613</v>
      </c>
      <c r="V8" s="13">
        <f>IF(OR(N(L8)=0,U8=""),"",U8/L8)</f>
        <v>0.21265450264861682</v>
      </c>
      <c r="W8" s="14" t="n">
        <v>61160</v>
      </c>
      <c r="X8" s="14" t="n">
        <v>20091</v>
      </c>
      <c r="Y8" s="13">
        <f>IF(OR(N(W8)=0,X8=""),"",X8/W8)</f>
        <v>0.32849901896664485</v>
      </c>
      <c r="Z8" s="11" t="str">
        <f>IF(AA8="A","四季持續盈利",IF(AA8="B","最新季為正/波動",IF(AA8="C","虧損收窄",IF(AA8="D","虧損擴大或轉虧","數據不足"))))</f>
        <v>四季持續盈利</v>
      </c>
      <c r="AA8" s="9" t="str">
        <f>IF(COUNT(N8:Q8)&lt;4,"—",IF(MIN(N8:Q8)&gt;0,"A",IF(Q8&gt;0,"B",IF(Q8&gt;N8,"C","D"))))</f>
        <v>A</v>
      </c>
      <c r="AB8" s="9" t="inlineStr">
        <is>
          <t>2026-06-30</t>
        </is>
      </c>
    </row>
    <row r="9" ht="15" customHeight="1">
      <c r="A9" s="9" t="n">
        <v>8</v>
      </c>
      <c r="B9" s="10" t="inlineStr">
        <is>
          <t>ABT</t>
        </is>
      </c>
      <c r="C9" s="11" t="inlineStr">
        <is>
          <t>醫療器械</t>
        </is>
      </c>
      <c r="D9" s="11" t="inlineStr">
        <is>
          <t>Abbott Laboratories</t>
        </is>
      </c>
      <c r="E9" s="11" t="inlineStr">
        <is>
          <t>Medical Devices</t>
        </is>
      </c>
      <c r="F9" s="9" t="inlineStr">
        <is>
          <t>USD</t>
        </is>
      </c>
      <c r="G9" s="11" t="inlineStr">
        <is>
          <t>25Q2 / 25Q3 / 25Q4 / 26Q1 / 26Q2</t>
        </is>
      </c>
      <c r="H9" s="12" t="n">
        <v>11142</v>
      </c>
      <c r="I9" s="12" t="n">
        <v>11369</v>
      </c>
      <c r="J9" s="12" t="n">
        <v>11459</v>
      </c>
      <c r="K9" s="12" t="n">
        <v>11164</v>
      </c>
      <c r="L9" s="12" t="n"/>
      <c r="M9" s="13" t="str">
        <f>IF(OR(N(H9)=0,L9=""),"",L9/H9-1)</f>
        <v/>
      </c>
      <c r="N9" s="14" t="n">
        <v>2057</v>
      </c>
      <c r="O9" s="14" t="n">
        <v>2251</v>
      </c>
      <c r="P9" s="14" t="n">
        <v>1345</v>
      </c>
      <c r="Q9" s="14" t="n"/>
      <c r="R9" s="13" t="str">
        <f>IF(OR(N(L9)=0,Q9=""),"",Q9/L9)</f>
        <v/>
      </c>
      <c r="S9" s="14" t="n"/>
      <c r="T9" s="13" t="str">
        <f>IF(OR(N(L9)=0,S9=""),"",S9/L9)</f>
        <v/>
      </c>
      <c r="U9" s="14" t="n"/>
      <c r="V9" s="13" t="str">
        <f>IF(OR(N(L9)=0,U9=""),"",U9/L9)</f>
        <v/>
      </c>
      <c r="W9" s="14" t="n">
        <v>44328</v>
      </c>
      <c r="X9" s="14" t="n">
        <v>8053</v>
      </c>
      <c r="Y9" s="13">
        <f>IF(OR(N(W9)=0,X9=""),"",X9/W9)</f>
        <v>0.18166847139505504</v>
      </c>
      <c r="Z9" s="11" t="str">
        <f>IF(AA9="A","四季持續盈利",IF(AA9="B","最新季為正/波動",IF(AA9="C","虧損收窄",IF(AA9="D","虧損擴大或轉虧","數據不足"))))</f>
        <v>數據不足</v>
      </c>
      <c r="AA9" s="9" t="str">
        <f>IF(COUNT(N9:Q9)&lt;4,"—",IF(MIN(N9:Q9)&gt;0,"A",IF(Q9&gt;0,"B",IF(Q9&gt;N9,"C","D"))))</f>
        <v>—</v>
      </c>
      <c r="AB9" s="9" t="inlineStr">
        <is>
          <t>2026-06-30</t>
        </is>
      </c>
    </row>
    <row r="10" ht="15" customHeight="1">
      <c r="A10" s="9" t="n">
        <v>9</v>
      </c>
      <c r="B10" s="10" t="inlineStr">
        <is>
          <t>ACI</t>
        </is>
      </c>
      <c r="C10" s="11" t="inlineStr">
        <is>
          <t>大賣場與超巿</t>
        </is>
      </c>
      <c r="D10" s="11" t="inlineStr">
        <is>
          <t>Albertsons Companies, Inc.</t>
        </is>
      </c>
      <c r="E10" s="11" t="inlineStr">
        <is>
          <t>Grocery Stores</t>
        </is>
      </c>
      <c r="F10" s="9" t="inlineStr">
        <is>
          <t>USD</t>
        </is>
      </c>
      <c r="G10" s="11" t="inlineStr">
        <is>
          <t>25Q2 / 25Q3 / 25Q4 / 26Q1 / 26Q2</t>
        </is>
      </c>
      <c r="H10" s="12" t="n">
        <v>24880.8</v>
      </c>
      <c r="I10" s="12" t="n">
        <v>18915.8</v>
      </c>
      <c r="J10" s="12" t="n">
        <v>19123.7</v>
      </c>
      <c r="K10" s="12" t="n">
        <v>20252.2</v>
      </c>
      <c r="L10" s="12" t="n">
        <v>24941.6</v>
      </c>
      <c r="M10" s="13">
        <f>IF(OR(N(H10)=0,L10=""),"",L10/H10-1)</f>
        <v>0.002443651329539165</v>
      </c>
      <c r="N10" s="14" t="n">
        <v>299.7</v>
      </c>
      <c r="O10" s="14" t="n">
        <v>488.5</v>
      </c>
      <c r="P10" s="14" t="n">
        <v>-490.2</v>
      </c>
      <c r="Q10" s="14" t="n">
        <v>258.9</v>
      </c>
      <c r="R10" s="13">
        <f>IF(OR(N(L10)=0,Q10=""),"",Q10/L10)</f>
        <v>0.010380248259935209</v>
      </c>
      <c r="S10" s="14" t="n">
        <v>6638.1</v>
      </c>
      <c r="T10" s="13">
        <f>IF(OR(N(L10)=0,S10=""),"",S10/L10)</f>
        <v>0.2661457163934952</v>
      </c>
      <c r="U10" s="14" t="n">
        <v>84.7</v>
      </c>
      <c r="V10" s="13">
        <f>IF(OR(N(L10)=0,U10=""),"",U10/L10)</f>
        <v>0.0033959328992526545</v>
      </c>
      <c r="W10" s="14" t="n">
        <v>83172.5</v>
      </c>
      <c r="X10" s="14" t="n">
        <v>715.4</v>
      </c>
      <c r="Y10" s="13">
        <f>IF(OR(N(W10)=0,X10=""),"",X10/W10)</f>
        <v>0.00860140070335748</v>
      </c>
      <c r="Z10" s="11" t="str">
        <f>IF(AA10="A","四季持續盈利",IF(AA10="B","最新季為正/波動",IF(AA10="C","虧損收窄",IF(AA10="D","虧損擴大或轉虧","數據不足"))))</f>
        <v>最新季為正/波動</v>
      </c>
      <c r="AA10" s="9" t="str">
        <f>IF(COUNT(N10:Q10)&lt;4,"—",IF(MIN(N10:Q10)&gt;0,"A",IF(Q10&gt;0,"B",IF(Q10&gt;N10,"C","D"))))</f>
        <v>B</v>
      </c>
      <c r="AB10" s="9" t="inlineStr">
        <is>
          <t>2026-05-31</t>
        </is>
      </c>
    </row>
    <row r="11" ht="15" customHeight="1">
      <c r="A11" s="9" t="n">
        <v>10</v>
      </c>
      <c r="B11" s="10" t="inlineStr">
        <is>
          <t>ACM</t>
        </is>
      </c>
      <c r="C11" s="11" t="inlineStr">
        <is>
          <t>工程建設/EPC</t>
        </is>
      </c>
      <c r="D11" s="11" t="inlineStr">
        <is>
          <t>AECOM</t>
        </is>
      </c>
      <c r="E11" s="11" t="inlineStr">
        <is>
          <t>Engineering &amp; Construction</t>
        </is>
      </c>
      <c r="F11" s="9" t="inlineStr">
        <is>
          <t>USD</t>
        </is>
      </c>
      <c r="G11" s="11" t="inlineStr">
        <is>
          <t>25Q2 / 25Q3 / 25Q4 / 26Q1 / 26Q2</t>
        </is>
      </c>
      <c r="H11" s="12" t="n">
        <v>4178.44</v>
      </c>
      <c r="I11" s="12" t="n">
        <v>4175.417</v>
      </c>
      <c r="J11" s="12" t="n">
        <v>3830.834</v>
      </c>
      <c r="K11" s="12" t="n">
        <v>3801.143</v>
      </c>
      <c r="L11" s="12" t="n">
        <v>3586.067</v>
      </c>
      <c r="M11" s="13">
        <f>IF(OR(N(H11)=0,L11=""),"",L11/H11-1)</f>
        <v>-0.14176893768966403</v>
      </c>
      <c r="N11" s="14" t="n">
        <v>291.425</v>
      </c>
      <c r="O11" s="14" t="n">
        <v>240.151</v>
      </c>
      <c r="P11" s="14" t="n">
        <v>252.199</v>
      </c>
      <c r="Q11" s="14" t="n">
        <v>-68.41</v>
      </c>
      <c r="R11" s="13">
        <f>IF(OR(N(L11)=0,Q11=""),"",Q11/L11)</f>
        <v>-0.019076609555816998</v>
      </c>
      <c r="S11" s="14" t="n">
        <v>-34.042</v>
      </c>
      <c r="T11" s="13">
        <f>IF(OR(N(L11)=0,S11=""),"",S11/L11)</f>
        <v>-0.00949285108170037</v>
      </c>
      <c r="U11" s="14" t="n">
        <v>-86.712</v>
      </c>
      <c r="V11" s="13">
        <f>IF(OR(N(L11)=0,U11=""),"",U11/L11)</f>
        <v>-0.024180250954597336</v>
      </c>
      <c r="W11" s="14" t="n">
        <v>16139.622</v>
      </c>
      <c r="X11" s="14" t="n">
        <v>1058.864</v>
      </c>
      <c r="Y11" s="13">
        <f>IF(OR(N(W11)=0,X11=""),"",X11/W11)</f>
        <v>0.06560649313843905</v>
      </c>
      <c r="Z11" s="11" t="str">
        <f>IF(AA11="A","四季持續盈利",IF(AA11="B","最新季為正/波動",IF(AA11="C","虧損收窄",IF(AA11="D","虧損擴大或轉虧","數據不足"))))</f>
        <v>虧損擴大或轉虧</v>
      </c>
      <c r="AA11" s="9" t="str">
        <f>IF(COUNT(N11:Q11)&lt;4,"—",IF(MIN(N11:Q11)&gt;0,"A",IF(Q11&gt;0,"B",IF(Q11&gt;N11,"C","D"))))</f>
        <v>D</v>
      </c>
      <c r="AB11" s="9" t="inlineStr">
        <is>
          <t>2026-06-30</t>
        </is>
      </c>
    </row>
    <row r="12" ht="15" customHeight="1">
      <c r="A12" s="9" t="n">
        <v>11</v>
      </c>
      <c r="B12" s="10" t="inlineStr">
        <is>
          <t>ACN</t>
        </is>
      </c>
      <c r="C12" s="11" t="inlineStr">
        <is>
          <t>IT服務與系統整合</t>
        </is>
      </c>
      <c r="D12" s="11" t="inlineStr">
        <is>
          <t>Accenture plc</t>
        </is>
      </c>
      <c r="E12" s="11" t="inlineStr">
        <is>
          <t>G5 IT</t>
        </is>
      </c>
      <c r="F12" s="9" t="inlineStr">
        <is>
          <t>USD</t>
        </is>
      </c>
      <c r="G12" s="11" t="inlineStr">
        <is>
          <t>25Q2 / 25Q3 / 25Q4 / 26Q1 / 26Q2</t>
        </is>
      </c>
      <c r="H12" s="12" t="n">
        <v>17727.871</v>
      </c>
      <c r="I12" s="12" t="n">
        <v>17596.26</v>
      </c>
      <c r="J12" s="12" t="n">
        <v>18742.125</v>
      </c>
      <c r="K12" s="12" t="n">
        <v>18044.066</v>
      </c>
      <c r="L12" s="12" t="n">
        <v>18718.144</v>
      </c>
      <c r="M12" s="13">
        <f>IF(OR(N(H12)=0,L12=""),"",L12/H12-1)</f>
        <v>0.055859668653951866</v>
      </c>
      <c r="N12" s="14" t="n">
        <v>2665.015</v>
      </c>
      <c r="O12" s="14" t="n">
        <v>3181.239</v>
      </c>
      <c r="P12" s="14" t="n">
        <v>2493.547</v>
      </c>
      <c r="Q12" s="14" t="n">
        <v>3175.298</v>
      </c>
      <c r="R12" s="13">
        <f>IF(OR(N(L12)=0,Q12=""),"",Q12/L12)</f>
        <v>0.16963743841269732</v>
      </c>
      <c r="S12" s="14" t="n">
        <v>6134.335</v>
      </c>
      <c r="T12" s="13">
        <f>IF(OR(N(L12)=0,S12=""),"",S12/L12)</f>
        <v>0.3277213274991367</v>
      </c>
      <c r="U12" s="14" t="n">
        <v>2338.989</v>
      </c>
      <c r="V12" s="13">
        <f>IF(OR(N(L12)=0,U12=""),"",U12/L12)</f>
        <v>0.12495838262596975</v>
      </c>
      <c r="W12" s="14" t="n">
        <v>69672.977</v>
      </c>
      <c r="X12" s="14" t="n">
        <v>10840.988</v>
      </c>
      <c r="Y12" s="13">
        <f>IF(OR(N(W12)=0,X12=""),"",X12/W12)</f>
        <v>0.15559817402376822</v>
      </c>
      <c r="Z12" s="11" t="str">
        <f>IF(AA12="A","四季持續盈利",IF(AA12="B","最新季為正/波動",IF(AA12="C","虧損收窄",IF(AA12="D","虧損擴大或轉虧","數據不足"))))</f>
        <v>四季持續盈利</v>
      </c>
      <c r="AA12" s="9" t="str">
        <f>IF(COUNT(N12:Q12)&lt;4,"—",IF(MIN(N12:Q12)&gt;0,"A",IF(Q12&gt;0,"B",IF(Q12&gt;N12,"C","D"))))</f>
        <v>A</v>
      </c>
      <c r="AB12" s="9" t="inlineStr">
        <is>
          <t>2026-05-31</t>
        </is>
      </c>
    </row>
    <row r="13" ht="15" customHeight="1">
      <c r="A13" s="9" t="n">
        <v>12</v>
      </c>
      <c r="B13" s="10" t="inlineStr">
        <is>
          <t>ADBE</t>
        </is>
      </c>
      <c r="C13" s="11" t="inlineStr">
        <is>
          <t>企業軟體/SaaS</t>
        </is>
      </c>
      <c r="D13" s="11" t="inlineStr">
        <is>
          <t>Adobe Inc.</t>
        </is>
      </c>
      <c r="E13" s="11" t="inlineStr">
        <is>
          <t>G3 AI</t>
        </is>
      </c>
      <c r="F13" s="9" t="inlineStr">
        <is>
          <t>USD</t>
        </is>
      </c>
      <c r="G13" s="11" t="inlineStr">
        <is>
          <t>25Q2 / 25Q3 / 25Q4 / 26Q1 / 26Q2</t>
        </is>
      </c>
      <c r="H13" s="12" t="n">
        <v>5873</v>
      </c>
      <c r="I13" s="12" t="n">
        <v>5988</v>
      </c>
      <c r="J13" s="12" t="n">
        <v>6194</v>
      </c>
      <c r="K13" s="12" t="n">
        <v>6398</v>
      </c>
      <c r="L13" s="12" t="n">
        <v>6618</v>
      </c>
      <c r="M13" s="13">
        <f>IF(OR(N(H13)=0,L13=""),"",L13/H13-1)</f>
        <v>0.12685169419376807</v>
      </c>
      <c r="N13" s="14" t="n">
        <v>2173</v>
      </c>
      <c r="O13" s="14" t="n">
        <v>2261</v>
      </c>
      <c r="P13" s="14" t="n">
        <v>2418</v>
      </c>
      <c r="Q13" s="14" t="n">
        <v>2238</v>
      </c>
      <c r="R13" s="13">
        <f>IF(OR(N(L13)=0,Q13=""),"",Q13/L13)</f>
        <v>0.3381686310063463</v>
      </c>
      <c r="S13" s="14" t="n">
        <v>5903</v>
      </c>
      <c r="T13" s="13">
        <f>IF(OR(N(L13)=0,S13=""),"",S13/L13)</f>
        <v>0.8919613176186159</v>
      </c>
      <c r="U13" s="14" t="n">
        <v>1712</v>
      </c>
      <c r="V13" s="13">
        <f>IF(OR(N(L13)=0,U13=""),"",U13/L13)</f>
        <v>0.25868842550619525</v>
      </c>
      <c r="W13" s="14" t="n">
        <v>23769</v>
      </c>
      <c r="X13" s="14" t="n">
        <v>8706</v>
      </c>
      <c r="Y13" s="13">
        <f>IF(OR(N(W13)=0,X13=""),"",X13/W13)</f>
        <v>0.36627540073204595</v>
      </c>
      <c r="Z13" s="11" t="str">
        <f>IF(AA13="A","四季持續盈利",IF(AA13="B","最新季為正/波動",IF(AA13="C","虧損收窄",IF(AA13="D","虧損擴大或轉虧","數據不足"))))</f>
        <v>四季持續盈利</v>
      </c>
      <c r="AA13" s="9" t="str">
        <f>IF(COUNT(N13:Q13)&lt;4,"—",IF(MIN(N13:Q13)&gt;0,"A",IF(Q13&gt;0,"B",IF(Q13&gt;N13,"C","D"))))</f>
        <v>A</v>
      </c>
      <c r="AB13" s="9" t="inlineStr">
        <is>
          <t>2026-05-31</t>
        </is>
      </c>
    </row>
    <row r="14" ht="15" customHeight="1">
      <c r="A14" s="9" t="n">
        <v>13</v>
      </c>
      <c r="B14" s="10" t="inlineStr">
        <is>
          <t>ADI</t>
        </is>
      </c>
      <c r="C14" s="11" t="inlineStr">
        <is>
          <t>類比/功率半導體</t>
        </is>
      </c>
      <c r="D14" s="11" t="inlineStr">
        <is>
          <t>Analog Devices, Inc.</t>
        </is>
      </c>
      <c r="E14" s="11" t="inlineStr">
        <is>
          <t>Semiconductors</t>
        </is>
      </c>
      <c r="F14" s="9" t="inlineStr">
        <is>
          <t>USD</t>
        </is>
      </c>
      <c r="G14" s="11" t="inlineStr">
        <is>
          <t>25Q3 / 25Q4 / 26Q1 / 26Q2 / 26Q3</t>
        </is>
      </c>
      <c r="H14" s="12" t="n">
        <v>2880.348</v>
      </c>
      <c r="I14" s="12" t="n">
        <v>3076.117</v>
      </c>
      <c r="J14" s="12" t="n">
        <v>3160.263</v>
      </c>
      <c r="K14" s="12" t="n">
        <v>3623.465</v>
      </c>
      <c r="L14" s="12" t="n">
        <v>4021.899</v>
      </c>
      <c r="M14" s="13">
        <f>IF(OR(N(H14)=0,L14=""),"",L14/H14-1)</f>
        <v>0.3963239858517096</v>
      </c>
      <c r="N14" s="14" t="n">
        <v>945.211</v>
      </c>
      <c r="O14" s="14" t="n">
        <v>1045.008</v>
      </c>
      <c r="P14" s="14" t="n">
        <v>1379.68</v>
      </c>
      <c r="Q14" s="14" t="n">
        <v>1588.753</v>
      </c>
      <c r="R14" s="13">
        <f>IF(OR(N(L14)=0,Q14=""),"",Q14/L14)</f>
        <v>0.3950255836857166</v>
      </c>
      <c r="S14" s="14" t="n">
        <v>2707.544</v>
      </c>
      <c r="T14" s="13">
        <f>IF(OR(N(L14)=0,S14=""),"",S14/L14)</f>
        <v>0.6732003961312802</v>
      </c>
      <c r="U14" s="14" t="n">
        <v>1340.09</v>
      </c>
      <c r="V14" s="13">
        <f>IF(OR(N(L14)=0,U14=""),"",U14/L14)</f>
        <v>0.3331983224839808</v>
      </c>
      <c r="W14" s="14" t="n">
        <v>11019.707</v>
      </c>
      <c r="X14" s="14" t="n">
        <v>3002.476</v>
      </c>
      <c r="Y14" s="13">
        <f>IF(OR(N(W14)=0,X14=""),"",X14/W14)</f>
        <v>0.27246423158074895</v>
      </c>
      <c r="Z14" s="11" t="str">
        <f>IF(AA14="A","四季持續盈利",IF(AA14="B","最新季為正/波動",IF(AA14="C","虧損收窄",IF(AA14="D","虧損擴大或轉虧","數據不足"))))</f>
        <v>四季持續盈利</v>
      </c>
      <c r="AA14" s="9" t="str">
        <f>IF(COUNT(N14:Q14)&lt;4,"—",IF(MIN(N14:Q14)&gt;0,"A",IF(Q14&gt;0,"B",IF(Q14&gt;N14,"C","D"))))</f>
        <v>A</v>
      </c>
      <c r="AB14" s="9" t="inlineStr">
        <is>
          <t>2026-07-31</t>
        </is>
      </c>
    </row>
    <row r="15" ht="15" customHeight="1">
      <c r="A15" s="9" t="n">
        <v>14</v>
      </c>
      <c r="B15" s="10" t="inlineStr">
        <is>
          <t>ADM</t>
        </is>
      </c>
      <c r="C15" s="11" t="inlineStr">
        <is>
          <t>農產品與農業投入</t>
        </is>
      </c>
      <c r="D15" s="11" t="inlineStr">
        <is>
          <t>Archer-Daniels-Midland Company</t>
        </is>
      </c>
      <c r="E15" s="11" t="inlineStr">
        <is>
          <t>Farm Products</t>
        </is>
      </c>
      <c r="F15" s="9" t="inlineStr">
        <is>
          <t>USD</t>
        </is>
      </c>
      <c r="G15" s="11" t="inlineStr">
        <is>
          <t>25Q2 / 25Q3 / 25Q4 / 26Q1 / 26Q2</t>
        </is>
      </c>
      <c r="H15" s="12" t="n">
        <v>21166</v>
      </c>
      <c r="I15" s="12" t="n">
        <v>20372</v>
      </c>
      <c r="J15" s="12" t="n">
        <v>18556</v>
      </c>
      <c r="K15" s="12" t="n">
        <v>20490</v>
      </c>
      <c r="L15" s="12" t="n">
        <v>22681</v>
      </c>
      <c r="M15" s="13">
        <f>IF(OR(N(H15)=0,L15=""),"",L15/H15-1)</f>
        <v>0.07157705754511956</v>
      </c>
      <c r="N15" s="14" t="n">
        <v>397</v>
      </c>
      <c r="O15" s="14" t="n">
        <v>320</v>
      </c>
      <c r="P15" s="14" t="n">
        <v>261</v>
      </c>
      <c r="Q15" s="14" t="n">
        <v>909</v>
      </c>
      <c r="R15" s="13">
        <f>IF(OR(N(L15)=0,Q15=""),"",Q15/L15)</f>
        <v>0.040077597989506636</v>
      </c>
      <c r="S15" s="14" t="n">
        <v>1935</v>
      </c>
      <c r="T15" s="13">
        <f>IF(OR(N(L15)=0,S15=""),"",S15/L15)</f>
        <v>0.08531369869053393</v>
      </c>
      <c r="U15" s="14" t="n">
        <v>908</v>
      </c>
      <c r="V15" s="13">
        <f>IF(OR(N(L15)=0,U15=""),"",U15/L15)</f>
        <v>0.0400335082227415</v>
      </c>
      <c r="W15" s="14" t="n">
        <v>80269</v>
      </c>
      <c r="X15" s="14" t="n">
        <v>1424</v>
      </c>
      <c r="Y15" s="13">
        <f>IF(OR(N(W15)=0,X15=""),"",X15/W15)</f>
        <v>0.017740348079582403</v>
      </c>
      <c r="Z15" s="11" t="str">
        <f>IF(AA15="A","四季持續盈利",IF(AA15="B","最新季為正/波動",IF(AA15="C","虧損收窄",IF(AA15="D","虧損擴大或轉虧","數據不足"))))</f>
        <v>四季持續盈利</v>
      </c>
      <c r="AA15" s="9" t="str">
        <f>IF(COUNT(N15:Q15)&lt;4,"—",IF(MIN(N15:Q15)&gt;0,"A",IF(Q15&gt;0,"B",IF(Q15&gt;N15,"C","D"))))</f>
        <v>A</v>
      </c>
      <c r="AB15" s="9" t="inlineStr">
        <is>
          <t>2026-06-30</t>
        </is>
      </c>
    </row>
    <row r="16" ht="15" customHeight="1">
      <c r="A16" s="9" t="n">
        <v>15</v>
      </c>
      <c r="B16" s="10" t="inlineStr">
        <is>
          <t>ADP</t>
        </is>
      </c>
      <c r="C16" s="11" t="inlineStr">
        <is>
          <t>人力與商業服務</t>
        </is>
      </c>
      <c r="D16" s="11" t="inlineStr">
        <is>
          <t>Automatic Data Processing, Inc.</t>
        </is>
      </c>
      <c r="E16" s="11" t="inlineStr">
        <is>
          <t>Software - Application</t>
        </is>
      </c>
      <c r="F16" s="9" t="inlineStr">
        <is>
          <t>USD</t>
        </is>
      </c>
      <c r="G16" s="11" t="inlineStr">
        <is>
          <t>25Q2 / 25Q3 / 25Q4 / 26Q1 / 26Q2</t>
        </is>
      </c>
      <c r="H16" s="12" t="n">
        <v>5126.8</v>
      </c>
      <c r="I16" s="12" t="n">
        <v>5175.2</v>
      </c>
      <c r="J16" s="12" t="n">
        <v>5359.3</v>
      </c>
      <c r="K16" s="12" t="n">
        <v>5939.2</v>
      </c>
      <c r="L16" s="12" t="n">
        <v>5473.8</v>
      </c>
      <c r="M16" s="13">
        <f>IF(OR(N(H16)=0,L16=""),"",L16/H16-1)</f>
        <v>0.06768354529140974</v>
      </c>
      <c r="N16" s="14" t="n">
        <v>1332.8</v>
      </c>
      <c r="O16" s="14" t="n">
        <v>1401.5</v>
      </c>
      <c r="P16" s="14" t="n">
        <v>1785.5</v>
      </c>
      <c r="Q16" s="14" t="n">
        <v>1259.1</v>
      </c>
      <c r="R16" s="13">
        <f>IF(OR(N(L16)=0,Q16=""),"",Q16/L16)</f>
        <v>0.23002301874383424</v>
      </c>
      <c r="S16" s="14" t="n">
        <v>2511.3</v>
      </c>
      <c r="T16" s="13">
        <f>IF(OR(N(L16)=0,S16=""),"",S16/L16)</f>
        <v>0.45878548723007784</v>
      </c>
      <c r="U16" s="14" t="n">
        <v>978.6</v>
      </c>
      <c r="V16" s="13">
        <f>IF(OR(N(L16)=0,U16=""),"",U16/L16)</f>
        <v>0.17877891044612518</v>
      </c>
      <c r="W16" s="14" t="n">
        <v>21947.4</v>
      </c>
      <c r="X16" s="14" t="n">
        <v>5779</v>
      </c>
      <c r="Y16" s="13">
        <f>IF(OR(N(W16)=0,X16=""),"",X16/W16)</f>
        <v>0.2633113717342373</v>
      </c>
      <c r="Z16" s="11" t="str">
        <f>IF(AA16="A","四季持續盈利",IF(AA16="B","最新季為正/波動",IF(AA16="C","虧損收窄",IF(AA16="D","虧損擴大或轉虧","數據不足"))))</f>
        <v>四季持續盈利</v>
      </c>
      <c r="AA16" s="9" t="str">
        <f>IF(COUNT(N16:Q16)&lt;4,"—",IF(MIN(N16:Q16)&gt;0,"A",IF(Q16&gt;0,"B",IF(Q16&gt;N16,"C","D"))))</f>
        <v>A</v>
      </c>
      <c r="AB16" s="9" t="inlineStr">
        <is>
          <t>2026-06-30</t>
        </is>
      </c>
    </row>
    <row r="17" ht="15" customHeight="1">
      <c r="A17" s="9" t="n">
        <v>16</v>
      </c>
      <c r="B17" s="10" t="inlineStr">
        <is>
          <t>AEHR</t>
        </is>
      </c>
      <c r="C17" s="11" t="inlineStr">
        <is>
          <t>—</t>
        </is>
      </c>
      <c r="D17" s="11" t="inlineStr">
        <is>
          <t>Aehr Test Systems, Inc.</t>
        </is>
      </c>
      <c r="E17" s="11" t="inlineStr">
        <is>
          <t>B3 先進封裝</t>
        </is>
      </c>
      <c r="F17" s="9" t="inlineStr">
        <is>
          <t>USD</t>
        </is>
      </c>
      <c r="G17" s="11" t="inlineStr">
        <is>
          <t>25Q2 / 25Q3 / 25Q4 / 26Q1 / 26Q2</t>
        </is>
      </c>
      <c r="H17" s="12" t="n">
        <v>14.089</v>
      </c>
      <c r="I17" s="12" t="n">
        <v>10.969</v>
      </c>
      <c r="J17" s="12" t="n">
        <v>9.884</v>
      </c>
      <c r="K17" s="12" t="n">
        <v>10.313</v>
      </c>
      <c r="L17" s="12" t="n">
        <v>18.835</v>
      </c>
      <c r="M17" s="13">
        <f>IF(OR(N(H17)=0,L17=""),"",L17/H17-1)</f>
        <v>0.33685854212506205</v>
      </c>
      <c r="N17" s="14" t="n">
        <v>-3.847</v>
      </c>
      <c r="O17" s="14" t="n">
        <v>-4.861</v>
      </c>
      <c r="P17" s="14" t="n">
        <v>-4.229</v>
      </c>
      <c r="Q17" s="14" t="n">
        <v>-1.206</v>
      </c>
      <c r="R17" s="13">
        <f>IF(OR(N(L17)=0,Q17=""),"",Q17/L17)</f>
        <v>-0.06402973188213432</v>
      </c>
      <c r="S17" s="14" t="n">
        <v>8.019</v>
      </c>
      <c r="T17" s="13">
        <f>IF(OR(N(L17)=0,S17=""),"",S17/L17)</f>
        <v>0.42574993363419167</v>
      </c>
      <c r="U17" s="14" t="n">
        <v>1.391</v>
      </c>
      <c r="V17" s="13">
        <f>IF(OR(N(L17)=0,U17=""),"",U17/L17)</f>
        <v>0.07385187151579506</v>
      </c>
      <c r="W17" s="14" t="n">
        <v>50.001</v>
      </c>
      <c r="X17" s="14" t="n">
        <v>-14.143</v>
      </c>
      <c r="Y17" s="13">
        <f>IF(OR(N(W17)=0,X17=""),"",X17/W17)</f>
        <v>-0.28285434291314177</v>
      </c>
      <c r="Z17" s="11" t="str">
        <f>IF(AA17="A","四季持續盈利",IF(AA17="B","最新季為正/波動",IF(AA17="C","虧損收窄",IF(AA17="D","虧損擴大或轉虧","數據不足"))))</f>
        <v>虧損收窄</v>
      </c>
      <c r="AA17" s="9" t="str">
        <f>IF(COUNT(N17:Q17)&lt;4,"—",IF(MIN(N17:Q17)&gt;0,"A",IF(Q17&gt;0,"B",IF(Q17&gt;N17,"C","D"))))</f>
        <v>C</v>
      </c>
      <c r="AB17" s="9" t="inlineStr">
        <is>
          <t>2026-05-31</t>
        </is>
      </c>
    </row>
    <row r="18" ht="15" customHeight="1">
      <c r="A18" s="9" t="n">
        <v>17</v>
      </c>
      <c r="B18" s="10" t="inlineStr">
        <is>
          <t>AEM</t>
        </is>
      </c>
      <c r="C18" s="11" t="inlineStr">
        <is>
          <t>黃金與貴金屬礦</t>
        </is>
      </c>
      <c r="D18" s="11" t="inlineStr">
        <is>
          <t>Agnico Eagle Mines Limited</t>
        </is>
      </c>
      <c r="E18" s="11" t="inlineStr">
        <is>
          <t>Gold</t>
        </is>
      </c>
      <c r="F18" s="9" t="inlineStr">
        <is>
          <t>USD</t>
        </is>
      </c>
      <c r="G18" s="11" t="inlineStr">
        <is>
          <t>25Q2 / 25Q3 / 25Q4 / 26Q1 / 26Q2</t>
        </is>
      </c>
      <c r="H18" s="12" t="n">
        <v>2816.101</v>
      </c>
      <c r="I18" s="12" t="n">
        <v>3059.529</v>
      </c>
      <c r="J18" s="12" t="n">
        <v>3563.973</v>
      </c>
      <c r="K18" s="12" t="n">
        <v>4099.589</v>
      </c>
      <c r="L18" s="12" t="n">
        <v>3802.818</v>
      </c>
      <c r="M18" s="13">
        <f>IF(OR(N(H18)=0,L18=""),"",L18/H18-1)</f>
        <v>0.3503840948886421</v>
      </c>
      <c r="N18" s="14" t="n">
        <v>1645.004</v>
      </c>
      <c r="O18" s="14" t="n">
        <v>1991.371</v>
      </c>
      <c r="P18" s="14" t="n">
        <v>2556.764</v>
      </c>
      <c r="Q18" s="14" t="n">
        <v>2281.946</v>
      </c>
      <c r="R18" s="13">
        <f>IF(OR(N(L18)=0,Q18=""),"",Q18/L18)</f>
        <v>0.6000671081287613</v>
      </c>
      <c r="S18" s="14" t="n">
        <v>2425.804</v>
      </c>
      <c r="T18" s="13">
        <f>IF(OR(N(L18)=0,S18=""),"",S18/L18)</f>
        <v>0.6378964231262185</v>
      </c>
      <c r="U18" s="14" t="n">
        <v>1600.453</v>
      </c>
      <c r="V18" s="13">
        <f>IF(OR(N(L18)=0,U18=""),"",U18/L18)</f>
        <v>0.42085974138125987</v>
      </c>
      <c r="W18" s="14" t="n">
        <v>11907.851</v>
      </c>
      <c r="X18" s="14" t="n">
        <v>6327.961</v>
      </c>
      <c r="Y18" s="13">
        <f>IF(OR(N(W18)=0,X18=""),"",X18/W18)</f>
        <v>0.5314108313918271</v>
      </c>
      <c r="Z18" s="11" t="str">
        <f>IF(AA18="A","四季持續盈利",IF(AA18="B","最新季為正/波動",IF(AA18="C","虧損收窄",IF(AA18="D","虧損擴大或轉虧","數據不足"))))</f>
        <v>四季持續盈利</v>
      </c>
      <c r="AA18" s="9" t="str">
        <f>IF(COUNT(N18:Q18)&lt;4,"—",IF(MIN(N18:Q18)&gt;0,"A",IF(Q18&gt;0,"B",IF(Q18&gt;N18,"C","D"))))</f>
        <v>A</v>
      </c>
      <c r="AB18" s="9" t="inlineStr">
        <is>
          <t>2026-06-30</t>
        </is>
      </c>
    </row>
    <row r="19" ht="15" customHeight="1">
      <c r="A19" s="9" t="n">
        <v>18</v>
      </c>
      <c r="B19" s="10" t="inlineStr">
        <is>
          <t>AEP</t>
        </is>
      </c>
      <c r="C19" s="11" t="inlineStr">
        <is>
          <t>受監管電力公用</t>
        </is>
      </c>
      <c r="D19" s="11" t="inlineStr">
        <is>
          <t>American Electric Power Company, Inc.</t>
        </is>
      </c>
      <c r="E19" s="11" t="inlineStr">
        <is>
          <t>Utilities - Regulated Electric</t>
        </is>
      </c>
      <c r="F19" s="9" t="inlineStr">
        <is>
          <t>USD</t>
        </is>
      </c>
      <c r="G19" s="11" t="inlineStr">
        <is>
          <t>25Q2 / 25Q3 / 25Q4 / 26Q1 / 26Q2</t>
        </is>
      </c>
      <c r="H19" s="12" t="n">
        <v>5087</v>
      </c>
      <c r="I19" s="12" t="n">
        <v>6010.4</v>
      </c>
      <c r="J19" s="12" t="n">
        <v>5315.3</v>
      </c>
      <c r="K19" s="12" t="n">
        <v>6020</v>
      </c>
      <c r="L19" s="12" t="n">
        <v>5445</v>
      </c>
      <c r="M19" s="13">
        <f>IF(OR(N(H19)=0,L19=""),"",L19/H19-1)</f>
        <v>0.07037546687635143</v>
      </c>
      <c r="N19" s="14" t="n">
        <v>1521.4</v>
      </c>
      <c r="O19" s="14" t="n">
        <v>1180.3</v>
      </c>
      <c r="P19" s="14" t="n">
        <v>1391</v>
      </c>
      <c r="Q19" s="14" t="n">
        <v>1247</v>
      </c>
      <c r="R19" s="13">
        <f>IF(OR(N(L19)=0,Q19=""),"",Q19/L19)</f>
        <v>0.2290174471992654</v>
      </c>
      <c r="S19" s="14" t="n">
        <v>3398</v>
      </c>
      <c r="T19" s="13">
        <f>IF(OR(N(L19)=0,S19=""),"",S19/L19)</f>
        <v>0.624058769513315</v>
      </c>
      <c r="U19" s="14" t="n">
        <v>713</v>
      </c>
      <c r="V19" s="13">
        <f>IF(OR(N(L19)=0,U19=""),"",U19/L19)</f>
        <v>0.13094582185491277</v>
      </c>
      <c r="W19" s="14" t="n">
        <v>21876</v>
      </c>
      <c r="X19" s="14" t="n">
        <v>5385</v>
      </c>
      <c r="Y19" s="13">
        <f>IF(OR(N(W19)=0,X19=""),"",X19/W19)</f>
        <v>0.2461601755348327</v>
      </c>
      <c r="Z19" s="11" t="str">
        <f>IF(AA19="A","四季持續盈利",IF(AA19="B","最新季為正/波動",IF(AA19="C","虧損收窄",IF(AA19="D","虧損擴大或轉虧","數據不足"))))</f>
        <v>四季持續盈利</v>
      </c>
      <c r="AA19" s="9" t="str">
        <f>IF(COUNT(N19:Q19)&lt;4,"—",IF(MIN(N19:Q19)&gt;0,"A",IF(Q19&gt;0,"B",IF(Q19&gt;N19,"C","D"))))</f>
        <v>A</v>
      </c>
      <c r="AB19" s="9" t="inlineStr">
        <is>
          <t>2026-06-30</t>
        </is>
      </c>
    </row>
    <row r="20" ht="15" customHeight="1">
      <c r="A20" s="9" t="n">
        <v>19</v>
      </c>
      <c r="B20" s="10" t="inlineStr">
        <is>
          <t>AFL</t>
        </is>
      </c>
      <c r="C20" s="11" t="inlineStr">
        <is>
          <t>壽險與年金</t>
        </is>
      </c>
      <c r="D20" s="11" t="inlineStr">
        <is>
          <t>Aflac Incorporated</t>
        </is>
      </c>
      <c r="E20" s="11" t="inlineStr">
        <is>
          <t>Insurance - Life</t>
        </is>
      </c>
      <c r="F20" s="9" t="inlineStr">
        <is>
          <t>USD</t>
        </is>
      </c>
      <c r="G20" s="11" t="inlineStr">
        <is>
          <t>25Q2 / 25Q3 / 25Q4 / 26Q1 / 26Q2</t>
        </is>
      </c>
      <c r="H20" s="12" t="n">
        <v>4218</v>
      </c>
      <c r="I20" s="12" t="n">
        <v>4793</v>
      </c>
      <c r="J20" s="12" t="n">
        <v>4891</v>
      </c>
      <c r="K20" s="12" t="n">
        <v>4408</v>
      </c>
      <c r="L20" s="12" t="n">
        <v>4194</v>
      </c>
      <c r="M20" s="13">
        <f>IF(OR(N(H20)=0,L20=""),"",L20/H20-1)</f>
        <v>-0.005689900426742556</v>
      </c>
      <c r="N20" s="14" t="n">
        <v>2051</v>
      </c>
      <c r="O20" s="14" t="n">
        <v>1633</v>
      </c>
      <c r="P20" s="14" t="n">
        <v>1285</v>
      </c>
      <c r="Q20" s="14" t="n">
        <v>1059</v>
      </c>
      <c r="R20" s="13">
        <f>IF(OR(N(L20)=0,Q20=""),"",Q20/L20)</f>
        <v>0.2525035765379113</v>
      </c>
      <c r="S20" s="14" t="n"/>
      <c r="T20" s="13" t="str">
        <f>IF(OR(N(L20)=0,S20=""),"",S20/L20)</f>
        <v/>
      </c>
      <c r="U20" s="14" t="n">
        <v>825</v>
      </c>
      <c r="V20" s="13">
        <f>IF(OR(N(L20)=0,U20=""),"",U20/L20)</f>
        <v>0.19670958512160228</v>
      </c>
      <c r="W20" s="14" t="n">
        <v>17355</v>
      </c>
      <c r="X20" s="14" t="n">
        <v>4753</v>
      </c>
      <c r="Y20" s="13">
        <f>IF(OR(N(W20)=0,X20=""),"",X20/W20)</f>
        <v>0.2738692019590896</v>
      </c>
      <c r="Z20" s="11" t="str">
        <f>IF(AA20="A","四季持續盈利",IF(AA20="B","最新季為正/波動",IF(AA20="C","虧損收窄",IF(AA20="D","虧損擴大或轉虧","數據不足"))))</f>
        <v>四季持續盈利</v>
      </c>
      <c r="AA20" s="9" t="str">
        <f>IF(COUNT(N20:Q20)&lt;4,"—",IF(MIN(N20:Q20)&gt;0,"A",IF(Q20&gt;0,"B",IF(Q20&gt;N20,"C","D"))))</f>
        <v>A</v>
      </c>
      <c r="AB20" s="9" t="inlineStr">
        <is>
          <t>2026-06-30</t>
        </is>
      </c>
    </row>
    <row r="21" ht="15" customHeight="1">
      <c r="A21" s="9" t="n">
        <v>20</v>
      </c>
      <c r="B21" s="10" t="inlineStr">
        <is>
          <t>AFRM</t>
        </is>
      </c>
      <c r="C21" s="11" t="inlineStr">
        <is>
          <t>消費金融與BNPL</t>
        </is>
      </c>
      <c r="D21" s="11" t="inlineStr">
        <is>
          <t>Affirm Holdings, Inc.</t>
        </is>
      </c>
      <c r="E21" s="11" t="inlineStr">
        <is>
          <t>Credit Services</t>
        </is>
      </c>
      <c r="F21" s="9" t="inlineStr">
        <is>
          <t>USD</t>
        </is>
      </c>
      <c r="G21" s="11" t="inlineStr">
        <is>
          <t>25Q2 / 25Q3 / 25Q4 / 26Q1 / 26Q2</t>
        </is>
      </c>
      <c r="H21" s="12" t="n">
        <v>876.417</v>
      </c>
      <c r="I21" s="12" t="n">
        <v>933.337</v>
      </c>
      <c r="J21" s="12" t="n">
        <v>1123.02</v>
      </c>
      <c r="K21" s="12" t="n">
        <v>1038.765</v>
      </c>
      <c r="L21" s="12" t="n">
        <v>1165.961</v>
      </c>
      <c r="M21" s="13">
        <f>IF(OR(N(H21)=0,L21=""),"",L21/H21-1)</f>
        <v>0.33037241404491247</v>
      </c>
      <c r="N21" s="14" t="n">
        <v>173.688</v>
      </c>
      <c r="O21" s="14" t="n">
        <v>229.344</v>
      </c>
      <c r="P21" s="14" t="n">
        <v>202.19</v>
      </c>
      <c r="Q21" s="14" t="n">
        <v>265.772</v>
      </c>
      <c r="R21" s="13">
        <f>IF(OR(N(L21)=0,Q21=""),"",Q21/L21)</f>
        <v>0.22794244404401176</v>
      </c>
      <c r="S21" s="14" t="n">
        <v>804.504</v>
      </c>
      <c r="T21" s="13">
        <f>IF(OR(N(L21)=0,S21=""),"",S21/L21)</f>
        <v>0.6899922038558751</v>
      </c>
      <c r="U21" s="14" t="n">
        <v>1616.613</v>
      </c>
      <c r="V21" s="13">
        <f>IF(OR(N(L21)=0,U21=""),"",U21/L21)</f>
        <v>1.3865069243310884</v>
      </c>
      <c r="W21" s="14" t="n">
        <v>4261.083</v>
      </c>
      <c r="X21" s="14" t="n">
        <v>870.994</v>
      </c>
      <c r="Y21" s="13">
        <f>IF(OR(N(W21)=0,X21=""),"",X21/W21)</f>
        <v>0.204406720075624</v>
      </c>
      <c r="Z21" s="11" t="str">
        <f>IF(AA21="A","四季持續盈利",IF(AA21="B","最新季為正/波動",IF(AA21="C","虧損收窄",IF(AA21="D","虧損擴大或轉虧","數據不足"))))</f>
        <v>四季持續盈利</v>
      </c>
      <c r="AA21" s="9" t="str">
        <f>IF(COUNT(N21:Q21)&lt;4,"—",IF(MIN(N21:Q21)&gt;0,"A",IF(Q21&gt;0,"B",IF(Q21&gt;N21,"C","D"))))</f>
        <v>A</v>
      </c>
      <c r="AB21" s="9" t="inlineStr">
        <is>
          <t>2026-06-30</t>
        </is>
      </c>
    </row>
    <row r="22" ht="15" customHeight="1">
      <c r="A22" s="9" t="n">
        <v>21</v>
      </c>
      <c r="B22" s="10" t="inlineStr">
        <is>
          <t>AG</t>
        </is>
      </c>
      <c r="C22" s="11" t="inlineStr">
        <is>
          <t>白銀礦</t>
        </is>
      </c>
      <c r="D22" s="11" t="inlineStr">
        <is>
          <t>First Majestic Silver Corp.</t>
        </is>
      </c>
      <c r="E22" s="11" t="inlineStr">
        <is>
          <t>Silver</t>
        </is>
      </c>
      <c r="F22" s="9" t="inlineStr">
        <is>
          <t>USD</t>
        </is>
      </c>
      <c r="G22" s="11" t="inlineStr">
        <is>
          <t>25Q2 / 25Q3 / 25Q4 / 26Q1 / 26Q2</t>
        </is>
      </c>
      <c r="H22" s="12" t="n">
        <v>264.726</v>
      </c>
      <c r="I22" s="12" t="n">
        <v>286.723</v>
      </c>
      <c r="J22" s="12" t="n">
        <v>467.716</v>
      </c>
      <c r="K22" s="12" t="n">
        <v>480.938</v>
      </c>
      <c r="L22" s="12" t="n">
        <v>414.239</v>
      </c>
      <c r="M22" s="13">
        <f>IF(OR(N(H22)=0,L22=""),"",L22/H22-1)</f>
        <v>0.5647839653075255</v>
      </c>
      <c r="N22" s="14" t="n">
        <v>76.871</v>
      </c>
      <c r="O22" s="14" t="n">
        <v>210.26</v>
      </c>
      <c r="P22" s="14" t="n">
        <v>235.978</v>
      </c>
      <c r="Q22" s="14" t="n">
        <v>198.576</v>
      </c>
      <c r="R22" s="13">
        <f>IF(OR(N(L22)=0,Q22=""),"",Q22/L22)</f>
        <v>0.47937543302296504</v>
      </c>
      <c r="S22" s="14" t="n">
        <v>223.616</v>
      </c>
      <c r="T22" s="13">
        <f>IF(OR(N(L22)=0,S22=""),"",S22/L22)</f>
        <v>0.5398236283884424</v>
      </c>
      <c r="U22" s="14" t="n">
        <v>125.893</v>
      </c>
      <c r="V22" s="13">
        <f>IF(OR(N(L22)=0,U22=""),"",U22/L22)</f>
        <v>0.3039139240873023</v>
      </c>
      <c r="W22" s="14" t="n">
        <v>1265.157</v>
      </c>
      <c r="X22" s="14" t="n">
        <v>349.931</v>
      </c>
      <c r="Y22" s="13">
        <f>IF(OR(N(W22)=0,X22=""),"",X22/W22)</f>
        <v>0.27659096855172915</v>
      </c>
      <c r="Z22" s="11" t="str">
        <f>IF(AA22="A","四季持續盈利",IF(AA22="B","最新季為正/波動",IF(AA22="C","虧損收窄",IF(AA22="D","虧損擴大或轉虧","數據不足"))))</f>
        <v>四季持續盈利</v>
      </c>
      <c r="AA22" s="9" t="str">
        <f>IF(COUNT(N22:Q22)&lt;4,"—",IF(MIN(N22:Q22)&gt;0,"A",IF(Q22&gt;0,"B",IF(Q22&gt;N22,"C","D"))))</f>
        <v>A</v>
      </c>
      <c r="AB22" s="9" t="inlineStr">
        <is>
          <t>2026-06-30</t>
        </is>
      </c>
    </row>
    <row r="23" ht="15" customHeight="1">
      <c r="A23" s="9" t="n">
        <v>22</v>
      </c>
      <c r="B23" s="10" t="inlineStr">
        <is>
          <t>AI</t>
        </is>
      </c>
      <c r="C23" s="11" t="inlineStr">
        <is>
          <t>—</t>
        </is>
      </c>
      <c r="D23" s="11" t="inlineStr">
        <is>
          <t>C3.ai, Inc.</t>
        </is>
      </c>
      <c r="E23" s="11" t="inlineStr">
        <is>
          <t>G3 AI</t>
        </is>
      </c>
      <c r="F23" s="9" t="inlineStr">
        <is>
          <t>USD</t>
        </is>
      </c>
      <c r="G23" s="11" t="inlineStr">
        <is>
          <t>25Q3 / 25Q4 / 26Q1 / 26Q2 / 26Q3</t>
        </is>
      </c>
      <c r="H23" s="12" t="n">
        <v>70.261</v>
      </c>
      <c r="I23" s="12" t="n">
        <v>75.14700000000001</v>
      </c>
      <c r="J23" s="12" t="n">
        <v>53.26</v>
      </c>
      <c r="K23" s="12" t="n">
        <v>51.6</v>
      </c>
      <c r="L23" s="12" t="n"/>
      <c r="M23" s="13" t="str">
        <f>IF(OR(N(H23)=0,L23=""),"",L23/H23-1)</f>
        <v/>
      </c>
      <c r="N23" s="14" t="n">
        <v>-112.113</v>
      </c>
      <c r="O23" s="14" t="n">
        <v>-140.408</v>
      </c>
      <c r="P23" s="14" t="n">
        <v>-110.33</v>
      </c>
      <c r="Q23" s="14" t="n"/>
      <c r="R23" s="13" t="str">
        <f>IF(OR(N(L23)=0,Q23=""),"",Q23/L23)</f>
        <v/>
      </c>
      <c r="S23" s="14" t="n"/>
      <c r="T23" s="13" t="str">
        <f>IF(OR(N(L23)=0,S23=""),"",S23/L23)</f>
        <v/>
      </c>
      <c r="U23" s="14" t="n"/>
      <c r="V23" s="13" t="str">
        <f>IF(OR(N(L23)=0,U23=""),"",U23/L23)</f>
        <v/>
      </c>
      <c r="W23" s="14" t="n">
        <v>250.268</v>
      </c>
      <c r="X23" s="14" t="n">
        <v>-487.67</v>
      </c>
      <c r="Y23" s="13">
        <f>IF(OR(N(W23)=0,X23=""),"",X23/W23)</f>
        <v>-1.9485911103297267</v>
      </c>
      <c r="Z23" s="11" t="str">
        <f>IF(AA23="A","四季持續盈利",IF(AA23="B","最新季為正/波動",IF(AA23="C","虧損收窄",IF(AA23="D","虧損擴大或轉虧","數據不足"))))</f>
        <v>數據不足</v>
      </c>
      <c r="AA23" s="9" t="str">
        <f>IF(COUNT(N23:Q23)&lt;4,"—",IF(MIN(N23:Q23)&gt;0,"A",IF(Q23&gt;0,"B",IF(Q23&gt;N23,"C","D"))))</f>
        <v>—</v>
      </c>
      <c r="AB23" s="9" t="inlineStr">
        <is>
          <t>2026-07-31</t>
        </is>
      </c>
    </row>
    <row r="24" ht="15" customHeight="1">
      <c r="A24" s="9" t="n">
        <v>23</v>
      </c>
      <c r="B24" s="10" t="inlineStr">
        <is>
          <t>AIG</t>
        </is>
      </c>
      <c r="C24" s="11" t="inlineStr">
        <is>
          <t>產險與再保</t>
        </is>
      </c>
      <c r="D24" s="11" t="inlineStr">
        <is>
          <t>American International Group, Inc.</t>
        </is>
      </c>
      <c r="E24" s="11" t="inlineStr">
        <is>
          <t>Insurance - Diversified</t>
        </is>
      </c>
      <c r="F24" s="9" t="inlineStr">
        <is>
          <t>USD</t>
        </is>
      </c>
      <c r="G24" s="11" t="inlineStr">
        <is>
          <t>25Q2 / 25Q3 / 25Q4 / 26Q1 / 26Q2</t>
        </is>
      </c>
      <c r="H24" s="12" t="n">
        <v>7041</v>
      </c>
      <c r="I24" s="12" t="n">
        <v>6402</v>
      </c>
      <c r="J24" s="12" t="n">
        <v>6557</v>
      </c>
      <c r="K24" s="12" t="n">
        <v>6616</v>
      </c>
      <c r="L24" s="12" t="n">
        <v>7086</v>
      </c>
      <c r="M24" s="13">
        <f>IF(OR(N(H24)=0,L24=""),"",L24/H24-1)</f>
        <v>0.0063911376224967675</v>
      </c>
      <c r="N24" s="14" t="n">
        <v>813</v>
      </c>
      <c r="O24" s="14" t="n">
        <v>766</v>
      </c>
      <c r="P24" s="14" t="n">
        <v>1087</v>
      </c>
      <c r="Q24" s="14" t="n">
        <v>1364</v>
      </c>
      <c r="R24" s="13">
        <f>IF(OR(N(L24)=0,Q24=""),"",Q24/L24)</f>
        <v>0.19249223821620096</v>
      </c>
      <c r="S24" s="14" t="n"/>
      <c r="T24" s="13" t="str">
        <f>IF(OR(N(L24)=0,S24=""),"",S24/L24)</f>
        <v/>
      </c>
      <c r="U24" s="14" t="n">
        <v>948</v>
      </c>
      <c r="V24" s="13">
        <f>IF(OR(N(L24)=0,U24=""),"",U24/L24)</f>
        <v>0.13378492802709568</v>
      </c>
      <c r="W24" s="14" t="n">
        <v>26774</v>
      </c>
      <c r="X24" s="14" t="n">
        <v>4275</v>
      </c>
      <c r="Y24" s="13">
        <f>IF(OR(N(W24)=0,X24=""),"",X24/W24)</f>
        <v>0.15966982893852244</v>
      </c>
      <c r="Z24" s="11" t="str">
        <f>IF(AA24="A","四季持續盈利",IF(AA24="B","最新季為正/波動",IF(AA24="C","虧損收窄",IF(AA24="D","虧損擴大或轉虧","數據不足"))))</f>
        <v>四季持續盈利</v>
      </c>
      <c r="AA24" s="9" t="str">
        <f>IF(COUNT(N24:Q24)&lt;4,"—",IF(MIN(N24:Q24)&gt;0,"A",IF(Q24&gt;0,"B",IF(Q24&gt;N24,"C","D"))))</f>
        <v>A</v>
      </c>
      <c r="AB24" s="9" t="inlineStr">
        <is>
          <t>2026-06-30</t>
        </is>
      </c>
    </row>
    <row r="25" ht="15" customHeight="1">
      <c r="A25" s="9" t="n">
        <v>24</v>
      </c>
      <c r="B25" s="10" t="inlineStr">
        <is>
          <t>AJG</t>
        </is>
      </c>
      <c r="C25" s="11" t="inlineStr">
        <is>
          <t>保險經紀</t>
        </is>
      </c>
      <c r="D25" s="11" t="inlineStr">
        <is>
          <t>Arthur J. Gallagher &amp; Co.</t>
        </is>
      </c>
      <c r="E25" s="11" t="inlineStr">
        <is>
          <t>Insurance Brokers</t>
        </is>
      </c>
      <c r="F25" s="9" t="inlineStr">
        <is>
          <t>USD</t>
        </is>
      </c>
      <c r="G25" s="11" t="inlineStr">
        <is>
          <t>25Q2 / 25Q3 / 25Q4 / 26Q1 / 26Q2</t>
        </is>
      </c>
      <c r="H25" s="12" t="n">
        <v>3222</v>
      </c>
      <c r="I25" s="12" t="n">
        <v>3365.6</v>
      </c>
      <c r="J25" s="12" t="n">
        <v>3628.2</v>
      </c>
      <c r="K25" s="12" t="n">
        <v>4758</v>
      </c>
      <c r="L25" s="12" t="n">
        <v>4003</v>
      </c>
      <c r="M25" s="13">
        <f>IF(OR(N(H25)=0,L25=""),"",L25/H25-1)</f>
        <v>0.24239602731222853</v>
      </c>
      <c r="N25" s="14" t="n">
        <v>536.6</v>
      </c>
      <c r="O25" s="14" t="n">
        <v>348.1</v>
      </c>
      <c r="P25" s="14" t="n">
        <v>1218</v>
      </c>
      <c r="Q25" s="14" t="n">
        <v>588</v>
      </c>
      <c r="R25" s="13">
        <f>IF(OR(N(L25)=0,Q25=""),"",Q25/L25)</f>
        <v>0.14688983262553085</v>
      </c>
      <c r="S25" s="14" t="n">
        <v>1625</v>
      </c>
      <c r="T25" s="13">
        <f>IF(OR(N(L25)=0,S25=""),"",S25/L25)</f>
        <v>0.40594554084436674</v>
      </c>
      <c r="U25" s="14" t="n">
        <v>324</v>
      </c>
      <c r="V25" s="13">
        <f>IF(OR(N(L25)=0,U25=""),"",U25/L25)</f>
        <v>0.08093929552835373</v>
      </c>
      <c r="W25" s="14" t="n">
        <v>13942</v>
      </c>
      <c r="X25" s="14" t="n">
        <v>2556</v>
      </c>
      <c r="Y25" s="13">
        <f>IF(OR(N(W25)=0,X25=""),"",X25/W25)</f>
        <v>0.18333094247597187</v>
      </c>
      <c r="Z25" s="11" t="str">
        <f>IF(AA25="A","四季持續盈利",IF(AA25="B","最新季為正/波動",IF(AA25="C","虧損收窄",IF(AA25="D","虧損擴大或轉虧","數據不足"))))</f>
        <v>四季持續盈利</v>
      </c>
      <c r="AA25" s="9" t="str">
        <f>IF(COUNT(N25:Q25)&lt;4,"—",IF(MIN(N25:Q25)&gt;0,"A",IF(Q25&gt;0,"B",IF(Q25&gt;N25,"C","D"))))</f>
        <v>A</v>
      </c>
      <c r="AB25" s="9" t="inlineStr">
        <is>
          <t>2026-06-30</t>
        </is>
      </c>
    </row>
    <row r="26" ht="15" customHeight="1">
      <c r="A26" s="9" t="n">
        <v>25</v>
      </c>
      <c r="B26" s="10" t="inlineStr">
        <is>
          <t>ALAB</t>
        </is>
      </c>
      <c r="C26" s="11" t="inlineStr">
        <is>
          <t>—</t>
        </is>
      </c>
      <c r="D26" s="11" t="inlineStr">
        <is>
          <t>Astera Labs, Inc.</t>
        </is>
      </c>
      <c r="E26" s="11" t="inlineStr">
        <is>
          <t>D3 高速互連</t>
        </is>
      </c>
      <c r="F26" s="9" t="inlineStr">
        <is>
          <t>USD</t>
        </is>
      </c>
      <c r="G26" s="11" t="inlineStr">
        <is>
          <t>25Q2 / 25Q3 / 25Q4 / 26Q1 / 26Q2</t>
        </is>
      </c>
      <c r="H26" s="12" t="n">
        <v>191.925</v>
      </c>
      <c r="I26" s="12" t="n">
        <v>230.575</v>
      </c>
      <c r="J26" s="12" t="n">
        <v>270.583</v>
      </c>
      <c r="K26" s="12" t="n">
        <v>308.361</v>
      </c>
      <c r="L26" s="12" t="n">
        <v>392.4</v>
      </c>
      <c r="M26" s="13">
        <f>IF(OR(N(H26)=0,L26=""),"",L26/H26-1)</f>
        <v>1.0445486518171156</v>
      </c>
      <c r="N26" s="14" t="n">
        <v>55.406</v>
      </c>
      <c r="O26" s="14" t="n">
        <v>66.958</v>
      </c>
      <c r="P26" s="14" t="n">
        <v>61.833</v>
      </c>
      <c r="Q26" s="14" t="n">
        <v>89.248</v>
      </c>
      <c r="R26" s="13">
        <f>IF(OR(N(L26)=0,Q26=""),"",Q26/L26)</f>
        <v>0.22744138634046893</v>
      </c>
      <c r="S26" s="14" t="n">
        <v>287.567</v>
      </c>
      <c r="T26" s="13">
        <f>IF(OR(N(L26)=0,S26=""),"",S26/L26)</f>
        <v>0.7328414882772681</v>
      </c>
      <c r="U26" s="14" t="n">
        <v>153.088</v>
      </c>
      <c r="V26" s="13">
        <f>IF(OR(N(L26)=0,U26=""),"",U26/L26)</f>
        <v>0.3901325178389399</v>
      </c>
      <c r="W26" s="14" t="n">
        <v>852.525</v>
      </c>
      <c r="X26" s="14" t="n">
        <v>173.423</v>
      </c>
      <c r="Y26" s="13">
        <f>IF(OR(N(W26)=0,X26=""),"",X26/W26)</f>
        <v>0.20342277352570307</v>
      </c>
      <c r="Z26" s="11" t="str">
        <f>IF(AA26="A","四季持續盈利",IF(AA26="B","最新季為正/波動",IF(AA26="C","虧損收窄",IF(AA26="D","虧損擴大或轉虧","數據不足"))))</f>
        <v>四季持續盈利</v>
      </c>
      <c r="AA26" s="9" t="str">
        <f>IF(COUNT(N26:Q26)&lt;4,"—",IF(MIN(N26:Q26)&gt;0,"A",IF(Q26&gt;0,"B",IF(Q26&gt;N26,"C","D"))))</f>
        <v>A</v>
      </c>
      <c r="AB26" s="9" t="inlineStr">
        <is>
          <t>2026-06-30</t>
        </is>
      </c>
    </row>
    <row r="27" ht="15" customHeight="1">
      <c r="A27" s="9" t="n">
        <v>26</v>
      </c>
      <c r="B27" s="10" t="inlineStr">
        <is>
          <t>ALB</t>
        </is>
      </c>
      <c r="C27" s="11" t="inlineStr">
        <is>
          <t>特種化工</t>
        </is>
      </c>
      <c r="D27" s="11" t="inlineStr">
        <is>
          <t>Albemarle Corporation</t>
        </is>
      </c>
      <c r="E27" s="11" t="inlineStr">
        <is>
          <t>Specialty Chemicals</t>
        </is>
      </c>
      <c r="F27" s="9" t="inlineStr">
        <is>
          <t>USD</t>
        </is>
      </c>
      <c r="G27" s="11" t="inlineStr">
        <is>
          <t>25Q2 / 25Q3 / 25Q4 / 26Q1 / 26Q2</t>
        </is>
      </c>
      <c r="H27" s="12" t="n">
        <v>1329.992</v>
      </c>
      <c r="I27" s="12" t="n">
        <v>1307.829</v>
      </c>
      <c r="J27" s="12" t="n">
        <v>1428.031</v>
      </c>
      <c r="K27" s="12" t="n">
        <v>1428.731</v>
      </c>
      <c r="L27" s="12" t="n">
        <v>1743.313</v>
      </c>
      <c r="M27" s="13">
        <f>IF(OR(N(H27)=0,L27=""),"",L27/H27-1)</f>
        <v>0.3107695384633893</v>
      </c>
      <c r="N27" s="14" t="n">
        <v>-33.641</v>
      </c>
      <c r="O27" s="14" t="n">
        <v>30.253</v>
      </c>
      <c r="P27" s="14" t="n">
        <v>354.39</v>
      </c>
      <c r="Q27" s="14" t="n">
        <v>460.281</v>
      </c>
      <c r="R27" s="13">
        <f>IF(OR(N(L27)=0,Q27=""),"",Q27/L27)</f>
        <v>0.26402659763335673</v>
      </c>
      <c r="S27" s="14" t="n">
        <v>590.301</v>
      </c>
      <c r="T27" s="13">
        <f>IF(OR(N(L27)=0,S27=""),"",S27/L27)</f>
        <v>0.33860872947084086</v>
      </c>
      <c r="U27" s="14" t="n">
        <v>479.959</v>
      </c>
      <c r="V27" s="13">
        <f>IF(OR(N(L27)=0,U27=""),"",U27/L27)</f>
        <v>0.275314300988979</v>
      </c>
      <c r="W27" s="14" t="n">
        <v>5142.733</v>
      </c>
      <c r="X27" s="14" t="n">
        <v>67.285</v>
      </c>
      <c r="Y27" s="13">
        <f>IF(OR(N(W27)=0,X27=""),"",X27/W27)</f>
        <v>0.013083510265845028</v>
      </c>
      <c r="Z27" s="11" t="str">
        <f>IF(AA27="A","四季持續盈利",IF(AA27="B","最新季為正/波動",IF(AA27="C","虧損收窄",IF(AA27="D","虧損擴大或轉虧","數據不足"))))</f>
        <v>最新季為正/波動</v>
      </c>
      <c r="AA27" s="9" t="str">
        <f>IF(COUNT(N27:Q27)&lt;4,"—",IF(MIN(N27:Q27)&gt;0,"A",IF(Q27&gt;0,"B",IF(Q27&gt;N27,"C","D"))))</f>
        <v>B</v>
      </c>
      <c r="AB27" s="9" t="inlineStr">
        <is>
          <t>2026-06-30</t>
        </is>
      </c>
    </row>
    <row r="28" ht="15" customHeight="1">
      <c r="A28" s="9" t="n">
        <v>27</v>
      </c>
      <c r="B28" s="10" t="inlineStr">
        <is>
          <t>ALEC</t>
        </is>
      </c>
      <c r="C28" s="11" t="inlineStr">
        <is>
          <t>臨床期中小型生技</t>
        </is>
      </c>
      <c r="D28" s="11" t="inlineStr">
        <is>
          <t>Alector, Inc.</t>
        </is>
      </c>
      <c r="E28" s="11" t="inlineStr">
        <is>
          <t>Biotechnology</t>
        </is>
      </c>
      <c r="F28" s="9" t="inlineStr">
        <is>
          <t>USD</t>
        </is>
      </c>
      <c r="G28" s="11" t="inlineStr">
        <is>
          <t>25Q2 / 25Q3 / 25Q4 / 26Q1 / 26Q2</t>
        </is>
      </c>
      <c r="H28" s="12" t="n">
        <v>7.874</v>
      </c>
      <c r="I28" s="12" t="n">
        <v>3.26</v>
      </c>
      <c r="J28" s="12" t="n">
        <v>6.237</v>
      </c>
      <c r="K28" s="12" t="n">
        <v>1.046</v>
      </c>
      <c r="L28" s="12" t="n">
        <v>3.32</v>
      </c>
      <c r="M28" s="13">
        <f>IF(OR(N(H28)=0,L28=""),"",L28/H28-1)</f>
        <v>-0.5783591567183135</v>
      </c>
      <c r="N28" s="14" t="n">
        <v>-37.608</v>
      </c>
      <c r="O28" s="14" t="n">
        <v>-39.566</v>
      </c>
      <c r="P28" s="14" t="n">
        <v>-24.919</v>
      </c>
      <c r="Q28" s="14" t="n">
        <v>-24.393</v>
      </c>
      <c r="R28" s="13">
        <f>IF(OR(N(L28)=0,Q28=""),"",Q28/L28)</f>
        <v>-7.347289156626506</v>
      </c>
      <c r="S28" s="14" t="n"/>
      <c r="T28" s="13" t="str">
        <f>IF(OR(N(L28)=0,S28=""),"",S28/L28)</f>
        <v/>
      </c>
      <c r="U28" s="14" t="n">
        <v>-22.99</v>
      </c>
      <c r="V28" s="13">
        <f>IF(OR(N(L28)=0,U28=""),"",U28/L28)</f>
        <v>-6.924698795180722</v>
      </c>
      <c r="W28" s="14" t="n">
        <v>21.045</v>
      </c>
      <c r="X28" s="14" t="n">
        <v>-156.007</v>
      </c>
      <c r="Y28" s="13">
        <f>IF(OR(N(W28)=0,X28=""),"",X28/W28)</f>
        <v>-7.413019719648372</v>
      </c>
      <c r="Z28" s="11" t="str">
        <f>IF(AA28="A","四季持續盈利",IF(AA28="B","最新季為正/波動",IF(AA28="C","虧損收窄",IF(AA28="D","虧損擴大或轉虧","數據不足"))))</f>
        <v>虧損收窄</v>
      </c>
      <c r="AA28" s="9" t="str">
        <f>IF(COUNT(N28:Q28)&lt;4,"—",IF(MIN(N28:Q28)&gt;0,"A",IF(Q28&gt;0,"B",IF(Q28&gt;N28,"C","D"))))</f>
        <v>C</v>
      </c>
      <c r="AB28" s="9" t="inlineStr">
        <is>
          <t>2026-06-30</t>
        </is>
      </c>
    </row>
    <row r="29" ht="15" customHeight="1">
      <c r="A29" s="9" t="n">
        <v>28</v>
      </c>
      <c r="B29" s="10" t="inlineStr">
        <is>
          <t>ALLO</t>
        </is>
      </c>
      <c r="C29" s="11" t="inlineStr">
        <is>
          <t>腫瘤與細胞治療</t>
        </is>
      </c>
      <c r="D29" s="11" t="inlineStr">
        <is>
          <t>Allogene Therapeutics, Inc.</t>
        </is>
      </c>
      <c r="E29" s="11" t="inlineStr">
        <is>
          <t>Biotechnology</t>
        </is>
      </c>
      <c r="F29" s="9" t="inlineStr">
        <is>
          <t>USD</t>
        </is>
      </c>
      <c r="G29" s="11" t="inlineStr">
        <is>
          <t>25Q2 / 25Q3 / 25Q4 / 26Q1 / 26Q2</t>
        </is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4.64</v>
      </c>
      <c r="M29" s="13" t="str">
        <f>IF(OR(N(H29)=0,L29=""),"",L29/H29-1)</f>
        <v/>
      </c>
      <c r="N29" s="14" t="n">
        <v>-44.901</v>
      </c>
      <c r="O29" s="14" t="n">
        <v>-42.404</v>
      </c>
      <c r="P29" s="14" t="n">
        <v>-46.092</v>
      </c>
      <c r="Q29" s="14" t="n">
        <v>-46.92</v>
      </c>
      <c r="R29" s="13">
        <f>IF(OR(N(L29)=0,Q29=""),"",Q29/L29)</f>
        <v>-10.112068965517242</v>
      </c>
      <c r="S29" s="14" t="n"/>
      <c r="T29" s="13" t="str">
        <f>IF(OR(N(L29)=0,S29=""),"",S29/L29)</f>
        <v/>
      </c>
      <c r="U29" s="14" t="n">
        <v>-42.677</v>
      </c>
      <c r="V29" s="13">
        <f>IF(OR(N(L29)=0,U29=""),"",U29/L29)</f>
        <v>-9.197629310344828</v>
      </c>
      <c r="W29" s="14" t="n">
        <v>0</v>
      </c>
      <c r="X29" s="14" t="n">
        <v>-206.933</v>
      </c>
      <c r="Y29" s="13" t="str">
        <f>IF(OR(N(W29)=0,X29=""),"",X29/W29)</f>
        <v/>
      </c>
      <c r="Z29" s="11" t="str">
        <f>IF(AA29="A","四季持續盈利",IF(AA29="B","最新季為正/波動",IF(AA29="C","虧損收窄",IF(AA29="D","虧損擴大或轉虧","數據不足"))))</f>
        <v>虧損擴大或轉虧</v>
      </c>
      <c r="AA29" s="9" t="str">
        <f>IF(COUNT(N29:Q29)&lt;4,"—",IF(MIN(N29:Q29)&gt;0,"A",IF(Q29&gt;0,"B",IF(Q29&gt;N29,"C","D"))))</f>
        <v>D</v>
      </c>
      <c r="AB29" s="9" t="inlineStr">
        <is>
          <t>2026-06-30</t>
        </is>
      </c>
    </row>
    <row r="30" ht="15" customHeight="1">
      <c r="A30" s="9" t="n">
        <v>29</v>
      </c>
      <c r="B30" s="10" t="inlineStr">
        <is>
          <t>ALOY</t>
        </is>
      </c>
      <c r="C30" s="11" t="inlineStr">
        <is>
          <t>稀土與關鍵礦產</t>
        </is>
      </c>
      <c r="D30" s="11" t="inlineStr">
        <is>
          <t>REalloys Inc.</t>
        </is>
      </c>
      <c r="E30" s="11" t="inlineStr">
        <is>
          <t>Other Industrial Metals &amp; Mining</t>
        </is>
      </c>
      <c r="F30" s="9" t="inlineStr">
        <is>
          <t>USD</t>
        </is>
      </c>
      <c r="G30" s="11" t="inlineStr">
        <is>
          <t>25Q1 / 25Q2 / 26Q1 / 26Q2</t>
        </is>
      </c>
      <c r="H30" s="12" t="n">
        <v>0</v>
      </c>
      <c r="I30" s="12" t="n">
        <v>0.44</v>
      </c>
      <c r="J30" s="12" t="n">
        <v>0.706</v>
      </c>
      <c r="K30" s="12" t="n">
        <v>0.804</v>
      </c>
      <c r="L30" s="12" t="n"/>
      <c r="M30" s="13" t="str">
        <f>IF(OR(N(H30)=0,L30=""),"",L30/H30-1)</f>
        <v/>
      </c>
      <c r="N30" s="14" t="n">
        <v>-0.867</v>
      </c>
      <c r="O30" s="14" t="n">
        <v>-0.902</v>
      </c>
      <c r="P30" s="14" t="n">
        <v>-87.657</v>
      </c>
      <c r="Q30" s="14" t="n">
        <v>-36.804</v>
      </c>
      <c r="R30" s="13">
        <f>IF(OR(N(L30)=0,Q30=""),"",Q30/L30)</f>
        <v>-45.776119402985074</v>
      </c>
      <c r="S30" s="14" t="n">
        <v>0.475</v>
      </c>
      <c r="T30" s="13">
        <f>IF(OR(N(L30)=0,S30=""),"",S30/L30)</f>
        <v>0.5907960199004975</v>
      </c>
      <c r="U30" s="14" t="n">
        <v>-36.818</v>
      </c>
      <c r="V30" s="13">
        <f>IF(OR(N(L30)=0,U30=""),"",U30/L30)</f>
        <v>-45.79353233830845</v>
      </c>
      <c r="W30" s="14" t="n"/>
      <c r="X30" s="14" t="n"/>
      <c r="Y30" s="13" t="str">
        <f>IF(OR(N(W30)=0,X30=""),"",X30/W30)</f>
        <v/>
      </c>
      <c r="Z30" s="11" t="str">
        <f>IF(AA30="A","四季持續盈利",IF(AA30="B","最新季為正/波動",IF(AA30="C","虧損收窄",IF(AA30="D","虧損擴大或轉虧","數據不足"))))</f>
        <v>虧損擴大或轉虧</v>
      </c>
      <c r="AA30" s="9" t="str">
        <f>IF(COUNT(N30:Q30)&lt;4,"—",IF(MIN(N30:Q30)&gt;0,"A",IF(Q30&gt;0,"B",IF(Q30&gt;N30,"C","D"))))</f>
        <v>D</v>
      </c>
      <c r="AB30" s="9" t="inlineStr">
        <is>
          <t>2026-06-30</t>
        </is>
      </c>
    </row>
    <row r="31" ht="15" customHeight="1">
      <c r="A31" s="9" t="n">
        <v>30</v>
      </c>
      <c r="B31" s="10" t="inlineStr">
        <is>
          <t>ALT</t>
        </is>
      </c>
      <c r="C31" s="11" t="inlineStr">
        <is>
          <t>GLP-1減重與代謝</t>
        </is>
      </c>
      <c r="D31" s="11" t="inlineStr">
        <is>
          <t>Altimmune, Inc.</t>
        </is>
      </c>
      <c r="E31" s="11" t="inlineStr">
        <is>
          <t>Biotechnology</t>
        </is>
      </c>
      <c r="F31" s="9" t="inlineStr">
        <is>
          <t>USD</t>
        </is>
      </c>
      <c r="G31" s="11" t="inlineStr">
        <is>
          <t>25Q2 / 25Q3 / 25Q4 / 26Q1 / 26Q2</t>
        </is>
      </c>
      <c r="H31" s="12" t="n">
        <v>0.005</v>
      </c>
      <c r="I31" s="12" t="n">
        <v>0.005</v>
      </c>
      <c r="J31" s="12" t="n">
        <v>0.026</v>
      </c>
      <c r="K31" s="12" t="n">
        <v>0</v>
      </c>
      <c r="L31" s="12" t="n">
        <v>0</v>
      </c>
      <c r="M31" s="13">
        <f>IF(OR(N(H31)=0,L31=""),"",L31/H31-1)</f>
        <v>-1.0</v>
      </c>
      <c r="N31" s="14" t="n">
        <v>-20.859</v>
      </c>
      <c r="O31" s="14" t="n">
        <v>-28.893</v>
      </c>
      <c r="P31" s="14" t="n">
        <v>-24.244</v>
      </c>
      <c r="Q31" s="14" t="n">
        <v>-26.229</v>
      </c>
      <c r="R31" s="13" t="str">
        <f>IF(OR(N(L31)=0,Q31=""),"",Q31/L31)</f>
        <v/>
      </c>
      <c r="S31" s="14" t="n"/>
      <c r="T31" s="13" t="str">
        <f>IF(OR(N(L31)=0,S31=""),"",S31/L31)</f>
        <v/>
      </c>
      <c r="U31" s="14" t="n">
        <v>-22.825</v>
      </c>
      <c r="V31" s="13" t="str">
        <f>IF(OR(N(L31)=0,U31=""),"",U31/L31)</f>
        <v/>
      </c>
      <c r="W31" s="14" t="n">
        <v>0.041</v>
      </c>
      <c r="X31" s="14" t="n">
        <v>-94.489</v>
      </c>
      <c r="Y31" s="13">
        <f>IF(OR(N(W31)=0,X31=""),"",X31/W31)</f>
        <v>-2304.609756097561</v>
      </c>
      <c r="Z31" s="11" t="str">
        <f>IF(AA31="A","四季持續盈利",IF(AA31="B","最新季為正/波動",IF(AA31="C","虧損收窄",IF(AA31="D","虧損擴大或轉虧","數據不足"))))</f>
        <v>虧損擴大或轉虧</v>
      </c>
      <c r="AA31" s="9" t="str">
        <f>IF(COUNT(N31:Q31)&lt;4,"—",IF(MIN(N31:Q31)&gt;0,"A",IF(Q31&gt;0,"B",IF(Q31&gt;N31,"C","D"))))</f>
        <v>D</v>
      </c>
      <c r="AB31" s="9" t="inlineStr">
        <is>
          <t>2026-06-30</t>
        </is>
      </c>
    </row>
    <row r="32" ht="15" customHeight="1">
      <c r="A32" s="9" t="n">
        <v>31</v>
      </c>
      <c r="B32" s="10" t="inlineStr">
        <is>
          <t>AMAT</t>
        </is>
      </c>
      <c r="C32" s="11" t="inlineStr">
        <is>
          <t>半導體設備</t>
        </is>
      </c>
      <c r="D32" s="11" t="inlineStr">
        <is>
          <t>Applied Materials, Inc.</t>
        </is>
      </c>
      <c r="E32" s="11" t="inlineStr">
        <is>
          <t>B2 半導體前段設備</t>
        </is>
      </c>
      <c r="F32" s="9" t="inlineStr">
        <is>
          <t>USD</t>
        </is>
      </c>
      <c r="G32" s="11" t="inlineStr">
        <is>
          <t>25Q3 / 25Q4 / 26Q1 / 26Q2 / 26Q3</t>
        </is>
      </c>
      <c r="H32" s="12" t="n">
        <v>7302</v>
      </c>
      <c r="I32" s="12" t="n">
        <v>6800</v>
      </c>
      <c r="J32" s="12" t="n">
        <v>7012</v>
      </c>
      <c r="K32" s="12" t="n">
        <v>7910</v>
      </c>
      <c r="L32" s="12" t="n">
        <v>9115</v>
      </c>
      <c r="M32" s="13">
        <f>IF(OR(N(H32)=0,L32=""),"",L32/H32-1)</f>
        <v>0.2482881402355519</v>
      </c>
      <c r="N32" s="14" t="n">
        <v>1893</v>
      </c>
      <c r="O32" s="14" t="n">
        <v>2096</v>
      </c>
      <c r="P32" s="14" t="n">
        <v>2523</v>
      </c>
      <c r="Q32" s="14" t="n">
        <v>3075</v>
      </c>
      <c r="R32" s="13">
        <f>IF(OR(N(L32)=0,Q32=""),"",Q32/L32)</f>
        <v>0.3373560065825562</v>
      </c>
      <c r="S32" s="14" t="n">
        <v>4586</v>
      </c>
      <c r="T32" s="13">
        <f>IF(OR(N(L32)=0,S32=""),"",S32/L32)</f>
        <v>0.5031267142073506</v>
      </c>
      <c r="U32" s="14" t="n">
        <v>2538</v>
      </c>
      <c r="V32" s="13">
        <f>IF(OR(N(L32)=0,U32=""),"",U32/L32)</f>
        <v>0.2784421283598464</v>
      </c>
      <c r="W32" s="14" t="n">
        <v>28368</v>
      </c>
      <c r="X32" s="14" t="n">
        <v>8470</v>
      </c>
      <c r="Y32" s="13">
        <f>IF(OR(N(W32)=0,X32=""),"",X32/W32)</f>
        <v>0.2985758601240835</v>
      </c>
      <c r="Z32" s="11" t="str">
        <f>IF(AA32="A","四季持續盈利",IF(AA32="B","最新季為正/波動",IF(AA32="C","虧損收窄",IF(AA32="D","虧損擴大或轉虧","數據不足"))))</f>
        <v>四季持續盈利</v>
      </c>
      <c r="AA32" s="9" t="str">
        <f>IF(COUNT(N32:Q32)&lt;4,"—",IF(MIN(N32:Q32)&gt;0,"A",IF(Q32&gt;0,"B",IF(Q32&gt;N32,"C","D"))))</f>
        <v>A</v>
      </c>
      <c r="AB32" s="9" t="inlineStr">
        <is>
          <t>2026-07-31</t>
        </is>
      </c>
    </row>
    <row r="33" ht="15" customHeight="1">
      <c r="A33" s="9" t="n">
        <v>32</v>
      </c>
      <c r="B33" s="10" t="inlineStr">
        <is>
          <t>AMD</t>
        </is>
      </c>
      <c r="C33" s="11" t="inlineStr">
        <is>
          <t>AI加速晶片/GPU</t>
        </is>
      </c>
      <c r="D33" s="11" t="inlineStr">
        <is>
          <t>Advanced Micro Devices, Inc.</t>
        </is>
      </c>
      <c r="E33" s="11" t="inlineStr">
        <is>
          <t>A1 GPU</t>
        </is>
      </c>
      <c r="F33" s="9" t="inlineStr">
        <is>
          <t>USD</t>
        </is>
      </c>
      <c r="G33" s="11" t="inlineStr">
        <is>
          <t>25Q2 / 25Q3 / 25Q4 / 26Q1 / 26Q2</t>
        </is>
      </c>
      <c r="H33" s="12" t="n">
        <v>7685</v>
      </c>
      <c r="I33" s="12" t="n">
        <v>9246</v>
      </c>
      <c r="J33" s="12" t="n">
        <v>10270</v>
      </c>
      <c r="K33" s="12" t="n">
        <v>10253</v>
      </c>
      <c r="L33" s="12" t="n">
        <v>11536</v>
      </c>
      <c r="M33" s="13">
        <f>IF(OR(N(H33)=0,L33=""),"",L33/H33-1)</f>
        <v>0.5011060507482108</v>
      </c>
      <c r="N33" s="14" t="n">
        <v>1270</v>
      </c>
      <c r="O33" s="14" t="n">
        <v>1752</v>
      </c>
      <c r="P33" s="14" t="n">
        <v>1476</v>
      </c>
      <c r="Q33" s="14" t="n">
        <v>1990</v>
      </c>
      <c r="R33" s="13">
        <f>IF(OR(N(L33)=0,Q33=""),"",Q33/L33)</f>
        <v>0.17250346740638003</v>
      </c>
      <c r="S33" s="14" t="n">
        <v>6203</v>
      </c>
      <c r="T33" s="13">
        <f>IF(OR(N(L33)=0,S33=""),"",S33/L33)</f>
        <v>0.5377080443828016</v>
      </c>
      <c r="U33" s="14" t="n">
        <v>2297</v>
      </c>
      <c r="V33" s="13">
        <f>IF(OR(N(L33)=0,U33=""),"",U33/L33)</f>
        <v>0.19911581137309292</v>
      </c>
      <c r="W33" s="14" t="n">
        <v>34639</v>
      </c>
      <c r="X33" s="14" t="n">
        <v>3694</v>
      </c>
      <c r="Y33" s="13">
        <f>IF(OR(N(W33)=0,X33=""),"",X33/W33)</f>
        <v>0.10664280146655504</v>
      </c>
      <c r="Z33" s="11" t="str">
        <f>IF(AA33="A","四季持續盈利",IF(AA33="B","最新季為正/波動",IF(AA33="C","虧損收窄",IF(AA33="D","虧損擴大或轉虧","數據不足"))))</f>
        <v>四季持續盈利</v>
      </c>
      <c r="AA33" s="9" t="str">
        <f>IF(COUNT(N33:Q33)&lt;4,"—",IF(MIN(N33:Q33)&gt;0,"A",IF(Q33&gt;0,"B",IF(Q33&gt;N33,"C","D"))))</f>
        <v>A</v>
      </c>
      <c r="AB33" s="9" t="inlineStr">
        <is>
          <t>2026-06-30</t>
        </is>
      </c>
    </row>
    <row r="34" ht="15" customHeight="1">
      <c r="A34" s="9" t="n">
        <v>33</v>
      </c>
      <c r="B34" s="10" t="inlineStr">
        <is>
          <t>AMG</t>
        </is>
      </c>
      <c r="C34" s="11" t="inlineStr">
        <is>
          <t>資產管理</t>
        </is>
      </c>
      <c r="D34" s="11" t="inlineStr">
        <is>
          <t>Affiliated Managers Group, Inc.</t>
        </is>
      </c>
      <c r="E34" s="11" t="inlineStr">
        <is>
          <t>Asset Management</t>
        </is>
      </c>
      <c r="F34" s="9" t="inlineStr">
        <is>
          <t>USD</t>
        </is>
      </c>
      <c r="G34" s="11" t="inlineStr">
        <is>
          <t>25Q2 / 25Q3 / 25Q4 / 26Q1 / 26Q2</t>
        </is>
      </c>
      <c r="H34" s="12" t="n">
        <v>493.2</v>
      </c>
      <c r="I34" s="12" t="n">
        <v>528</v>
      </c>
      <c r="J34" s="12" t="n">
        <v>556.6</v>
      </c>
      <c r="K34" s="12" t="n">
        <v>544.9</v>
      </c>
      <c r="L34" s="12" t="n">
        <v>640.7</v>
      </c>
      <c r="M34" s="13">
        <f>IF(OR(N(H34)=0,L34=""),"",L34/H34-1)</f>
        <v>0.29906731549067334</v>
      </c>
      <c r="N34" s="14" t="n">
        <v>165.1</v>
      </c>
      <c r="O34" s="14" t="n">
        <v>99.8</v>
      </c>
      <c r="P34" s="14" t="n">
        <v>98.7</v>
      </c>
      <c r="Q34" s="14" t="n">
        <v>207.8</v>
      </c>
      <c r="R34" s="13">
        <f>IF(OR(N(L34)=0,Q34=""),"",Q34/L34)</f>
        <v>0.32433276104260966</v>
      </c>
      <c r="S34" s="14" t="n">
        <v>324.6</v>
      </c>
      <c r="T34" s="13">
        <f>IF(OR(N(L34)=0,S34=""),"",S34/L34)</f>
        <v>0.5066333697518339</v>
      </c>
      <c r="U34" s="14" t="n">
        <v>185.9</v>
      </c>
      <c r="V34" s="13">
        <f>IF(OR(N(L34)=0,U34=""),"",U34/L34)</f>
        <v>0.2901513969096301</v>
      </c>
      <c r="W34" s="14" t="n">
        <v>2074.4</v>
      </c>
      <c r="X34" s="14" t="n">
        <v>475.3</v>
      </c>
      <c r="Y34" s="13">
        <f>IF(OR(N(W34)=0,X34=""),"",X34/W34)</f>
        <v>0.2291264944080216</v>
      </c>
      <c r="Z34" s="11" t="str">
        <f>IF(AA34="A","四季持續盈利",IF(AA34="B","最新季為正/波動",IF(AA34="C","虧損收窄",IF(AA34="D","虧損擴大或轉虧","數據不足"))))</f>
        <v>四季持續盈利</v>
      </c>
      <c r="AA34" s="9" t="str">
        <f>IF(COUNT(N34:Q34)&lt;4,"—",IF(MIN(N34:Q34)&gt;0,"A",IF(Q34&gt;0,"B",IF(Q34&gt;N34,"C","D"))))</f>
        <v>A</v>
      </c>
      <c r="AB34" s="9" t="inlineStr">
        <is>
          <t>2026-06-30</t>
        </is>
      </c>
    </row>
    <row r="35" ht="15" customHeight="1">
      <c r="A35" s="9" t="n">
        <v>34</v>
      </c>
      <c r="B35" s="10" t="inlineStr">
        <is>
          <t>AMGN</t>
        </is>
      </c>
      <c r="C35" s="11" t="inlineStr">
        <is>
          <t>大型生物科技</t>
        </is>
      </c>
      <c r="D35" s="11" t="inlineStr">
        <is>
          <t>Amgen Inc.</t>
        </is>
      </c>
      <c r="E35" s="11" t="inlineStr">
        <is>
          <t>Drug Manufacturers - General</t>
        </is>
      </c>
      <c r="F35" s="9" t="inlineStr">
        <is>
          <t>USD</t>
        </is>
      </c>
      <c r="G35" s="11" t="inlineStr">
        <is>
          <t>25Q2 / 25Q3 / 25Q4 / 26Q1 / 26Q2</t>
        </is>
      </c>
      <c r="H35" s="12" t="n">
        <v>9179</v>
      </c>
      <c r="I35" s="12" t="n">
        <v>9557</v>
      </c>
      <c r="J35" s="12" t="n">
        <v>9866</v>
      </c>
      <c r="K35" s="12" t="n">
        <v>8618</v>
      </c>
      <c r="L35" s="12" t="n">
        <v>10054</v>
      </c>
      <c r="M35" s="13">
        <f>IF(OR(N(H35)=0,L35=""),"",L35/H35-1)</f>
        <v>0.09532628826669565</v>
      </c>
      <c r="N35" s="14" t="n">
        <v>2526</v>
      </c>
      <c r="O35" s="14" t="n">
        <v>2720</v>
      </c>
      <c r="P35" s="14" t="n">
        <v>2666</v>
      </c>
      <c r="Q35" s="14" t="n">
        <v>3514</v>
      </c>
      <c r="R35" s="13">
        <f>IF(OR(N(L35)=0,Q35=""),"",Q35/L35)</f>
        <v>0.34951263178834296</v>
      </c>
      <c r="S35" s="14" t="n">
        <v>7243</v>
      </c>
      <c r="T35" s="13">
        <f>IF(OR(N(L35)=0,S35=""),"",S35/L35)</f>
        <v>0.7204097871493933</v>
      </c>
      <c r="U35" s="14" t="n">
        <v>2375</v>
      </c>
      <c r="V35" s="13">
        <f>IF(OR(N(L35)=0,U35=""),"",U35/L35)</f>
        <v>0.23622438830316292</v>
      </c>
      <c r="W35" s="14" t="n">
        <v>36751</v>
      </c>
      <c r="X35" s="14" t="n">
        <v>9080</v>
      </c>
      <c r="Y35" s="13">
        <f>IF(OR(N(W35)=0,X35=""),"",X35/W35)</f>
        <v>0.24706810699028597</v>
      </c>
      <c r="Z35" s="11" t="str">
        <f>IF(AA35="A","四季持續盈利",IF(AA35="B","最新季為正/波動",IF(AA35="C","虧損收窄",IF(AA35="D","虧損擴大或轉虧","數據不足"))))</f>
        <v>四季持續盈利</v>
      </c>
      <c r="AA35" s="9" t="str">
        <f>IF(COUNT(N35:Q35)&lt;4,"—",IF(MIN(N35:Q35)&gt;0,"A",IF(Q35&gt;0,"B",IF(Q35&gt;N35,"C","D"))))</f>
        <v>A</v>
      </c>
      <c r="AB35" s="9" t="inlineStr">
        <is>
          <t>2026-06-30</t>
        </is>
      </c>
    </row>
    <row r="36" ht="15" customHeight="1">
      <c r="A36" s="9" t="n">
        <v>35</v>
      </c>
      <c r="B36" s="10" t="inlineStr">
        <is>
          <t>AMH</t>
        </is>
      </c>
      <c r="C36" s="11" t="inlineStr">
        <is>
          <t>住宅公寓REIT</t>
        </is>
      </c>
      <c r="D36" s="11" t="inlineStr">
        <is>
          <t>American Homes 4 Rent</t>
        </is>
      </c>
      <c r="E36" s="11" t="inlineStr">
        <is>
          <t>REIT - Residential</t>
        </is>
      </c>
      <c r="F36" s="9" t="inlineStr">
        <is>
          <t>USD</t>
        </is>
      </c>
      <c r="G36" s="11" t="inlineStr">
        <is>
          <t>25Q2 / 25Q3 / 25Q4 / 26Q1 / 26Q2</t>
        </is>
      </c>
      <c r="H36" s="12" t="n">
        <v>457.503</v>
      </c>
      <c r="I36" s="12" t="n">
        <v>478.464</v>
      </c>
      <c r="J36" s="12" t="n">
        <v>454.991</v>
      </c>
      <c r="K36" s="12" t="n">
        <v>472.024</v>
      </c>
      <c r="L36" s="12" t="n">
        <v>470.104</v>
      </c>
      <c r="M36" s="13">
        <f>IF(OR(N(H36)=0,L36=""),"",L36/H36-1)</f>
        <v>0.027542988789144518</v>
      </c>
      <c r="N36" s="14" t="n">
        <v>116.317</v>
      </c>
      <c r="O36" s="14" t="n">
        <v>118.787</v>
      </c>
      <c r="P36" s="14" t="n">
        <v>121.355</v>
      </c>
      <c r="Q36" s="14" t="n">
        <v>125.052</v>
      </c>
      <c r="R36" s="13">
        <f>IF(OR(N(L36)=0,Q36=""),"",Q36/L36)</f>
        <v>0.2660092234909722</v>
      </c>
      <c r="S36" s="14" t="n">
        <v>274.317</v>
      </c>
      <c r="T36" s="13">
        <f>IF(OR(N(L36)=0,S36=""),"",S36/L36)</f>
        <v>0.5835240712693361</v>
      </c>
      <c r="U36" s="14" t="n">
        <v>117.112</v>
      </c>
      <c r="V36" s="13">
        <f>IF(OR(N(L36)=0,U36=""),"",U36/L36)</f>
        <v>0.2491193438047751</v>
      </c>
      <c r="W36" s="14" t="n">
        <v>1850.234</v>
      </c>
      <c r="X36" s="14" t="n">
        <v>464.125</v>
      </c>
      <c r="Y36" s="13">
        <f>IF(OR(N(W36)=0,X36=""),"",X36/W36)</f>
        <v>0.2508466496670151</v>
      </c>
      <c r="Z36" s="11" t="str">
        <f>IF(AA36="A","四季持續盈利",IF(AA36="B","最新季為正/波動",IF(AA36="C","虧損收窄",IF(AA36="D","虧損擴大或轉虧","數據不足"))))</f>
        <v>四季持續盈利</v>
      </c>
      <c r="AA36" s="9" t="str">
        <f>IF(COUNT(N36:Q36)&lt;4,"—",IF(MIN(N36:Q36)&gt;0,"A",IF(Q36&gt;0,"B",IF(Q36&gt;N36,"C","D"))))</f>
        <v>A</v>
      </c>
      <c r="AB36" s="9" t="inlineStr">
        <is>
          <t>2026-06-30</t>
        </is>
      </c>
    </row>
    <row r="37" ht="15" customHeight="1">
      <c r="A37" s="9" t="n">
        <v>36</v>
      </c>
      <c r="B37" s="10" t="inlineStr">
        <is>
          <t>AMKR</t>
        </is>
      </c>
      <c r="C37" s="11" t="inlineStr">
        <is>
          <t>—</t>
        </is>
      </c>
      <c r="D37" s="11" t="inlineStr">
        <is>
          <t>Amkor Technology, Inc.</t>
        </is>
      </c>
      <c r="E37" s="11" t="inlineStr">
        <is>
          <t>B3 先進封裝</t>
        </is>
      </c>
      <c r="F37" s="9" t="inlineStr">
        <is>
          <t>USD</t>
        </is>
      </c>
      <c r="G37" s="11" t="inlineStr">
        <is>
          <t>25Q2 / 25Q3 / 25Q4 / 26Q1 / 26Q2</t>
        </is>
      </c>
      <c r="H37" s="12" t="n">
        <v>1511.392</v>
      </c>
      <c r="I37" s="12" t="n">
        <v>1986.968</v>
      </c>
      <c r="J37" s="12" t="n">
        <v>1888.046</v>
      </c>
      <c r="K37" s="12" t="n">
        <v>1684.701</v>
      </c>
      <c r="L37" s="12" t="n">
        <v>1897.965</v>
      </c>
      <c r="M37" s="13">
        <f>IF(OR(N(H37)=0,L37=""),"",L37/H37-1)</f>
        <v>0.2557728239927166</v>
      </c>
      <c r="N37" s="14" t="n">
        <v>158.927</v>
      </c>
      <c r="O37" s="14" t="n">
        <v>184.968</v>
      </c>
      <c r="P37" s="14" t="n">
        <v>100.287</v>
      </c>
      <c r="Q37" s="14" t="n">
        <v>199.854</v>
      </c>
      <c r="R37" s="13">
        <f>IF(OR(N(L37)=0,Q37=""),"",Q37/L37)</f>
        <v>0.10529909666405862</v>
      </c>
      <c r="S37" s="14" t="n">
        <v>318.59</v>
      </c>
      <c r="T37" s="13">
        <f>IF(OR(N(L37)=0,S37=""),"",S37/L37)</f>
        <v>0.16785873290603356</v>
      </c>
      <c r="U37" s="14" t="n">
        <v>173.753</v>
      </c>
      <c r="V37" s="13">
        <f>IF(OR(N(L37)=0,U37=""),"",U37/L37)</f>
        <v>0.0915469990226374</v>
      </c>
      <c r="W37" s="14" t="n">
        <v>6707.981</v>
      </c>
      <c r="X37" s="14" t="n">
        <v>467.385</v>
      </c>
      <c r="Y37" s="13">
        <f>IF(OR(N(W37)=0,X37=""),"",X37/W37)</f>
        <v>0.06967595763911674</v>
      </c>
      <c r="Z37" s="11" t="str">
        <f>IF(AA37="A","四季持續盈利",IF(AA37="B","最新季為正/波動",IF(AA37="C","虧損收窄",IF(AA37="D","虧損擴大或轉虧","數據不足"))))</f>
        <v>四季持續盈利</v>
      </c>
      <c r="AA37" s="9" t="str">
        <f>IF(COUNT(N37:Q37)&lt;4,"—",IF(MIN(N37:Q37)&gt;0,"A",IF(Q37&gt;0,"B",IF(Q37&gt;N37,"C","D"))))</f>
        <v>A</v>
      </c>
      <c r="AB37" s="9" t="inlineStr">
        <is>
          <t>2026-06-30</t>
        </is>
      </c>
    </row>
    <row r="38" ht="15" customHeight="1">
      <c r="A38" s="9" t="n">
        <v>37</v>
      </c>
      <c r="B38" s="10" t="inlineStr">
        <is>
          <t>AMR</t>
        </is>
      </c>
      <c r="C38" s="11" t="inlineStr">
        <is>
          <t>煤炭</t>
        </is>
      </c>
      <c r="D38" s="11" t="inlineStr">
        <is>
          <t>Alpha Metallurgical Resources, Inc.</t>
        </is>
      </c>
      <c r="E38" s="11" t="inlineStr">
        <is>
          <t>Coking Coal</t>
        </is>
      </c>
      <c r="F38" s="9" t="inlineStr">
        <is>
          <t>USD</t>
        </is>
      </c>
      <c r="G38" s="11" t="inlineStr">
        <is>
          <t>25Q2 / 25Q3 / 25Q4 / 26Q1 / 26Q2</t>
        </is>
      </c>
      <c r="H38" s="12" t="n">
        <v>550.274</v>
      </c>
      <c r="I38" s="12" t="n">
        <v>526.778</v>
      </c>
      <c r="J38" s="12" t="n">
        <v>520.472</v>
      </c>
      <c r="K38" s="12" t="n">
        <v>524.987</v>
      </c>
      <c r="L38" s="12" t="n">
        <v>492.856</v>
      </c>
      <c r="M38" s="13">
        <f>IF(OR(N(H38)=0,L38=""),"",L38/H38-1)</f>
        <v>-0.10434438116283884</v>
      </c>
      <c r="N38" s="14" t="n">
        <v>-2.522</v>
      </c>
      <c r="O38" s="14" t="n">
        <v>-21.324</v>
      </c>
      <c r="P38" s="14" t="n">
        <v>-10.432</v>
      </c>
      <c r="Q38" s="14" t="n">
        <v>-10.5</v>
      </c>
      <c r="R38" s="13">
        <f>IF(OR(N(L38)=0,Q38=""),"",Q38/L38)</f>
        <v>-0.021304397227587774</v>
      </c>
      <c r="S38" s="14" t="n">
        <v>12.273</v>
      </c>
      <c r="T38" s="13">
        <f>IF(OR(N(L38)=0,S38=""),"",S38/L38)</f>
        <v>0.024901796873731882</v>
      </c>
      <c r="U38" s="14" t="n">
        <v>-12.252</v>
      </c>
      <c r="V38" s="13">
        <f>IF(OR(N(L38)=0,U38=""),"",U38/L38)</f>
        <v>-0.024859188079276708</v>
      </c>
      <c r="W38" s="14" t="n">
        <v>2129.481</v>
      </c>
      <c r="X38" s="14" t="n">
        <v>-61.366</v>
      </c>
      <c r="Y38" s="13">
        <f>IF(OR(N(W38)=0,X38=""),"",X38/W38)</f>
        <v>-0.02881735033090222</v>
      </c>
      <c r="Z38" s="11" t="str">
        <f>IF(AA38="A","四季持續盈利",IF(AA38="B","最新季為正/波動",IF(AA38="C","虧損收窄",IF(AA38="D","虧損擴大或轉虧","數據不足"))))</f>
        <v>虧損擴大或轉虧</v>
      </c>
      <c r="AA38" s="9" t="str">
        <f>IF(COUNT(N38:Q38)&lt;4,"—",IF(MIN(N38:Q38)&gt;0,"A",IF(Q38&gt;0,"B",IF(Q38&gt;N38,"C","D"))))</f>
        <v>D</v>
      </c>
      <c r="AB38" s="9" t="inlineStr">
        <is>
          <t>2026-06-30</t>
        </is>
      </c>
    </row>
    <row r="39" ht="15" customHeight="1">
      <c r="A39" s="9" t="n">
        <v>38</v>
      </c>
      <c r="B39" s="10" t="inlineStr">
        <is>
          <t>AMS</t>
        </is>
      </c>
      <c r="C39" s="11" t="inlineStr">
        <is>
          <t>—</t>
        </is>
      </c>
      <c r="D39" s="11" t="inlineStr">
        <is>
          <t>American Shared Hospital Services</t>
        </is>
      </c>
      <c r="E39" s="11" t="inlineStr">
        <is>
          <t>D9 光模塊上游</t>
        </is>
      </c>
      <c r="F39" s="9" t="inlineStr">
        <is>
          <t>USD</t>
        </is>
      </c>
      <c r="G39" s="11" t="inlineStr">
        <is>
          <t>25Q2 / 25Q3 / 25Q4 / 26Q1 / 26Q2</t>
        </is>
      </c>
      <c r="H39" s="12" t="n">
        <v>7.071</v>
      </c>
      <c r="I39" s="12" t="n">
        <v>7.171</v>
      </c>
      <c r="J39" s="12" t="n">
        <v>7.728</v>
      </c>
      <c r="K39" s="12" t="n">
        <v>7.084</v>
      </c>
      <c r="L39" s="12" t="n">
        <v>8.43</v>
      </c>
      <c r="M39" s="13">
        <f>IF(OR(N(H39)=0,L39=""),"",L39/H39-1)</f>
        <v>0.192193466270683</v>
      </c>
      <c r="N39" s="14" t="n">
        <v>0.048</v>
      </c>
      <c r="O39" s="14" t="n">
        <v>-1.08</v>
      </c>
      <c r="P39" s="14" t="n">
        <v>-0.622</v>
      </c>
      <c r="Q39" s="14" t="n">
        <v>-0.609</v>
      </c>
      <c r="R39" s="13">
        <f>IF(OR(N(L39)=0,Q39=""),"",Q39/L39)</f>
        <v>-0.07224199288256228</v>
      </c>
      <c r="S39" s="14" t="n">
        <v>1.433</v>
      </c>
      <c r="T39" s="13">
        <f>IF(OR(N(L39)=0,S39=""),"",S39/L39)</f>
        <v>0.16998813760379597</v>
      </c>
      <c r="U39" s="14" t="n">
        <v>-0.514</v>
      </c>
      <c r="V39" s="13">
        <f>IF(OR(N(L39)=0,U39=""),"",U39/L39)</f>
        <v>-0.060972716488730726</v>
      </c>
      <c r="W39" s="14" t="n">
        <v>28.082</v>
      </c>
      <c r="X39" s="14" t="n">
        <v>-2.014</v>
      </c>
      <c r="Y39" s="13">
        <f>IF(OR(N(W39)=0,X39=""),"",X39/W39)</f>
        <v>-0.07171853856562922</v>
      </c>
      <c r="Z39" s="11" t="str">
        <f>IF(AA39="A","四季持續盈利",IF(AA39="B","最新季為正/波動",IF(AA39="C","虧損收窄",IF(AA39="D","虧損擴大或轉虧","數據不足"))))</f>
        <v>虧損擴大或轉虧</v>
      </c>
      <c r="AA39" s="9" t="str">
        <f>IF(COUNT(N39:Q39)&lt;4,"—",IF(MIN(N39:Q39)&gt;0,"A",IF(Q39&gt;0,"B",IF(Q39&gt;N39,"C","D"))))</f>
        <v>D</v>
      </c>
      <c r="AB39" s="9" t="inlineStr">
        <is>
          <t>2026-06-30</t>
        </is>
      </c>
    </row>
    <row r="40" ht="15" customHeight="1">
      <c r="A40" s="9" t="n">
        <v>39</v>
      </c>
      <c r="B40" s="10" t="inlineStr">
        <is>
          <t>AMT</t>
        </is>
      </c>
      <c r="C40" s="11" t="inlineStr">
        <is>
          <t>通訊塔REIT</t>
        </is>
      </c>
      <c r="D40" s="11" t="inlineStr">
        <is>
          <t>American Tower Corporation</t>
        </is>
      </c>
      <c r="E40" s="11" t="inlineStr">
        <is>
          <t>REIT - Specialty</t>
        </is>
      </c>
      <c r="F40" s="9" t="inlineStr">
        <is>
          <t>USD</t>
        </is>
      </c>
      <c r="G40" s="11" t="inlineStr">
        <is>
          <t>25Q2 / 25Q3 / 25Q4 / 26Q1 / 26Q2</t>
        </is>
      </c>
      <c r="H40" s="12" t="n">
        <v>2626.9</v>
      </c>
      <c r="I40" s="12" t="n">
        <v>2717.4</v>
      </c>
      <c r="J40" s="12" t="n">
        <v>2737.5</v>
      </c>
      <c r="K40" s="12" t="n">
        <v>2737.5</v>
      </c>
      <c r="L40" s="12" t="n">
        <v>2749.1</v>
      </c>
      <c r="M40" s="13">
        <f>IF(OR(N(H40)=0,L40=""),"",L40/H40-1)</f>
        <v>0.0465187102668545</v>
      </c>
      <c r="N40" s="14" t="n">
        <v>1233.3</v>
      </c>
      <c r="O40" s="14" t="n">
        <v>1244.1</v>
      </c>
      <c r="P40" s="14" t="n">
        <v>1239.2</v>
      </c>
      <c r="Q40" s="14" t="n">
        <v>1268.8</v>
      </c>
      <c r="R40" s="13">
        <f>IF(OR(N(L40)=0,Q40=""),"",Q40/L40)</f>
        <v>0.46153286530137133</v>
      </c>
      <c r="S40" s="14" t="n">
        <v>2007.8</v>
      </c>
      <c r="T40" s="13">
        <f>IF(OR(N(L40)=0,S40=""),"",S40/L40)</f>
        <v>0.7303481139281947</v>
      </c>
      <c r="U40" s="14" t="n">
        <v>867.5</v>
      </c>
      <c r="V40" s="13">
        <f>IF(OR(N(L40)=0,U40=""),"",U40/L40)</f>
        <v>0.31555781892255647</v>
      </c>
      <c r="W40" s="14" t="n">
        <v>10644.6</v>
      </c>
      <c r="X40" s="14" t="n">
        <v>4929.2</v>
      </c>
      <c r="Y40" s="13">
        <f>IF(OR(N(W40)=0,X40=""),"",X40/W40)</f>
        <v>0.4630704770493959</v>
      </c>
      <c r="Z40" s="11" t="str">
        <f>IF(AA40="A","四季持續盈利",IF(AA40="B","最新季為正/波動",IF(AA40="C","虧損收窄",IF(AA40="D","虧損擴大或轉虧","數據不足"))))</f>
        <v>四季持續盈利</v>
      </c>
      <c r="AA40" s="9" t="str">
        <f>IF(COUNT(N40:Q40)&lt;4,"—",IF(MIN(N40:Q40)&gt;0,"A",IF(Q40&gt;0,"B",IF(Q40&gt;N40,"C","D"))))</f>
        <v>A</v>
      </c>
      <c r="AB40" s="9" t="inlineStr">
        <is>
          <t>2026-06-30</t>
        </is>
      </c>
    </row>
    <row r="41" ht="15" customHeight="1">
      <c r="A41" s="9" t="n">
        <v>40</v>
      </c>
      <c r="B41" s="10" t="inlineStr">
        <is>
          <t>AMZN</t>
        </is>
      </c>
      <c r="C41" s="11" t="inlineStr">
        <is>
          <t>雲端基建/IaaS/Neocloud、電商平台</t>
        </is>
      </c>
      <c r="D41" s="11" t="inlineStr">
        <is>
          <t>Amazon.com, Inc.</t>
        </is>
      </c>
      <c r="E41" s="11" t="inlineStr">
        <is>
          <t>AA2 Hyperscaler</t>
        </is>
      </c>
      <c r="F41" s="9" t="inlineStr">
        <is>
          <t>USD</t>
        </is>
      </c>
      <c r="G41" s="11" t="inlineStr">
        <is>
          <t>25Q2 / 25Q3 / 25Q4 / 26Q1 / 26Q2</t>
        </is>
      </c>
      <c r="H41" s="12" t="n">
        <v>167702</v>
      </c>
      <c r="I41" s="12" t="n">
        <v>180169</v>
      </c>
      <c r="J41" s="12" t="n">
        <v>213386</v>
      </c>
      <c r="K41" s="12" t="n">
        <v>181519</v>
      </c>
      <c r="L41" s="12" t="n"/>
      <c r="M41" s="13" t="str">
        <f>IF(OR(N(H41)=0,L41=""),"",L41/H41-1)</f>
        <v/>
      </c>
      <c r="N41" s="14" t="n">
        <v>17422</v>
      </c>
      <c r="O41" s="14" t="n">
        <v>24977</v>
      </c>
      <c r="P41" s="14" t="n">
        <v>23852</v>
      </c>
      <c r="Q41" s="14" t="n"/>
      <c r="R41" s="13" t="str">
        <f>IF(OR(N(L41)=0,Q41=""),"",Q41/L41)</f>
        <v/>
      </c>
      <c r="S41" s="14" t="n"/>
      <c r="T41" s="13" t="str">
        <f>IF(OR(N(L41)=0,S41=""),"",S41/L41)</f>
        <v/>
      </c>
      <c r="U41" s="14" t="n"/>
      <c r="V41" s="13" t="str">
        <f>IF(OR(N(L41)=0,U41=""),"",U41/L41)</f>
        <v/>
      </c>
      <c r="W41" s="14" t="n">
        <v>716924</v>
      </c>
      <c r="X41" s="14" t="n">
        <v>79975</v>
      </c>
      <c r="Y41" s="13">
        <f>IF(OR(N(W41)=0,X41=""),"",X41/W41)</f>
        <v>0.11155296795755199</v>
      </c>
      <c r="Z41" s="11" t="str">
        <f>IF(AA41="A","四季持續盈利",IF(AA41="B","最新季為正/波動",IF(AA41="C","虧損收窄",IF(AA41="D","虧損擴大或轉虧","數據不足"))))</f>
        <v>數據不足</v>
      </c>
      <c r="AA41" s="9" t="str">
        <f>IF(COUNT(N41:Q41)&lt;4,"—",IF(MIN(N41:Q41)&gt;0,"A",IF(Q41&gt;0,"B",IF(Q41&gt;N41,"C","D"))))</f>
        <v>—</v>
      </c>
      <c r="AB41" s="9" t="inlineStr">
        <is>
          <t>2026-06-30</t>
        </is>
      </c>
    </row>
    <row r="42" ht="15" customHeight="1">
      <c r="A42" s="9" t="n">
        <v>41</v>
      </c>
      <c r="B42" s="10" t="inlineStr">
        <is>
          <t>ANET</t>
        </is>
      </c>
      <c r="C42" s="11" t="inlineStr">
        <is>
          <t>AI資料中心建設</t>
        </is>
      </c>
      <c r="D42" s="11" t="inlineStr">
        <is>
          <t>Arista Networks, Inc.</t>
        </is>
      </c>
      <c r="E42" s="11" t="inlineStr">
        <is>
          <t>D4 網絡交換</t>
        </is>
      </c>
      <c r="F42" s="9" t="inlineStr">
        <is>
          <t>USD</t>
        </is>
      </c>
      <c r="G42" s="11" t="inlineStr">
        <is>
          <t>25Q2 / 25Q3 / 25Q4 / 26Q1 / 26Q2</t>
        </is>
      </c>
      <c r="H42" s="12" t="n">
        <v>2204.8</v>
      </c>
      <c r="I42" s="12" t="n">
        <v>2308.3</v>
      </c>
      <c r="J42" s="12" t="n">
        <v>2487.8</v>
      </c>
      <c r="K42" s="12" t="n">
        <v>2709</v>
      </c>
      <c r="L42" s="12" t="n">
        <v>3035.7</v>
      </c>
      <c r="M42" s="13">
        <f>IF(OR(N(H42)=0,L42=""),"",L42/H42-1)</f>
        <v>0.376859579100145</v>
      </c>
      <c r="N42" s="14" t="n">
        <v>978.2</v>
      </c>
      <c r="O42" s="14" t="n">
        <v>1032.9</v>
      </c>
      <c r="P42" s="14" t="n">
        <v>1157.8</v>
      </c>
      <c r="Q42" s="14" t="n">
        <v>1378</v>
      </c>
      <c r="R42" s="13">
        <f>IF(OR(N(L42)=0,Q42=""),"",Q42/L42)</f>
        <v>0.4539315479131667</v>
      </c>
      <c r="S42" s="14" t="n">
        <v>1910.3</v>
      </c>
      <c r="T42" s="13">
        <f>IF(OR(N(L42)=0,S42=""),"",S42/L42)</f>
        <v>0.6292782554270844</v>
      </c>
      <c r="U42" s="14" t="n">
        <v>1212.9</v>
      </c>
      <c r="V42" s="13">
        <f>IF(OR(N(L42)=0,U42=""),"",U42/L42)</f>
        <v>0.3995454096254571</v>
      </c>
      <c r="W42" s="14" t="n">
        <v>9005.700000000001</v>
      </c>
      <c r="X42" s="14" t="n">
        <v>3856.1</v>
      </c>
      <c r="Y42" s="13">
        <f>IF(OR(N(W42)=0,X42=""),"",X42/W42)</f>
        <v>0.4281843721198796</v>
      </c>
      <c r="Z42" s="11" t="str">
        <f>IF(AA42="A","四季持續盈利",IF(AA42="B","最新季為正/波動",IF(AA42="C","虧損收窄",IF(AA42="D","虧損擴大或轉虧","數據不足"))))</f>
        <v>四季持續盈利</v>
      </c>
      <c r="AA42" s="9" t="str">
        <f>IF(COUNT(N42:Q42)&lt;4,"—",IF(MIN(N42:Q42)&gt;0,"A",IF(Q42&gt;0,"B",IF(Q42&gt;N42,"C","D"))))</f>
        <v>A</v>
      </c>
      <c r="AB42" s="9" t="inlineStr">
        <is>
          <t>2026-06-30</t>
        </is>
      </c>
    </row>
    <row r="43" ht="15" customHeight="1">
      <c r="A43" s="9" t="n">
        <v>42</v>
      </c>
      <c r="B43" s="10" t="inlineStr">
        <is>
          <t>AON</t>
        </is>
      </c>
      <c r="C43" s="11" t="inlineStr">
        <is>
          <t>保險經紀</t>
        </is>
      </c>
      <c r="D43" s="11" t="inlineStr">
        <is>
          <t>Aon plc</t>
        </is>
      </c>
      <c r="E43" s="11" t="inlineStr">
        <is>
          <t>Insurance Brokers</t>
        </is>
      </c>
      <c r="F43" s="9" t="inlineStr">
        <is>
          <t>USD</t>
        </is>
      </c>
      <c r="G43" s="11" t="inlineStr">
        <is>
          <t>25Q2 / 25Q3 / 25Q4 / 26Q1 / 26Q2</t>
        </is>
      </c>
      <c r="H43" s="12" t="n">
        <v>4155</v>
      </c>
      <c r="I43" s="12" t="n">
        <v>3997</v>
      </c>
      <c r="J43" s="12" t="n">
        <v>4300</v>
      </c>
      <c r="K43" s="12" t="n">
        <v>5034</v>
      </c>
      <c r="L43" s="12" t="n">
        <v>4246</v>
      </c>
      <c r="M43" s="13">
        <f>IF(OR(N(H43)=0,L43=""),"",L43/H43-1)</f>
        <v>0.021901323706377873</v>
      </c>
      <c r="N43" s="14" t="n">
        <v>848</v>
      </c>
      <c r="O43" s="14" t="n">
        <v>1337</v>
      </c>
      <c r="P43" s="14" t="n">
        <v>1807</v>
      </c>
      <c r="Q43" s="14" t="n">
        <v>1011</v>
      </c>
      <c r="R43" s="13">
        <f>IF(OR(N(L43)=0,Q43=""),"",Q43/L43)</f>
        <v>0.23810645313235987</v>
      </c>
      <c r="S43" s="14" t="n">
        <v>1975</v>
      </c>
      <c r="T43" s="13">
        <f>IF(OR(N(L43)=0,S43=""),"",S43/L43)</f>
        <v>0.4651436646255299</v>
      </c>
      <c r="U43" s="14" t="n">
        <v>551</v>
      </c>
      <c r="V43" s="13">
        <f>IF(OR(N(L43)=0,U43=""),"",U43/L43)</f>
        <v>0.12976919453603392</v>
      </c>
      <c r="W43" s="14" t="n">
        <v>17181</v>
      </c>
      <c r="X43" s="14" t="n">
        <v>4709</v>
      </c>
      <c r="Y43" s="13">
        <f>IF(OR(N(W43)=0,X43=""),"",X43/W43)</f>
        <v>0.2740818345847157</v>
      </c>
      <c r="Z43" s="11" t="str">
        <f>IF(AA43="A","四季持續盈利",IF(AA43="B","最新季為正/波動",IF(AA43="C","虧損收窄",IF(AA43="D","虧損擴大或轉虧","數據不足"))))</f>
        <v>四季持續盈利</v>
      </c>
      <c r="AA43" s="9" t="str">
        <f>IF(COUNT(N43:Q43)&lt;4,"—",IF(MIN(N43:Q43)&gt;0,"A",IF(Q43&gt;0,"B",IF(Q43&gt;N43,"C","D"))))</f>
        <v>A</v>
      </c>
      <c r="AB43" s="9" t="inlineStr">
        <is>
          <t>2026-06-30</t>
        </is>
      </c>
    </row>
    <row r="44" ht="15" customHeight="1">
      <c r="A44" s="9" t="n">
        <v>43</v>
      </c>
      <c r="B44" s="10" t="inlineStr">
        <is>
          <t>APD</t>
        </is>
      </c>
      <c r="C44" s="11" t="inlineStr">
        <is>
          <t>特種化工</t>
        </is>
      </c>
      <c r="D44" s="11" t="inlineStr">
        <is>
          <t>Air Products and Chemicals, Inc.</t>
        </is>
      </c>
      <c r="E44" s="11" t="inlineStr">
        <is>
          <t>B10 半導體材料②光刻膠/特氣</t>
        </is>
      </c>
      <c r="F44" s="9" t="inlineStr">
        <is>
          <t>USD</t>
        </is>
      </c>
      <c r="G44" s="11" t="inlineStr">
        <is>
          <t>25Q2 / 25Q3 / 25Q4 / 26Q1 / 26Q2</t>
        </is>
      </c>
      <c r="H44" s="12" t="n">
        <v>3022.7</v>
      </c>
      <c r="I44" s="12" t="n">
        <v>3166.9</v>
      </c>
      <c r="J44" s="12" t="n">
        <v>3102.5</v>
      </c>
      <c r="K44" s="12" t="n">
        <v>3171.8</v>
      </c>
      <c r="L44" s="12" t="n">
        <v>3161</v>
      </c>
      <c r="M44" s="13">
        <f>IF(OR(N(H44)=0,L44=""),"",L44/H44-1)</f>
        <v>0.045753796274853764</v>
      </c>
      <c r="N44" s="14" t="n">
        <v>811.8</v>
      </c>
      <c r="O44" s="14" t="n">
        <v>756.5</v>
      </c>
      <c r="P44" s="14" t="n">
        <v>752.7</v>
      </c>
      <c r="Q44" s="14" t="n">
        <v>810.3</v>
      </c>
      <c r="R44" s="13">
        <f>IF(OR(N(L44)=0,Q44=""),"",Q44/L44)</f>
        <v>0.2563429294527048</v>
      </c>
      <c r="S44" s="14" t="n">
        <v>1036</v>
      </c>
      <c r="T44" s="13">
        <f>IF(OR(N(L44)=0,S44=""),"",S44/L44)</f>
        <v>0.32774438468838973</v>
      </c>
      <c r="U44" s="14" t="n">
        <v>-1440.8</v>
      </c>
      <c r="V44" s="13">
        <f>IF(OR(N(L44)=0,U44=""),"",U44/L44)</f>
        <v>-0.45580512496045555</v>
      </c>
      <c r="W44" s="14" t="n">
        <v>12037.3</v>
      </c>
      <c r="X44" s="14" t="n">
        <v>2889</v>
      </c>
      <c r="Y44" s="13">
        <f>IF(OR(N(W44)=0,X44=""),"",X44/W44)</f>
        <v>0.24000398760519387</v>
      </c>
      <c r="Z44" s="11" t="str">
        <f>IF(AA44="A","四季持續盈利",IF(AA44="B","最新季為正/波動",IF(AA44="C","虧損收窄",IF(AA44="D","虧損擴大或轉虧","數據不足"))))</f>
        <v>四季持續盈利</v>
      </c>
      <c r="AA44" s="9" t="str">
        <f>IF(COUNT(N44:Q44)&lt;4,"—",IF(MIN(N44:Q44)&gt;0,"A",IF(Q44&gt;0,"B",IF(Q44&gt;N44,"C","D"))))</f>
        <v>A</v>
      </c>
      <c r="AB44" s="9" t="inlineStr">
        <is>
          <t>2026-06-30</t>
        </is>
      </c>
    </row>
    <row r="45" ht="15" customHeight="1">
      <c r="A45" s="9" t="n">
        <v>44</v>
      </c>
      <c r="B45" s="10" t="inlineStr">
        <is>
          <t>APH</t>
        </is>
      </c>
      <c r="C45" s="11" t="inlineStr">
        <is>
          <t>電子硬件與EMS/連接器</t>
        </is>
      </c>
      <c r="D45" s="11" t="inlineStr">
        <is>
          <t>Amphenol Corporation</t>
        </is>
      </c>
      <c r="E45" s="11" t="inlineStr">
        <is>
          <t>D5 連接器</t>
        </is>
      </c>
      <c r="F45" s="9" t="inlineStr">
        <is>
          <t>USD</t>
        </is>
      </c>
      <c r="G45" s="11" t="inlineStr">
        <is>
          <t>25Q2 / 25Q3 / 25Q4 / 26Q1 / 26Q2</t>
        </is>
      </c>
      <c r="H45" s="12" t="n">
        <v>5650.3</v>
      </c>
      <c r="I45" s="12" t="n">
        <v>6194.4</v>
      </c>
      <c r="J45" s="12" t="n">
        <v>6439</v>
      </c>
      <c r="K45" s="12" t="n">
        <v>7620.1</v>
      </c>
      <c r="L45" s="12" t="n"/>
      <c r="M45" s="13" t="str">
        <f>IF(OR(N(H45)=0,L45=""),"",L45/H45-1)</f>
        <v/>
      </c>
      <c r="N45" s="14" t="n">
        <v>1702.3</v>
      </c>
      <c r="O45" s="14" t="n">
        <v>1770.1</v>
      </c>
      <c r="P45" s="14" t="n">
        <v>1948.7</v>
      </c>
      <c r="Q45" s="14" t="n"/>
      <c r="R45" s="13" t="str">
        <f>IF(OR(N(L45)=0,Q45=""),"",Q45/L45)</f>
        <v/>
      </c>
      <c r="S45" s="14" t="n"/>
      <c r="T45" s="13" t="str">
        <f>IF(OR(N(L45)=0,S45=""),"",S45/L45)</f>
        <v/>
      </c>
      <c r="U45" s="14" t="n"/>
      <c r="V45" s="13" t="str">
        <f>IF(OR(N(L45)=0,U45=""),"",U45/L45)</f>
        <v/>
      </c>
      <c r="W45" s="14" t="n">
        <v>23094.7</v>
      </c>
      <c r="X45" s="14" t="n">
        <v>5972</v>
      </c>
      <c r="Y45" s="13">
        <f>IF(OR(N(W45)=0,X45=""),"",X45/W45)</f>
        <v>0.25858746812039124</v>
      </c>
      <c r="Z45" s="11" t="str">
        <f>IF(AA45="A","四季持續盈利",IF(AA45="B","最新季為正/波動",IF(AA45="C","虧損收窄",IF(AA45="D","虧損擴大或轉虧","數據不足"))))</f>
        <v>數據不足</v>
      </c>
      <c r="AA45" s="9" t="str">
        <f>IF(COUNT(N45:Q45)&lt;4,"—",IF(MIN(N45:Q45)&gt;0,"A",IF(Q45&gt;0,"B",IF(Q45&gt;N45,"C","D"))))</f>
        <v>—</v>
      </c>
      <c r="AB45" s="9" t="inlineStr">
        <is>
          <t>2026-06-30</t>
        </is>
      </c>
    </row>
    <row r="46" ht="15" customHeight="1">
      <c r="A46" s="9" t="n">
        <v>45</v>
      </c>
      <c r="B46" s="10" t="inlineStr">
        <is>
          <t>APLD</t>
        </is>
      </c>
      <c r="C46" s="11" t="inlineStr">
        <is>
          <t>—</t>
        </is>
      </c>
      <c r="D46" s="11" t="inlineStr">
        <is>
          <t>Applied Digital Corporation</t>
        </is>
      </c>
      <c r="E46" s="11" t="inlineStr">
        <is>
          <t>AA1 Neo</t>
        </is>
      </c>
      <c r="F46" s="9" t="inlineStr">
        <is>
          <t>USD</t>
        </is>
      </c>
      <c r="G46" s="11" t="inlineStr">
        <is>
          <t>25Q2 / 25Q3 / 25Q4 / 26Q1 / 26Q2</t>
        </is>
      </c>
      <c r="H46" s="12" t="n">
        <v>-33.3</v>
      </c>
      <c r="I46" s="12" t="n">
        <v>64.21599999999999</v>
      </c>
      <c r="J46" s="12" t="n">
        <v>126.589</v>
      </c>
      <c r="K46" s="12" t="n">
        <v>126.637</v>
      </c>
      <c r="L46" s="12" t="n">
        <v>258.749</v>
      </c>
      <c r="M46" s="13">
        <f>IF(OR(N(H46)=0,L46=""),"",L46/H46-1)</f>
        <v>-8.770240240240241</v>
      </c>
      <c r="N46" s="14" t="n">
        <v>-20.542</v>
      </c>
      <c r="O46" s="14" t="n">
        <v>-30.957</v>
      </c>
      <c r="P46" s="14" t="n">
        <v>-25.918</v>
      </c>
      <c r="Q46" s="14" t="n">
        <v>-124.764</v>
      </c>
      <c r="R46" s="13">
        <f>IF(OR(N(L46)=0,Q46=""),"",Q46/L46)</f>
        <v>-0.48218157364859376</v>
      </c>
      <c r="S46" s="14" t="n">
        <v>40.518</v>
      </c>
      <c r="T46" s="13">
        <f>IF(OR(N(L46)=0,S46=""),"",S46/L46)</f>
        <v>0.15659190953394989</v>
      </c>
      <c r="U46" s="14" t="n">
        <v>-110.162</v>
      </c>
      <c r="V46" s="13">
        <f>IF(OR(N(L46)=0,U46=""),"",U46/L46)</f>
        <v>-0.42574850530823305</v>
      </c>
      <c r="W46" s="14" t="n">
        <v>611.311</v>
      </c>
      <c r="X46" s="14" t="n">
        <v>-174.414</v>
      </c>
      <c r="Y46" s="13">
        <f>IF(OR(N(W46)=0,X46=""),"",X46/W46)</f>
        <v>-0.28531140450605336</v>
      </c>
      <c r="Z46" s="11" t="str">
        <f>IF(AA46="A","四季持續盈利",IF(AA46="B","最新季為正/波動",IF(AA46="C","虧損收窄",IF(AA46="D","虧損擴大或轉虧","數據不足"))))</f>
        <v>虧損擴大或轉虧</v>
      </c>
      <c r="AA46" s="9" t="str">
        <f>IF(COUNT(N46:Q46)&lt;4,"—",IF(MIN(N46:Q46)&gt;0,"A",IF(Q46&gt;0,"B",IF(Q46&gt;N46,"C","D"))))</f>
        <v>D</v>
      </c>
      <c r="AB46" s="9" t="inlineStr">
        <is>
          <t>2026-05-31</t>
        </is>
      </c>
    </row>
    <row r="47" ht="15" customHeight="1">
      <c r="A47" s="9" t="n">
        <v>46</v>
      </c>
      <c r="B47" s="10" t="inlineStr">
        <is>
          <t>APO</t>
        </is>
      </c>
      <c r="C47" s="11" t="inlineStr">
        <is>
          <t>另類資產與私募信貸</t>
        </is>
      </c>
      <c r="D47" s="11" t="inlineStr">
        <is>
          <t>Apollo Global Management, Inc.</t>
        </is>
      </c>
      <c r="E47" s="11" t="inlineStr">
        <is>
          <t>Asset Management</t>
        </is>
      </c>
      <c r="F47" s="9" t="inlineStr">
        <is>
          <t>USD</t>
        </is>
      </c>
      <c r="G47" s="11" t="inlineStr">
        <is>
          <t>25Q2 / 25Q3 / 25Q4 / 26Q1 / 26Q2</t>
        </is>
      </c>
      <c r="H47" s="12" t="n">
        <v>6814</v>
      </c>
      <c r="I47" s="12" t="n">
        <v>9823</v>
      </c>
      <c r="J47" s="12" t="n">
        <v>9864</v>
      </c>
      <c r="K47" s="12" t="n">
        <v>5057</v>
      </c>
      <c r="L47" s="12" t="n">
        <v>11153</v>
      </c>
      <c r="M47" s="13">
        <f>IF(OR(N(H47)=0,L47=""),"",L47/H47-1)</f>
        <v>0.636777223363663</v>
      </c>
      <c r="N47" s="14" t="n">
        <v>3172</v>
      </c>
      <c r="O47" s="14" t="n">
        <v>2105</v>
      </c>
      <c r="P47" s="14" t="n">
        <v>794</v>
      </c>
      <c r="Q47" s="14" t="n">
        <v>2850</v>
      </c>
      <c r="R47" s="13">
        <f>IF(OR(N(L47)=0,Q47=""),"",Q47/L47)</f>
        <v>0.2555366269165247</v>
      </c>
      <c r="S47" s="14" t="n">
        <v>10718</v>
      </c>
      <c r="T47" s="13">
        <f>IF(OR(N(L47)=0,S47=""),"",S47/L47)</f>
        <v>0.9609970411548462</v>
      </c>
      <c r="U47" s="14" t="n">
        <v>1361</v>
      </c>
      <c r="V47" s="13">
        <f>IF(OR(N(L47)=0,U47=""),"",U47/L47)</f>
        <v>0.12202994709943513</v>
      </c>
      <c r="W47" s="14" t="n">
        <v>32049</v>
      </c>
      <c r="X47" s="14" t="n">
        <v>8258</v>
      </c>
      <c r="Y47" s="13">
        <f>IF(OR(N(W47)=0,X47=""),"",X47/W47)</f>
        <v>0.25766794595775216</v>
      </c>
      <c r="Z47" s="11" t="str">
        <f>IF(AA47="A","四季持續盈利",IF(AA47="B","最新季為正/波動",IF(AA47="C","虧損收窄",IF(AA47="D","虧損擴大或轉虧","數據不足"))))</f>
        <v>四季持續盈利</v>
      </c>
      <c r="AA47" s="9" t="str">
        <f>IF(COUNT(N47:Q47)&lt;4,"—",IF(MIN(N47:Q47)&gt;0,"A",IF(Q47&gt;0,"B",IF(Q47&gt;N47,"C","D"))))</f>
        <v>A</v>
      </c>
      <c r="AB47" s="9" t="inlineStr">
        <is>
          <t>2026-06-30</t>
        </is>
      </c>
    </row>
    <row r="48" ht="15" customHeight="1">
      <c r="A48" s="9" t="n">
        <v>47</v>
      </c>
      <c r="B48" s="10" t="inlineStr">
        <is>
          <t>APTV</t>
        </is>
      </c>
      <c r="C48" s="11" t="inlineStr">
        <is>
          <t>傳統汽車與零部件</t>
        </is>
      </c>
      <c r="D48" s="11" t="inlineStr">
        <is>
          <t>Aptiv PLC</t>
        </is>
      </c>
      <c r="E48" s="11" t="inlineStr">
        <is>
          <t>Auto Parts</t>
        </is>
      </c>
      <c r="F48" s="9" t="inlineStr">
        <is>
          <t>USD</t>
        </is>
      </c>
      <c r="G48" s="11" t="inlineStr">
        <is>
          <t>25Q2 / 25Q3 / 25Q4 / 26Q1 / 26Q2</t>
        </is>
      </c>
      <c r="H48" s="12" t="n">
        <v>3199</v>
      </c>
      <c r="I48" s="12" t="n">
        <v>5212</v>
      </c>
      <c r="J48" s="12" t="n">
        <v>5153</v>
      </c>
      <c r="K48" s="12" t="n">
        <v>5086</v>
      </c>
      <c r="L48" s="12" t="n">
        <v>3274</v>
      </c>
      <c r="M48" s="13">
        <f>IF(OR(N(H48)=0,L48=""),"",L48/H48-1)</f>
        <v>0.023444826508283834</v>
      </c>
      <c r="N48" s="14" t="n">
        <v>533</v>
      </c>
      <c r="O48" s="14" t="n">
        <v>461</v>
      </c>
      <c r="P48" s="14" t="n">
        <v>440</v>
      </c>
      <c r="Q48" s="14" t="n">
        <v>391</v>
      </c>
      <c r="R48" s="13">
        <f>IF(OR(N(L48)=0,Q48=""),"",Q48/L48)</f>
        <v>0.1194257788637752</v>
      </c>
      <c r="S48" s="14" t="n">
        <v>775</v>
      </c>
      <c r="T48" s="13">
        <f>IF(OR(N(L48)=0,S48=""),"",S48/L48)</f>
        <v>0.23671350030543678</v>
      </c>
      <c r="U48" s="14" t="n">
        <v>248</v>
      </c>
      <c r="V48" s="13">
        <f>IF(OR(N(L48)=0,U48=""),"",U48/L48)</f>
        <v>0.07574832009773977</v>
      </c>
      <c r="W48" s="14" t="n">
        <v>20398</v>
      </c>
      <c r="X48" s="14" t="n">
        <v>2017</v>
      </c>
      <c r="Y48" s="13">
        <f>IF(OR(N(W48)=0,X48=""),"",X48/W48)</f>
        <v>0.09888224335719188</v>
      </c>
      <c r="Z48" s="11" t="str">
        <f>IF(AA48="A","四季持續盈利",IF(AA48="B","最新季為正/波動",IF(AA48="C","虧損收窄",IF(AA48="D","虧損擴大或轉虧","數據不足"))))</f>
        <v>四季持續盈利</v>
      </c>
      <c r="AA48" s="9" t="str">
        <f>IF(COUNT(N48:Q48)&lt;4,"—",IF(MIN(N48:Q48)&gt;0,"A",IF(Q48&gt;0,"B",IF(Q48&gt;N48,"C","D"))))</f>
        <v>A</v>
      </c>
      <c r="AB48" s="9" t="inlineStr">
        <is>
          <t>2026-06-30</t>
        </is>
      </c>
    </row>
    <row r="49" ht="15" customHeight="1">
      <c r="A49" s="9" t="n">
        <v>48</v>
      </c>
      <c r="B49" s="10" t="inlineStr">
        <is>
          <t>ARES</t>
        </is>
      </c>
      <c r="C49" s="11" t="inlineStr">
        <is>
          <t>另類資產與私募信貸</t>
        </is>
      </c>
      <c r="D49" s="11" t="inlineStr">
        <is>
          <t>Ares Management Corporation</t>
        </is>
      </c>
      <c r="E49" s="11" t="inlineStr">
        <is>
          <t>Asset Management</t>
        </is>
      </c>
      <c r="F49" s="9" t="inlineStr">
        <is>
          <t>USD</t>
        </is>
      </c>
      <c r="G49" s="11" t="inlineStr">
        <is>
          <t>25Q2 / 25Q3 / 25Q4 / 26Q1 / 26Q2</t>
        </is>
      </c>
      <c r="H49" s="12" t="n">
        <v>1350.128</v>
      </c>
      <c r="I49" s="12" t="n">
        <v>1657.628</v>
      </c>
      <c r="J49" s="12" t="n">
        <v>1504.921</v>
      </c>
      <c r="K49" s="12" t="n">
        <v>1396.436</v>
      </c>
      <c r="L49" s="12" t="n">
        <v>1428.61</v>
      </c>
      <c r="M49" s="13">
        <f>IF(OR(N(H49)=0,L49=""),"",L49/H49-1)</f>
        <v>0.05812930329568755</v>
      </c>
      <c r="N49" s="14" t="n">
        <v>349.412</v>
      </c>
      <c r="O49" s="14" t="n">
        <v>256.277</v>
      </c>
      <c r="P49" s="14" t="n">
        <v>227.973</v>
      </c>
      <c r="Q49" s="14" t="n">
        <v>248.633</v>
      </c>
      <c r="R49" s="13">
        <f>IF(OR(N(L49)=0,Q49=""),"",Q49/L49)</f>
        <v>0.17403840096317402</v>
      </c>
      <c r="S49" s="14" t="n">
        <v>739.95</v>
      </c>
      <c r="T49" s="13">
        <f>IF(OR(N(L49)=0,S49=""),"",S49/L49)</f>
        <v>0.5179510153225864</v>
      </c>
      <c r="U49" s="14" t="n">
        <v>150.635</v>
      </c>
      <c r="V49" s="13">
        <f>IF(OR(N(L49)=0,U49=""),"",U49/L49)</f>
        <v>0.10544165307536697</v>
      </c>
      <c r="W49" s="14" t="n">
        <v>5601.482</v>
      </c>
      <c r="X49" s="14" t="n">
        <v>892.716</v>
      </c>
      <c r="Y49" s="13">
        <f>IF(OR(N(W49)=0,X49=""),"",X49/W49)</f>
        <v>0.15937139492727104</v>
      </c>
      <c r="Z49" s="11" t="str">
        <f>IF(AA49="A","四季持續盈利",IF(AA49="B","最新季為正/波動",IF(AA49="C","虧損收窄",IF(AA49="D","虧損擴大或轉虧","數據不足"))))</f>
        <v>四季持續盈利</v>
      </c>
      <c r="AA49" s="9" t="str">
        <f>IF(COUNT(N49:Q49)&lt;4,"—",IF(MIN(N49:Q49)&gt;0,"A",IF(Q49&gt;0,"B",IF(Q49&gt;N49,"C","D"))))</f>
        <v>A</v>
      </c>
      <c r="AB49" s="9" t="inlineStr">
        <is>
          <t>2026-06-30</t>
        </is>
      </c>
    </row>
    <row r="50" ht="15" customHeight="1">
      <c r="A50" s="9" t="n">
        <v>49</v>
      </c>
      <c r="B50" s="10" t="inlineStr">
        <is>
          <t>ARM</t>
        </is>
      </c>
      <c r="C50" s="11" t="inlineStr">
        <is>
          <t>EDA與半導體IP</t>
        </is>
      </c>
      <c r="D50" s="11" t="inlineStr">
        <is>
          <t>Arm Holdings plc</t>
        </is>
      </c>
      <c r="E50" s="11" t="inlineStr">
        <is>
          <t>A4 運算</t>
        </is>
      </c>
      <c r="F50" s="9" t="inlineStr">
        <is>
          <t>USD</t>
        </is>
      </c>
      <c r="G50" s="11" t="inlineStr">
        <is>
          <t>25Q2 / 25Q3 / 25Q4 / 26Q1 / 26Q2</t>
        </is>
      </c>
      <c r="H50" s="12" t="n">
        <v>1053</v>
      </c>
      <c r="I50" s="12" t="n">
        <v>1135</v>
      </c>
      <c r="J50" s="12" t="n">
        <v>1242</v>
      </c>
      <c r="K50" s="12" t="n">
        <v>1490</v>
      </c>
      <c r="L50" s="12" t="n">
        <v>1289</v>
      </c>
      <c r="M50" s="13">
        <f>IF(OR(N(H50)=0,L50=""),"",L50/H50-1)</f>
        <v>0.2241215574548907</v>
      </c>
      <c r="N50" s="14" t="n">
        <v>163</v>
      </c>
      <c r="O50" s="14" t="n">
        <v>191</v>
      </c>
      <c r="P50" s="14" t="n">
        <v>440</v>
      </c>
      <c r="Q50" s="14" t="n">
        <v>98</v>
      </c>
      <c r="R50" s="13">
        <f>IF(OR(N(L50)=0,Q50=""),"",Q50/L50)</f>
        <v>0.07602792862684252</v>
      </c>
      <c r="S50" s="14" t="n">
        <v>1253</v>
      </c>
      <c r="T50" s="13">
        <f>IF(OR(N(L50)=0,S50=""),"",S50/L50)</f>
        <v>0.9720713731574864</v>
      </c>
      <c r="U50" s="14" t="n">
        <v>270</v>
      </c>
      <c r="V50" s="13">
        <f>IF(OR(N(L50)=0,U50=""),"",U50/L50)</f>
        <v>0.20946470131885184</v>
      </c>
      <c r="W50" s="14" t="n">
        <v>4920</v>
      </c>
      <c r="X50" s="14" t="n">
        <v>908</v>
      </c>
      <c r="Y50" s="13">
        <f>IF(OR(N(W50)=0,X50=""),"",X50/W50)</f>
        <v>0.18455284552845527</v>
      </c>
      <c r="Z50" s="11" t="str">
        <f>IF(AA50="A","四季持續盈利",IF(AA50="B","最新季為正/波動",IF(AA50="C","虧損收窄",IF(AA50="D","虧損擴大或轉虧","數據不足"))))</f>
        <v>四季持續盈利</v>
      </c>
      <c r="AA50" s="9" t="str">
        <f>IF(COUNT(N50:Q50)&lt;4,"—",IF(MIN(N50:Q50)&gt;0,"A",IF(Q50&gt;0,"B",IF(Q50&gt;N50,"C","D"))))</f>
        <v>A</v>
      </c>
      <c r="AB50" s="9" t="inlineStr">
        <is>
          <t>2026-06-30</t>
        </is>
      </c>
    </row>
    <row r="51" ht="15" customHeight="1">
      <c r="A51" s="9" t="n">
        <v>50</v>
      </c>
      <c r="B51" s="10" t="inlineStr">
        <is>
          <t>ARVN</t>
        </is>
      </c>
      <c r="C51" s="11" t="inlineStr">
        <is>
          <t>腫瘤與細胞治療</t>
        </is>
      </c>
      <c r="D51" s="11" t="inlineStr">
        <is>
          <t>Arvinas, Inc.</t>
        </is>
      </c>
      <c r="E51" s="11" t="inlineStr">
        <is>
          <t>Biotechnology</t>
        </is>
      </c>
      <c r="F51" s="9" t="inlineStr">
        <is>
          <t>USD</t>
        </is>
      </c>
      <c r="G51" s="11" t="inlineStr">
        <is>
          <t>25Q2 / 25Q3 / 25Q4 / 26Q1 / 26Q2</t>
        </is>
      </c>
      <c r="H51" s="12" t="n">
        <v>22.4</v>
      </c>
      <c r="I51" s="12" t="n">
        <v>41.9</v>
      </c>
      <c r="J51" s="12" t="n">
        <v>9.5</v>
      </c>
      <c r="K51" s="12" t="n">
        <v>15.6</v>
      </c>
      <c r="L51" s="12" t="n">
        <v>249.7</v>
      </c>
      <c r="M51" s="13">
        <f>IF(OR(N(H51)=0,L51=""),"",L51/H51-1)</f>
        <v>10.147321428571429</v>
      </c>
      <c r="N51" s="14" t="n">
        <v>-43.8</v>
      </c>
      <c r="O51" s="14" t="n">
        <v>-74.59999999999999</v>
      </c>
      <c r="P51" s="14" t="n">
        <v>-63.8</v>
      </c>
      <c r="Q51" s="14" t="n">
        <v>164.1</v>
      </c>
      <c r="R51" s="13">
        <f>IF(OR(N(L51)=0,Q51=""),"",Q51/L51)</f>
        <v>0.657188626351622</v>
      </c>
      <c r="S51" s="14" t="n"/>
      <c r="T51" s="13" t="str">
        <f>IF(OR(N(L51)=0,S51=""),"",S51/L51)</f>
        <v/>
      </c>
      <c r="U51" s="14" t="n">
        <v>169.4</v>
      </c>
      <c r="V51" s="13">
        <f>IF(OR(N(L51)=0,U51=""),"",U51/L51)</f>
        <v>0.6784140969162996</v>
      </c>
      <c r="W51" s="14" t="n">
        <v>262.6</v>
      </c>
      <c r="X51" s="14" t="n">
        <v>-118.5</v>
      </c>
      <c r="Y51" s="13">
        <f>IF(OR(N(W51)=0,X51=""),"",X51/W51)</f>
        <v>-0.45125666412795123</v>
      </c>
      <c r="Z51" s="11" t="str">
        <f>IF(AA51="A","四季持續盈利",IF(AA51="B","最新季為正/波動",IF(AA51="C","虧損收窄",IF(AA51="D","虧損擴大或轉虧","數據不足"))))</f>
        <v>最新季為正/波動</v>
      </c>
      <c r="AA51" s="9" t="str">
        <f>IF(COUNT(N51:Q51)&lt;4,"—",IF(MIN(N51:Q51)&gt;0,"A",IF(Q51&gt;0,"B",IF(Q51&gt;N51,"C","D"))))</f>
        <v>B</v>
      </c>
      <c r="AB51" s="9" t="inlineStr">
        <is>
          <t>2026-06-30</t>
        </is>
      </c>
    </row>
    <row r="52" ht="15" customHeight="1">
      <c r="A52" s="9" t="n">
        <v>51</v>
      </c>
      <c r="B52" s="10" t="inlineStr">
        <is>
          <t>ASML</t>
        </is>
      </c>
      <c r="C52" s="11" t="inlineStr">
        <is>
          <t>半導體設備</t>
        </is>
      </c>
      <c r="D52" s="11" t="inlineStr">
        <is>
          <t>ASML Holding N.V.</t>
        </is>
      </c>
      <c r="E52" s="11" t="inlineStr">
        <is>
          <t>B2 半導體前段設備</t>
        </is>
      </c>
      <c r="F52" s="9" t="inlineStr">
        <is>
          <t>EUR</t>
        </is>
      </c>
      <c r="G52" s="11" t="inlineStr">
        <is>
          <t>25Q2 / 25Q3 / 25Q4 / 26Q1 / 26Q2</t>
        </is>
      </c>
      <c r="H52" s="12" t="n">
        <v>7691.7</v>
      </c>
      <c r="I52" s="12" t="n">
        <v>7516</v>
      </c>
      <c r="J52" s="12" t="n">
        <v>9718.1</v>
      </c>
      <c r="K52" s="12" t="n">
        <v>8766.9</v>
      </c>
      <c r="L52" s="12" t="n">
        <v>9326.5</v>
      </c>
      <c r="M52" s="13">
        <f>IF(OR(N(H52)=0,L52=""),"",L52/H52-1)</f>
        <v>0.212540790722467</v>
      </c>
      <c r="N52" s="14" t="n">
        <v>2468.4</v>
      </c>
      <c r="O52" s="14" t="n">
        <v>3431.1</v>
      </c>
      <c r="P52" s="14" t="n">
        <v>3157.8</v>
      </c>
      <c r="Q52" s="14" t="n">
        <v>3456.1</v>
      </c>
      <c r="R52" s="13">
        <f>IF(OR(N(L52)=0,Q52=""),"",Q52/L52)</f>
        <v>0.370567737093229</v>
      </c>
      <c r="S52" s="14" t="n">
        <v>5035.4</v>
      </c>
      <c r="T52" s="13">
        <f>IF(OR(N(L52)=0,S52=""),"",S52/L52)</f>
        <v>0.5399024285637699</v>
      </c>
      <c r="U52" s="14" t="n">
        <v>2917.6</v>
      </c>
      <c r="V52" s="13">
        <f>IF(OR(N(L52)=0,U52=""),"",U52/L52)</f>
        <v>0.3128290355438803</v>
      </c>
      <c r="W52" s="14" t="n">
        <v>32667.3</v>
      </c>
      <c r="X52" s="14" t="n">
        <v>11301.4</v>
      </c>
      <c r="Y52" s="13">
        <f>IF(OR(N(W52)=0,X52=""),"",X52/W52)</f>
        <v>0.34595451720833986</v>
      </c>
      <c r="Z52" s="11" t="str">
        <f>IF(AA52="A","四季持續盈利",IF(AA52="B","最新季為正/波動",IF(AA52="C","虧損收窄",IF(AA52="D","虧損擴大或轉虧","數據不足"))))</f>
        <v>四季持續盈利</v>
      </c>
      <c r="AA52" s="9" t="str">
        <f>IF(COUNT(N52:Q52)&lt;4,"—",IF(MIN(N52:Q52)&gt;0,"A",IF(Q52&gt;0,"B",IF(Q52&gt;N52,"C","D"))))</f>
        <v>A</v>
      </c>
      <c r="AB52" s="9" t="inlineStr">
        <is>
          <t>2026-06-30</t>
        </is>
      </c>
    </row>
    <row r="53" ht="15" customHeight="1">
      <c r="A53" s="9" t="n">
        <v>52</v>
      </c>
      <c r="B53" s="10" t="inlineStr">
        <is>
          <t>ASPI</t>
        </is>
      </c>
      <c r="C53" s="11" t="inlineStr">
        <is>
          <t>小型模組化核能SMR</t>
        </is>
      </c>
      <c r="D53" s="11" t="inlineStr">
        <is>
          <t>ASP Isotopes Inc.</t>
        </is>
      </c>
      <c r="E53" s="11" t="inlineStr">
        <is>
          <t>Specialty Chemicals</t>
        </is>
      </c>
      <c r="F53" s="9" t="inlineStr">
        <is>
          <t>USD</t>
        </is>
      </c>
      <c r="G53" s="11" t="inlineStr">
        <is>
          <t>25Q2 / 25Q3 / 25Q4 / 26Q1 / 26Q2</t>
        </is>
      </c>
      <c r="H53" s="12" t="n">
        <v>1.198</v>
      </c>
      <c r="I53" s="12" t="n">
        <v>4.889526</v>
      </c>
      <c r="J53" s="12" t="n">
        <v>16.659524</v>
      </c>
      <c r="K53" s="12" t="n">
        <v>4.18</v>
      </c>
      <c r="L53" s="12" t="n">
        <v>5.123</v>
      </c>
      <c r="M53" s="13">
        <f>IF(OR(N(H53)=0,L53=""),"",L53/H53-1)</f>
        <v>3.2762938230383973</v>
      </c>
      <c r="N53" s="14" t="n">
        <v>-14.966939</v>
      </c>
      <c r="O53" s="14" t="n">
        <v>-22.303139</v>
      </c>
      <c r="P53" s="14" t="n">
        <v>-24.888</v>
      </c>
      <c r="Q53" s="14" t="n">
        <v>-34.195</v>
      </c>
      <c r="R53" s="13">
        <f>IF(OR(N(L53)=0,Q53=""),"",Q53/L53)</f>
        <v>-6.67479992192075</v>
      </c>
      <c r="S53" s="14" t="n">
        <v>1.48</v>
      </c>
      <c r="T53" s="13">
        <f>IF(OR(N(L53)=0,S53=""),"",S53/L53)</f>
        <v>0.28889322662502437</v>
      </c>
      <c r="U53" s="14" t="n">
        <v>-33.585</v>
      </c>
      <c r="V53" s="13">
        <f>IF(OR(N(L53)=0,U53=""),"",U53/L53)</f>
        <v>-6.555729065000976</v>
      </c>
      <c r="W53" s="14" t="n">
        <v>23.849</v>
      </c>
      <c r="X53" s="14" t="n">
        <v>-57.191</v>
      </c>
      <c r="Y53" s="13">
        <f>IF(OR(N(W53)=0,X53=""),"",X53/W53)</f>
        <v>-2.3980460396662333</v>
      </c>
      <c r="Z53" s="11" t="str">
        <f>IF(AA53="A","四季持續盈利",IF(AA53="B","最新季為正/波動",IF(AA53="C","虧損收窄",IF(AA53="D","虧損擴大或轉虧","數據不足"))))</f>
        <v>虧損擴大或轉虧</v>
      </c>
      <c r="AA53" s="9" t="str">
        <f>IF(COUNT(N53:Q53)&lt;4,"—",IF(MIN(N53:Q53)&gt;0,"A",IF(Q53&gt;0,"B",IF(Q53&gt;N53,"C","D"))))</f>
        <v>D</v>
      </c>
      <c r="AB53" s="9" t="inlineStr">
        <is>
          <t>2026-06-30</t>
        </is>
      </c>
    </row>
    <row r="54" ht="15" customHeight="1">
      <c r="A54" s="9" t="n">
        <v>53</v>
      </c>
      <c r="B54" s="10" t="inlineStr">
        <is>
          <t>ASTS</t>
        </is>
      </c>
      <c r="C54" s="11" t="inlineStr">
        <is>
          <t>太空與衛星、有線/寬頻/衛星</t>
        </is>
      </c>
      <c r="D54" s="11" t="inlineStr">
        <is>
          <t>AST SpaceMobile, Inc.</t>
        </is>
      </c>
      <c r="E54" s="11" t="inlineStr">
        <is>
          <t>Communication Equipment</t>
        </is>
      </c>
      <c r="F54" s="9" t="inlineStr">
        <is>
          <t>USD</t>
        </is>
      </c>
      <c r="G54" s="11" t="inlineStr">
        <is>
          <t>25Q2 / 25Q3 / 25Q4 / 26Q1 / 26Q2</t>
        </is>
      </c>
      <c r="H54" s="12" t="n">
        <v>1.156</v>
      </c>
      <c r="I54" s="12" t="n">
        <v>14.739</v>
      </c>
      <c r="J54" s="12" t="n">
        <v>54.305</v>
      </c>
      <c r="K54" s="12" t="n">
        <v>14.735</v>
      </c>
      <c r="L54" s="12" t="n">
        <v>31.52</v>
      </c>
      <c r="M54" s="13">
        <f>IF(OR(N(H54)=0,L54=""),"",L54/H54-1)</f>
        <v>26.26643598615917</v>
      </c>
      <c r="N54" s="14" t="n">
        <v>-79.676</v>
      </c>
      <c r="O54" s="14" t="n">
        <v>-72.277</v>
      </c>
      <c r="P54" s="14" t="n">
        <v>-149.412</v>
      </c>
      <c r="Q54" s="14" t="n">
        <v>-171.666</v>
      </c>
      <c r="R54" s="13">
        <f>IF(OR(N(L54)=0,Q54=""),"",Q54/L54)</f>
        <v>-5.446256345177665</v>
      </c>
      <c r="S54" s="14" t="n">
        <v>7.953</v>
      </c>
      <c r="T54" s="13">
        <f>IF(OR(N(L54)=0,S54=""),"",S54/L54)</f>
        <v>0.25231598984771575</v>
      </c>
      <c r="U54" s="14" t="n">
        <v>-230.909</v>
      </c>
      <c r="V54" s="13">
        <f>IF(OR(N(L54)=0,U54=""),"",U54/L54)</f>
        <v>-7.325793147208121</v>
      </c>
      <c r="W54" s="14" t="n">
        <v>70.91800000000001</v>
      </c>
      <c r="X54" s="14" t="n">
        <v>-287.713</v>
      </c>
      <c r="Y54" s="13">
        <f>IF(OR(N(W54)=0,X54=""),"",X54/W54)</f>
        <v>-4.056981302349192</v>
      </c>
      <c r="Z54" s="11" t="str">
        <f>IF(AA54="A","四季持續盈利",IF(AA54="B","最新季為正/波動",IF(AA54="C","虧損收窄",IF(AA54="D","虧損擴大或轉虧","數據不足"))))</f>
        <v>虧損擴大或轉虧</v>
      </c>
      <c r="AA54" s="9" t="str">
        <f>IF(COUNT(N54:Q54)&lt;4,"—",IF(MIN(N54:Q54)&gt;0,"A",IF(Q54&gt;0,"B",IF(Q54&gt;N54,"C","D"))))</f>
        <v>D</v>
      </c>
      <c r="AB54" s="9" t="inlineStr">
        <is>
          <t>2026-06-30</t>
        </is>
      </c>
    </row>
    <row r="55" ht="15" customHeight="1">
      <c r="A55" s="9" t="n">
        <v>54</v>
      </c>
      <c r="B55" s="10" t="inlineStr">
        <is>
          <t>ASX</t>
        </is>
      </c>
      <c r="C55" s="11" t="inlineStr">
        <is>
          <t>—</t>
        </is>
      </c>
      <c r="D55" s="11" t="inlineStr">
        <is>
          <t>ASE Technology Holding Co., Ltd.</t>
        </is>
      </c>
      <c r="E55" s="11" t="inlineStr">
        <is>
          <t>B3 先進封裝</t>
        </is>
      </c>
      <c r="F55" s="9" t="inlineStr">
        <is>
          <t>TWD</t>
        </is>
      </c>
      <c r="G55" s="11" t="inlineStr">
        <is>
          <t>25Q2 / 25Q3 / 25Q4 / 26Q1 / 26Q2</t>
        </is>
      </c>
      <c r="H55" s="12" t="n">
        <v>150750</v>
      </c>
      <c r="I55" s="12" t="n">
        <v>168569</v>
      </c>
      <c r="J55" s="12" t="n">
        <v>177915.71</v>
      </c>
      <c r="K55" s="12" t="n">
        <v>173662.152</v>
      </c>
      <c r="L55" s="12" t="n">
        <v>191064</v>
      </c>
      <c r="M55" s="13">
        <f>IF(OR(N(H55)=0,L55=""),"",L55/H55-1)</f>
        <v>0.2674228855721392</v>
      </c>
      <c r="N55" s="14" t="n">
        <v>13201</v>
      </c>
      <c r="O55" s="14" t="n">
        <v>18469.932</v>
      </c>
      <c r="P55" s="14" t="n">
        <v>17531.793</v>
      </c>
      <c r="Q55" s="14" t="n">
        <v>21134</v>
      </c>
      <c r="R55" s="13">
        <f>IF(OR(N(L55)=0,Q55=""),"",Q55/L55)</f>
        <v>0.11061215090231545</v>
      </c>
      <c r="S55" s="14" t="n">
        <v>40150</v>
      </c>
      <c r="T55" s="13">
        <f>IF(OR(N(L55)=0,S55=""),"",S55/L55)</f>
        <v>0.21013901101201693</v>
      </c>
      <c r="U55" s="14" t="n">
        <v>21068</v>
      </c>
      <c r="V55" s="13">
        <f>IF(OR(N(L55)=0,U55=""),"",U55/L55)</f>
        <v>0.11026671691161077</v>
      </c>
      <c r="W55" s="14" t="n">
        <v>645387.71</v>
      </c>
      <c r="X55" s="14" t="n">
        <v>51534.932</v>
      </c>
      <c r="Y55" s="13">
        <f>IF(OR(N(W55)=0,X55=""),"",X55/W55)</f>
        <v>0.07985112080922645</v>
      </c>
      <c r="Z55" s="11" t="str">
        <f>IF(AA55="A","四季持續盈利",IF(AA55="B","最新季為正/波動",IF(AA55="C","虧損收窄",IF(AA55="D","虧損擴大或轉虧","數據不足"))))</f>
        <v>四季持續盈利</v>
      </c>
      <c r="AA55" s="9" t="str">
        <f>IF(COUNT(N55:Q55)&lt;4,"—",IF(MIN(N55:Q55)&gt;0,"A",IF(Q55&gt;0,"B",IF(Q55&gt;N55,"C","D"))))</f>
        <v>A</v>
      </c>
      <c r="AB55" s="9" t="inlineStr">
        <is>
          <t>2026-06-30</t>
        </is>
      </c>
    </row>
    <row r="56" ht="15" customHeight="1">
      <c r="A56" s="9" t="n">
        <v>55</v>
      </c>
      <c r="B56" s="10" t="inlineStr">
        <is>
          <t>ATO</t>
        </is>
      </c>
      <c r="C56" s="11" t="inlineStr">
        <is>
          <t>燃氣公用</t>
        </is>
      </c>
      <c r="D56" s="11" t="inlineStr">
        <is>
          <t>Atmos Energy Corporation</t>
        </is>
      </c>
      <c r="E56" s="11" t="inlineStr">
        <is>
          <t>Utilities - Regulated Gas</t>
        </is>
      </c>
      <c r="F56" s="9" t="inlineStr">
        <is>
          <t>USD</t>
        </is>
      </c>
      <c r="G56" s="11" t="inlineStr">
        <is>
          <t>25Q2 / 25Q3 / 25Q4 / 26Q1 / 26Q2</t>
        </is>
      </c>
      <c r="H56" s="12" t="n">
        <v>838.774</v>
      </c>
      <c r="I56" s="12" t="n">
        <v>737.48</v>
      </c>
      <c r="J56" s="12" t="n">
        <v>1342.585</v>
      </c>
      <c r="K56" s="12" t="n">
        <v>1962.402</v>
      </c>
      <c r="L56" s="12" t="n">
        <v>879.059</v>
      </c>
      <c r="M56" s="13">
        <f>IF(OR(N(H56)=0,L56=""),"",L56/H56-1)</f>
        <v>0.0480284319733324</v>
      </c>
      <c r="N56" s="14" t="n">
        <v>219.485</v>
      </c>
      <c r="O56" s="14" t="n">
        <v>514.764</v>
      </c>
      <c r="P56" s="14" t="n">
        <v>764.804</v>
      </c>
      <c r="Q56" s="14" t="n">
        <v>320.414</v>
      </c>
      <c r="R56" s="13">
        <f>IF(OR(N(L56)=0,Q56=""),"",Q56/L56)</f>
        <v>0.36449658100309534</v>
      </c>
      <c r="S56" s="14" t="n">
        <v>647.684</v>
      </c>
      <c r="T56" s="13">
        <f>IF(OR(N(L56)=0,S56=""),"",S56/L56)</f>
        <v>0.7367924109758276</v>
      </c>
      <c r="U56" s="14" t="n">
        <v>242.689</v>
      </c>
      <c r="V56" s="13">
        <f>IF(OR(N(L56)=0,U56=""),"",U56/L56)</f>
        <v>0.27607816995218754</v>
      </c>
      <c r="W56" s="14" t="n">
        <v>4702.755</v>
      </c>
      <c r="X56" s="14" t="n">
        <v>1559.971</v>
      </c>
      <c r="Y56" s="13">
        <f>IF(OR(N(W56)=0,X56=""),"",X56/W56)</f>
        <v>0.33171428237277933</v>
      </c>
      <c r="Z56" s="11" t="str">
        <f>IF(AA56="A","四季持續盈利",IF(AA56="B","最新季為正/波動",IF(AA56="C","虧損收窄",IF(AA56="D","虧損擴大或轉虧","數據不足"))))</f>
        <v>四季持續盈利</v>
      </c>
      <c r="AA56" s="9" t="str">
        <f>IF(COUNT(N56:Q56)&lt;4,"—",IF(MIN(N56:Q56)&gt;0,"A",IF(Q56&gt;0,"B",IF(Q56&gt;N56,"C","D"))))</f>
        <v>A</v>
      </c>
      <c r="AB56" s="9" t="inlineStr">
        <is>
          <t>2026-06-30</t>
        </is>
      </c>
    </row>
    <row r="57" ht="15" customHeight="1">
      <c r="A57" s="9" t="n">
        <v>56</v>
      </c>
      <c r="B57" s="10" t="inlineStr">
        <is>
          <t>AU</t>
        </is>
      </c>
      <c r="C57" s="11" t="inlineStr">
        <is>
          <t>黃金與貴金屬礦</t>
        </is>
      </c>
      <c r="D57" s="11" t="inlineStr">
        <is>
          <t>AngloGold Ashanti plc</t>
        </is>
      </c>
      <c r="E57" s="11" t="inlineStr">
        <is>
          <t>Gold</t>
        </is>
      </c>
      <c r="F57" s="9" t="inlineStr">
        <is>
          <t>USD</t>
        </is>
      </c>
      <c r="G57" s="11" t="inlineStr">
        <is>
          <t>25Q2 / 25Q3 / 25Q4 / 26Q1 / 26Q2</t>
        </is>
      </c>
      <c r="H57" s="12" t="n">
        <v>2445</v>
      </c>
      <c r="I57" s="12" t="n">
        <v>2417</v>
      </c>
      <c r="J57" s="12" t="n">
        <v>3068</v>
      </c>
      <c r="K57" s="12" t="n">
        <v>3236</v>
      </c>
      <c r="L57" s="12" t="n">
        <v>3104</v>
      </c>
      <c r="M57" s="13">
        <f>IF(OR(N(H57)=0,L57=""),"",L57/H57-1)</f>
        <v>0.2695296523517383</v>
      </c>
      <c r="N57" s="14" t="n">
        <v>1026</v>
      </c>
      <c r="O57" s="14" t="n">
        <v>1497</v>
      </c>
      <c r="P57" s="14" t="n">
        <v>1814</v>
      </c>
      <c r="Q57" s="14" t="n">
        <v>1583</v>
      </c>
      <c r="R57" s="13">
        <f>IF(OR(N(L57)=0,Q57=""),"",Q57/L57)</f>
        <v>0.5099871134020618</v>
      </c>
      <c r="S57" s="14" t="n">
        <v>1703</v>
      </c>
      <c r="T57" s="13">
        <f>IF(OR(N(L57)=0,S57=""),"",S57/L57)</f>
        <v>0.5486469072164949</v>
      </c>
      <c r="U57" s="14" t="n">
        <v>1002</v>
      </c>
      <c r="V57" s="13">
        <f>IF(OR(N(L57)=0,U57=""),"",U57/L57)</f>
        <v>0.3228092783505155</v>
      </c>
      <c r="W57" s="14" t="n">
        <v>9893</v>
      </c>
      <c r="X57" s="14" t="n">
        <v>4269</v>
      </c>
      <c r="Y57" s="13">
        <f>IF(OR(N(W57)=0,X57=""),"",X57/W57)</f>
        <v>0.4315172344081674</v>
      </c>
      <c r="Z57" s="11" t="str">
        <f>IF(AA57="A","四季持續盈利",IF(AA57="B","最新季為正/波動",IF(AA57="C","虧損收窄",IF(AA57="D","虧損擴大或轉虧","數據不足"))))</f>
        <v>四季持續盈利</v>
      </c>
      <c r="AA57" s="9" t="str">
        <f>IF(COUNT(N57:Q57)&lt;4,"—",IF(MIN(N57:Q57)&gt;0,"A",IF(Q57&gt;0,"B",IF(Q57&gt;N57,"C","D"))))</f>
        <v>A</v>
      </c>
      <c r="AB57" s="9" t="inlineStr">
        <is>
          <t>2026-06-30</t>
        </is>
      </c>
    </row>
    <row r="58" ht="15" customHeight="1">
      <c r="A58" s="9" t="n">
        <v>57</v>
      </c>
      <c r="B58" s="10" t="inlineStr">
        <is>
          <t>AVAV</t>
        </is>
      </c>
      <c r="C58" s="11" t="inlineStr">
        <is>
          <t>國防科技與無人機</t>
        </is>
      </c>
      <c r="D58" s="11" t="inlineStr">
        <is>
          <t>AeroVironment, Inc.</t>
        </is>
      </c>
      <c r="E58" s="11" t="inlineStr">
        <is>
          <t>Aerospace &amp; Defense</t>
        </is>
      </c>
      <c r="F58" s="9" t="inlineStr">
        <is>
          <t>USD</t>
        </is>
      </c>
      <c r="G58" s="11" t="inlineStr">
        <is>
          <t>25Q2 / 25Q3 / 25Q4 / 26Q1 / 26Q2</t>
        </is>
      </c>
      <c r="H58" s="12" t="n">
        <v>275.05</v>
      </c>
      <c r="I58" s="12" t="n">
        <v>454.676</v>
      </c>
      <c r="J58" s="12" t="n">
        <v>472.508</v>
      </c>
      <c r="K58" s="12" t="n">
        <v>408.045</v>
      </c>
      <c r="L58" s="12" t="n">
        <v>641.616</v>
      </c>
      <c r="M58" s="13">
        <f>IF(OR(N(H58)=0,L58=""),"",L58/H58-1)</f>
        <v>1.3327249590983454</v>
      </c>
      <c r="N58" s="14" t="n">
        <v>-69.27200000000001</v>
      </c>
      <c r="O58" s="14" t="n">
        <v>-30.224</v>
      </c>
      <c r="P58" s="14" t="n">
        <v>-27.732</v>
      </c>
      <c r="Q58" s="14" t="n">
        <v>56.941</v>
      </c>
      <c r="R58" s="13">
        <f>IF(OR(N(L58)=0,Q58=""),"",Q58/L58)</f>
        <v>0.08874622827360915</v>
      </c>
      <c r="S58" s="14" t="n">
        <v>202.625</v>
      </c>
      <c r="T58" s="13">
        <f>IF(OR(N(L58)=0,S58=""),"",S58/L58)</f>
        <v>0.315804157003566</v>
      </c>
      <c r="U58" s="14" t="n">
        <v>-24.098</v>
      </c>
      <c r="V58" s="13">
        <f>IF(OR(N(L58)=0,U58=""),"",U58/L58)</f>
        <v>-0.037558290316949704</v>
      </c>
      <c r="W58" s="14" t="n">
        <v>1976.845</v>
      </c>
      <c r="X58" s="14" t="n">
        <v>-70.28700000000001</v>
      </c>
      <c r="Y58" s="13">
        <f>IF(OR(N(W58)=0,X58=""),"",X58/W58)</f>
        <v>-0.03555513962905539</v>
      </c>
      <c r="Z58" s="11" t="str">
        <f>IF(AA58="A","四季持續盈利",IF(AA58="B","最新季為正/波動",IF(AA58="C","虧損收窄",IF(AA58="D","虧損擴大或轉虧","數據不足"))))</f>
        <v>最新季為正/波動</v>
      </c>
      <c r="AA58" s="9" t="str">
        <f>IF(COUNT(N58:Q58)&lt;4,"—",IF(MIN(N58:Q58)&gt;0,"A",IF(Q58&gt;0,"B",IF(Q58&gt;N58,"C","D"))))</f>
        <v>B</v>
      </c>
      <c r="AB58" s="9" t="inlineStr">
        <is>
          <t>2026-04-30</t>
        </is>
      </c>
    </row>
    <row r="59" ht="15" customHeight="1">
      <c r="A59" s="9" t="n">
        <v>58</v>
      </c>
      <c r="B59" s="10" t="inlineStr">
        <is>
          <t>AVGO</t>
        </is>
      </c>
      <c r="C59" s="11" t="inlineStr">
        <is>
          <t>AI加速晶片/GPU</t>
        </is>
      </c>
      <c r="D59" s="11" t="inlineStr">
        <is>
          <t>Broadcom Inc.</t>
        </is>
      </c>
      <c r="E59" s="11" t="inlineStr">
        <is>
          <t>A2 ASIC</t>
        </is>
      </c>
      <c r="F59" s="9" t="inlineStr">
        <is>
          <t>USD</t>
        </is>
      </c>
      <c r="G59" s="11" t="inlineStr">
        <is>
          <t>25Q3 / 25Q4 / 26Q1 / 26Q2 / 26Q3</t>
        </is>
      </c>
      <c r="H59" s="12" t="n">
        <v>15952</v>
      </c>
      <c r="I59" s="12" t="n">
        <v>18015</v>
      </c>
      <c r="J59" s="12" t="n">
        <v>19311</v>
      </c>
      <c r="K59" s="12" t="n">
        <v>22187</v>
      </c>
      <c r="L59" s="12" t="n"/>
      <c r="M59" s="13" t="str">
        <f>IF(OR(N(H59)=0,L59=""),"",L59/H59-1)</f>
        <v/>
      </c>
      <c r="N59" s="14" t="n">
        <v>7654</v>
      </c>
      <c r="O59" s="14" t="n">
        <v>8666</v>
      </c>
      <c r="P59" s="14" t="n">
        <v>10859</v>
      </c>
      <c r="Q59" s="14" t="n"/>
      <c r="R59" s="13" t="str">
        <f>IF(OR(N(L59)=0,Q59=""),"",Q59/L59)</f>
        <v/>
      </c>
      <c r="S59" s="14" t="n"/>
      <c r="T59" s="13" t="str">
        <f>IF(OR(N(L59)=0,S59=""),"",S59/L59)</f>
        <v/>
      </c>
      <c r="U59" s="14" t="n"/>
      <c r="V59" s="13" t="str">
        <f>IF(OR(N(L59)=0,U59=""),"",U59/L59)</f>
        <v/>
      </c>
      <c r="W59" s="14" t="n">
        <v>63887</v>
      </c>
      <c r="X59" s="14" t="n">
        <v>26075</v>
      </c>
      <c r="Y59" s="13">
        <f>IF(OR(N(W59)=0,X59=""),"",X59/W59)</f>
        <v>0.40814250160439525</v>
      </c>
      <c r="Z59" s="11" t="str">
        <f>IF(AA59="A","四季持續盈利",IF(AA59="B","最新季為正/波動",IF(AA59="C","虧損收窄",IF(AA59="D","虧損擴大或轉虧","數據不足"))))</f>
        <v>數據不足</v>
      </c>
      <c r="AA59" s="9" t="str">
        <f>IF(COUNT(N59:Q59)&lt;4,"—",IF(MIN(N59:Q59)&gt;0,"A",IF(Q59&gt;0,"B",IF(Q59&gt;N59,"C","D"))))</f>
        <v>—</v>
      </c>
      <c r="AB59" s="9" t="inlineStr">
        <is>
          <t>2026-07-31</t>
        </is>
      </c>
    </row>
    <row r="60" ht="15" customHeight="1">
      <c r="A60" s="9" t="n">
        <v>59</v>
      </c>
      <c r="B60" s="10" t="inlineStr">
        <is>
          <t>AWK</t>
        </is>
      </c>
      <c r="C60" s="11" t="inlineStr">
        <is>
          <t>水務公用</t>
        </is>
      </c>
      <c r="D60" s="11" t="inlineStr">
        <is>
          <t>American Water Works Company, Inc.</t>
        </is>
      </c>
      <c r="E60" s="11" t="inlineStr">
        <is>
          <t>Utilities - Regulated Water</t>
        </is>
      </c>
      <c r="F60" s="9" t="inlineStr">
        <is>
          <t>USD</t>
        </is>
      </c>
      <c r="G60" s="11" t="inlineStr">
        <is>
          <t>25Q2 / 25Q3 / 25Q4 / 26Q1 / 26Q2</t>
        </is>
      </c>
      <c r="H60" s="12" t="n">
        <v>1276</v>
      </c>
      <c r="I60" s="12" t="n">
        <v>1451</v>
      </c>
      <c r="J60" s="12" t="n">
        <v>1271</v>
      </c>
      <c r="K60" s="12" t="n">
        <v>1207</v>
      </c>
      <c r="L60" s="12" t="n">
        <v>1355</v>
      </c>
      <c r="M60" s="13">
        <f>IF(OR(N(H60)=0,L60=""),"",L60/H60-1)</f>
        <v>0.06191222570532906</v>
      </c>
      <c r="N60" s="14" t="n">
        <v>614</v>
      </c>
      <c r="O60" s="14" t="n">
        <v>405</v>
      </c>
      <c r="P60" s="14" t="n">
        <v>391</v>
      </c>
      <c r="Q60" s="14" t="n">
        <v>542</v>
      </c>
      <c r="R60" s="13">
        <f>IF(OR(N(L60)=0,Q60=""),"",Q60/L60)</f>
        <v>0.4</v>
      </c>
      <c r="S60" s="14" t="n">
        <v>874</v>
      </c>
      <c r="T60" s="13">
        <f>IF(OR(N(L60)=0,S60=""),"",S60/L60)</f>
        <v>0.6450184501845019</v>
      </c>
      <c r="U60" s="14" t="n">
        <v>315</v>
      </c>
      <c r="V60" s="13">
        <f>IF(OR(N(L60)=0,U60=""),"",U60/L60)</f>
        <v>0.23247232472324722</v>
      </c>
      <c r="W60" s="14" t="n">
        <v>5140</v>
      </c>
      <c r="X60" s="14" t="n">
        <v>1879</v>
      </c>
      <c r="Y60" s="13">
        <f>IF(OR(N(W60)=0,X60=""),"",X60/W60)</f>
        <v>0.36556420233463033</v>
      </c>
      <c r="Z60" s="11" t="str">
        <f>IF(AA60="A","四季持續盈利",IF(AA60="B","最新季為正/波動",IF(AA60="C","虧損收窄",IF(AA60="D","虧損擴大或轉虧","數據不足"))))</f>
        <v>四季持續盈利</v>
      </c>
      <c r="AA60" s="9" t="str">
        <f>IF(COUNT(N60:Q60)&lt;4,"—",IF(MIN(N60:Q60)&gt;0,"A",IF(Q60&gt;0,"B",IF(Q60&gt;N60,"C","D"))))</f>
        <v>A</v>
      </c>
      <c r="AB60" s="9" t="inlineStr">
        <is>
          <t>2026-06-30</t>
        </is>
      </c>
    </row>
    <row r="61" ht="15" customHeight="1">
      <c r="A61" s="9" t="n">
        <v>60</v>
      </c>
      <c r="B61" s="10" t="inlineStr">
        <is>
          <t>AWR</t>
        </is>
      </c>
      <c r="C61" s="11" t="inlineStr">
        <is>
          <t>水務公用</t>
        </is>
      </c>
      <c r="D61" s="11" t="inlineStr">
        <is>
          <t>American States Water Company</t>
        </is>
      </c>
      <c r="E61" s="11" t="inlineStr">
        <is>
          <t>Utilities - Regulated Water</t>
        </is>
      </c>
      <c r="F61" s="9" t="inlineStr">
        <is>
          <t>USD</t>
        </is>
      </c>
      <c r="G61" s="11" t="inlineStr">
        <is>
          <t>25Q2 / 25Q3 / 25Q4 / 26Q1 / 26Q2</t>
        </is>
      </c>
      <c r="H61" s="12" t="n">
        <v>163.066</v>
      </c>
      <c r="I61" s="12" t="n">
        <v>182.716</v>
      </c>
      <c r="J61" s="12" t="n">
        <v>164.278</v>
      </c>
      <c r="K61" s="12" t="n">
        <v>169.191</v>
      </c>
      <c r="L61" s="12" t="n">
        <v>181.29</v>
      </c>
      <c r="M61" s="13">
        <f>IF(OR(N(H61)=0,L61=""),"",L61/H61-1)</f>
        <v>0.11175842910232658</v>
      </c>
      <c r="N61" s="14" t="n">
        <v>61.733</v>
      </c>
      <c r="O61" s="14" t="n">
        <v>45.037</v>
      </c>
      <c r="P61" s="14" t="n">
        <v>51.371</v>
      </c>
      <c r="Q61" s="14" t="n">
        <v>63.971</v>
      </c>
      <c r="R61" s="13">
        <f>IF(OR(N(L61)=0,Q61=""),"",Q61/L61)</f>
        <v>0.35286557449390477</v>
      </c>
      <c r="S61" s="14" t="n">
        <v>137.564</v>
      </c>
      <c r="T61" s="13">
        <f>IF(OR(N(L61)=0,S61=""),"",S61/L61)</f>
        <v>0.7588063323956092</v>
      </c>
      <c r="U61" s="14" t="n">
        <v>43.274</v>
      </c>
      <c r="V61" s="13">
        <f>IF(OR(N(L61)=0,U61=""),"",U61/L61)</f>
        <v>0.23870042473385186</v>
      </c>
      <c r="W61" s="14" t="n">
        <v>658.073</v>
      </c>
      <c r="X61" s="14" t="n">
        <v>203.275</v>
      </c>
      <c r="Y61" s="13">
        <f>IF(OR(N(W61)=0,X61=""),"",X61/W61)</f>
        <v>0.3088943019999301</v>
      </c>
      <c r="Z61" s="11" t="str">
        <f>IF(AA61="A","四季持續盈利",IF(AA61="B","最新季為正/波動",IF(AA61="C","虧損收窄",IF(AA61="D","虧損擴大或轉虧","數據不足"))))</f>
        <v>四季持續盈利</v>
      </c>
      <c r="AA61" s="9" t="str">
        <f>IF(COUNT(N61:Q61)&lt;4,"—",IF(MIN(N61:Q61)&gt;0,"A",IF(Q61&gt;0,"B",IF(Q61&gt;N61,"C","D"))))</f>
        <v>A</v>
      </c>
      <c r="AB61" s="9" t="inlineStr">
        <is>
          <t>2026-06-30</t>
        </is>
      </c>
    </row>
    <row r="62" ht="15" customHeight="1">
      <c r="A62" s="9" t="n">
        <v>61</v>
      </c>
      <c r="B62" s="10" t="inlineStr">
        <is>
          <t>AXP</t>
        </is>
      </c>
      <c r="C62" s="11" t="inlineStr">
        <is>
          <t>消費金融與BNPL</t>
        </is>
      </c>
      <c r="D62" s="11" t="inlineStr">
        <is>
          <t>American Express Company</t>
        </is>
      </c>
      <c r="E62" s="11" t="inlineStr">
        <is>
          <t>Credit Services</t>
        </is>
      </c>
      <c r="F62" s="9" t="inlineStr">
        <is>
          <t>USD</t>
        </is>
      </c>
      <c r="G62" s="11" t="inlineStr">
        <is>
          <t>25Q2 / 25Q3 / 25Q4 / 26Q1 / 26Q2</t>
        </is>
      </c>
      <c r="H62" s="12" t="n">
        <v>17856</v>
      </c>
      <c r="I62" s="12" t="n">
        <v>18426</v>
      </c>
      <c r="J62" s="12" t="n">
        <v>18981</v>
      </c>
      <c r="K62" s="12" t="n">
        <v>18908</v>
      </c>
      <c r="L62" s="12" t="n">
        <v>19637</v>
      </c>
      <c r="M62" s="13">
        <f>IF(OR(N(H62)=0,L62=""),"",L62/H62-1)</f>
        <v>0.09974238351254483</v>
      </c>
      <c r="N62" s="14" t="n"/>
      <c r="O62" s="14" t="n"/>
      <c r="P62" s="14" t="n"/>
      <c r="Q62" s="14" t="n"/>
      <c r="R62" s="13" t="str">
        <f>IF(OR(N(L62)=0,Q62=""),"",Q62/L62)</f>
        <v/>
      </c>
      <c r="S62" s="14" t="n"/>
      <c r="T62" s="13" t="str">
        <f>IF(OR(N(L62)=0,S62=""),"",S62/L62)</f>
        <v/>
      </c>
      <c r="U62" s="14" t="n">
        <v>3110</v>
      </c>
      <c r="V62" s="13">
        <f>IF(OR(N(L62)=0,U62=""),"",U62/L62)</f>
        <v>0.15837449712277843</v>
      </c>
      <c r="W62" s="14" t="n">
        <v>72230</v>
      </c>
      <c r="X62" s="14" t="n"/>
      <c r="Y62" s="13" t="str">
        <f>IF(OR(N(W62)=0,X62=""),"",X62/W62)</f>
        <v/>
      </c>
      <c r="Z62" s="11" t="str">
        <f>IF(AA62="A","四季持續盈利",IF(AA62="B","最新季為正/波動",IF(AA62="C","虧損收窄",IF(AA62="D","虧損擴大或轉虧","數據不足"))))</f>
        <v>數據不足</v>
      </c>
      <c r="AA62" s="9" t="str">
        <f>IF(COUNT(N62:Q62)&lt;4,"—",IF(MIN(N62:Q62)&gt;0,"A",IF(Q62&gt;0,"B",IF(Q62&gt;N62,"C","D"))))</f>
        <v>—</v>
      </c>
      <c r="AB62" s="9" t="inlineStr">
        <is>
          <t>2026-06-30</t>
        </is>
      </c>
    </row>
    <row r="63" ht="15" customHeight="1">
      <c r="A63" s="9" t="n">
        <v>62</v>
      </c>
      <c r="B63" s="10" t="inlineStr">
        <is>
          <t>AXTI</t>
        </is>
      </c>
      <c r="C63" s="11" t="inlineStr">
        <is>
          <t>—</t>
        </is>
      </c>
      <c r="D63" s="11" t="inlineStr">
        <is>
          <t>AXT, Inc.</t>
        </is>
      </c>
      <c r="E63" s="11" t="inlineStr">
        <is>
          <t>D9 光模塊上游</t>
        </is>
      </c>
      <c r="F63" s="9" t="inlineStr">
        <is>
          <t>USD</t>
        </is>
      </c>
      <c r="G63" s="11" t="inlineStr">
        <is>
          <t>25Q2 / 25Q3 / 25Q4 / 26Q1 / 26Q2</t>
        </is>
      </c>
      <c r="H63" s="12" t="n">
        <v>17.974</v>
      </c>
      <c r="I63" s="12" t="n">
        <v>27.955</v>
      </c>
      <c r="J63" s="12" t="n">
        <v>23.041</v>
      </c>
      <c r="K63" s="12" t="n">
        <v>26.924</v>
      </c>
      <c r="L63" s="12" t="n">
        <v>47.589</v>
      </c>
      <c r="M63" s="13">
        <f>IF(OR(N(H63)=0,L63=""),"",L63/H63-1)</f>
        <v>1.6476577278290865</v>
      </c>
      <c r="N63" s="14" t="n">
        <v>-1.123</v>
      </c>
      <c r="O63" s="14" t="n">
        <v>-2.472</v>
      </c>
      <c r="P63" s="14" t="n">
        <v>-1.585</v>
      </c>
      <c r="Q63" s="14" t="n">
        <v>10.423</v>
      </c>
      <c r="R63" s="13">
        <f>IF(OR(N(L63)=0,Q63=""),"",Q63/L63)</f>
        <v>0.21902120237870096</v>
      </c>
      <c r="S63" s="14" t="n">
        <v>21.366</v>
      </c>
      <c r="T63" s="13">
        <f>IF(OR(N(L63)=0,S63=""),"",S63/L63)</f>
        <v>0.4489692996280653</v>
      </c>
      <c r="U63" s="14" t="n">
        <v>11.128</v>
      </c>
      <c r="V63" s="13">
        <f>IF(OR(N(L63)=0,U63=""),"",U63/L63)</f>
        <v>0.23383555023219652</v>
      </c>
      <c r="W63" s="14" t="n">
        <v>88.32599999999999</v>
      </c>
      <c r="X63" s="14" t="n">
        <v>-20.615</v>
      </c>
      <c r="Y63" s="13">
        <f>IF(OR(N(W63)=0,X63=""),"",X63/W63)</f>
        <v>-0.23339673482326834</v>
      </c>
      <c r="Z63" s="11" t="str">
        <f>IF(AA63="A","四季持續盈利",IF(AA63="B","最新季為正/波動",IF(AA63="C","虧損收窄",IF(AA63="D","虧損擴大或轉虧","數據不足"))))</f>
        <v>最新季為正/波動</v>
      </c>
      <c r="AA63" s="9" t="str">
        <f>IF(COUNT(N63:Q63)&lt;4,"—",IF(MIN(N63:Q63)&gt;0,"A",IF(Q63&gt;0,"B",IF(Q63&gt;N63,"C","D"))))</f>
        <v>B</v>
      </c>
      <c r="AB63" s="9" t="inlineStr">
        <is>
          <t>2026-06-30</t>
        </is>
      </c>
    </row>
    <row r="64" ht="15" customHeight="1">
      <c r="A64" s="9" t="n">
        <v>63</v>
      </c>
      <c r="B64" s="10" t="inlineStr">
        <is>
          <t>BA</t>
        </is>
      </c>
      <c r="C64" s="11" t="inlineStr">
        <is>
          <t>航太與國防</t>
        </is>
      </c>
      <c r="D64" s="11" t="inlineStr">
        <is>
          <t>The Boeing Company</t>
        </is>
      </c>
      <c r="E64" s="11" t="inlineStr">
        <is>
          <t>Aerospace &amp; Defense</t>
        </is>
      </c>
      <c r="F64" s="9" t="inlineStr">
        <is>
          <t>USD</t>
        </is>
      </c>
      <c r="G64" s="11" t="inlineStr">
        <is>
          <t>25Q2 / 25Q3 / 25Q4 / 26Q1 / 26Q2</t>
        </is>
      </c>
      <c r="H64" s="12" t="n">
        <v>22749</v>
      </c>
      <c r="I64" s="12" t="n">
        <v>23270</v>
      </c>
      <c r="J64" s="12" t="n">
        <v>23948</v>
      </c>
      <c r="K64" s="12" t="n">
        <v>22217</v>
      </c>
      <c r="L64" s="12" t="n"/>
      <c r="M64" s="13" t="str">
        <f>IF(OR(N(H64)=0,L64=""),"",L64/H64-1)</f>
        <v/>
      </c>
      <c r="N64" s="14" t="n">
        <v>-4794</v>
      </c>
      <c r="O64" s="14" t="n">
        <v>-815</v>
      </c>
      <c r="P64" s="14" t="n">
        <v>446</v>
      </c>
      <c r="Q64" s="14" t="n"/>
      <c r="R64" s="13" t="str">
        <f>IF(OR(N(L64)=0,Q64=""),"",Q64/L64)</f>
        <v/>
      </c>
      <c r="S64" s="14" t="n"/>
      <c r="T64" s="13" t="str">
        <f>IF(OR(N(L64)=0,S64=""),"",S64/L64)</f>
        <v/>
      </c>
      <c r="U64" s="14" t="n"/>
      <c r="V64" s="13" t="str">
        <f>IF(OR(N(L64)=0,U64=""),"",U64/L64)</f>
        <v/>
      </c>
      <c r="W64" s="14" t="n">
        <v>89463</v>
      </c>
      <c r="X64" s="14" t="n">
        <v>-5416</v>
      </c>
      <c r="Y64" s="13">
        <f>IF(OR(N(W64)=0,X64=""),"",X64/W64)</f>
        <v>-0.06053899377396242</v>
      </c>
      <c r="Z64" s="11" t="str">
        <f>IF(AA64="A","四季持續盈利",IF(AA64="B","最新季為正/波動",IF(AA64="C","虧損收窄",IF(AA64="D","虧損擴大或轉虧","數據不足"))))</f>
        <v>數據不足</v>
      </c>
      <c r="AA64" s="9" t="str">
        <f>IF(COUNT(N64:Q64)&lt;4,"—",IF(MIN(N64:Q64)&gt;0,"A",IF(Q64&gt;0,"B",IF(Q64&gt;N64,"C","D"))))</f>
        <v>—</v>
      </c>
      <c r="AB64" s="9" t="inlineStr">
        <is>
          <t>2026-06-30</t>
        </is>
      </c>
    </row>
    <row r="65" ht="15" customHeight="1">
      <c r="A65" s="9" t="n">
        <v>64</v>
      </c>
      <c r="B65" s="10" t="inlineStr">
        <is>
          <t>BABA</t>
        </is>
      </c>
      <c r="C65" s="11" t="inlineStr">
        <is>
          <t>—</t>
        </is>
      </c>
      <c r="D65" s="11" t="inlineStr">
        <is>
          <t>Alibaba Group Holding Limited</t>
        </is>
      </c>
      <c r="E65" s="11" t="inlineStr">
        <is>
          <t>AA3 中國雲</t>
        </is>
      </c>
      <c r="F65" s="9" t="inlineStr">
        <is>
          <t>CNY</t>
        </is>
      </c>
      <c r="G65" s="11" t="inlineStr">
        <is>
          <t>25Q2 / 25Q3 / 25Q4 / 26Q1 / 26Q2</t>
        </is>
      </c>
      <c r="H65" s="12" t="n">
        <v>247652</v>
      </c>
      <c r="I65" s="12" t="n">
        <v>247795</v>
      </c>
      <c r="J65" s="12" t="n">
        <v>284843</v>
      </c>
      <c r="K65" s="12" t="n">
        <v>243380</v>
      </c>
      <c r="L65" s="12" t="n">
        <v>268953</v>
      </c>
      <c r="M65" s="13">
        <f>IF(OR(N(H65)=0,L65=""),"",L65/H65-1)</f>
        <v>0.0860118230420106</v>
      </c>
      <c r="N65" s="14" t="n">
        <v>5365</v>
      </c>
      <c r="O65" s="14" t="n">
        <v>20160</v>
      </c>
      <c r="P65" s="14" t="n">
        <v>-848</v>
      </c>
      <c r="Q65" s="14" t="n">
        <v>19619</v>
      </c>
      <c r="R65" s="13">
        <f>IF(OR(N(L65)=0,Q65=""),"",Q65/L65)</f>
        <v>0.07294583068417158</v>
      </c>
      <c r="S65" s="14" t="n">
        <v>102857</v>
      </c>
      <c r="T65" s="13">
        <f>IF(OR(N(L65)=0,S65=""),"",S65/L65)</f>
        <v>0.3824348492115723</v>
      </c>
      <c r="U65" s="14" t="n">
        <v>10614</v>
      </c>
      <c r="V65" s="13">
        <f>IF(OR(N(L65)=0,U65=""),"",U65/L65)</f>
        <v>0.03946414429286901</v>
      </c>
      <c r="W65" s="14" t="n">
        <v>1023670</v>
      </c>
      <c r="X65" s="14" t="n">
        <v>59665</v>
      </c>
      <c r="Y65" s="13">
        <f>IF(OR(N(W65)=0,X65=""),"",X65/W65)</f>
        <v>0.058285384938505574</v>
      </c>
      <c r="Z65" s="11" t="str">
        <f>IF(AA65="A","四季持續盈利",IF(AA65="B","最新季為正/波動",IF(AA65="C","虧損收窄",IF(AA65="D","虧損擴大或轉虧","數據不足"))))</f>
        <v>最新季為正/波動</v>
      </c>
      <c r="AA65" s="9" t="str">
        <f>IF(COUNT(N65:Q65)&lt;4,"—",IF(MIN(N65:Q65)&gt;0,"A",IF(Q65&gt;0,"B",IF(Q65&gt;N65,"C","D"))))</f>
        <v>B</v>
      </c>
      <c r="AB65" s="9" t="inlineStr">
        <is>
          <t>2026-06-30</t>
        </is>
      </c>
    </row>
    <row r="66" ht="15" customHeight="1">
      <c r="A66" s="9" t="n">
        <v>65</v>
      </c>
      <c r="B66" s="10" t="inlineStr">
        <is>
          <t>BAC</t>
        </is>
      </c>
      <c r="C66" s="11" t="inlineStr">
        <is>
          <t>大型全能銀行</t>
        </is>
      </c>
      <c r="D66" s="11" t="inlineStr">
        <is>
          <t>Bank of America Corporation</t>
        </is>
      </c>
      <c r="E66" s="11" t="inlineStr">
        <is>
          <t>Banks - Diversified</t>
        </is>
      </c>
      <c r="F66" s="9" t="inlineStr">
        <is>
          <t>USD</t>
        </is>
      </c>
      <c r="G66" s="11" t="inlineStr">
        <is>
          <t>25Q2 / 25Q3 / 25Q4 / 26Q1 / 26Q2</t>
        </is>
      </c>
      <c r="H66" s="12" t="n">
        <v>27443</v>
      </c>
      <c r="I66" s="12" t="n">
        <v>28088</v>
      </c>
      <c r="J66" s="12" t="n">
        <v>31180</v>
      </c>
      <c r="K66" s="12" t="n">
        <v>30272</v>
      </c>
      <c r="L66" s="12" t="n"/>
      <c r="M66" s="13" t="str">
        <f>IF(OR(N(H66)=0,L66=""),"",L66/H66-1)</f>
        <v/>
      </c>
      <c r="N66" s="14" t="n"/>
      <c r="O66" s="14" t="n"/>
      <c r="P66" s="14" t="n"/>
      <c r="Q66" s="14" t="n"/>
      <c r="R66" s="13" t="str">
        <f>IF(OR(N(L66)=0,Q66=""),"",Q66/L66)</f>
        <v/>
      </c>
      <c r="S66" s="14" t="n"/>
      <c r="T66" s="13" t="str">
        <f>IF(OR(N(L66)=0,S66=""),"",S66/L66)</f>
        <v/>
      </c>
      <c r="U66" s="14" t="n"/>
      <c r="V66" s="13" t="str">
        <f>IF(OR(N(L66)=0,U66=""),"",U66/L66)</f>
        <v/>
      </c>
      <c r="W66" s="14" t="n">
        <v>113097</v>
      </c>
      <c r="X66" s="14" t="n"/>
      <c r="Y66" s="13" t="str">
        <f>IF(OR(N(W66)=0,X66=""),"",X66/W66)</f>
        <v/>
      </c>
      <c r="Z66" s="11" t="str">
        <f>IF(AA66="A","四季持續盈利",IF(AA66="B","最新季為正/波動",IF(AA66="C","虧損收窄",IF(AA66="D","虧損擴大或轉虧","數據不足"))))</f>
        <v>數據不足</v>
      </c>
      <c r="AA66" s="9" t="str">
        <f>IF(COUNT(N66:Q66)&lt;4,"—",IF(MIN(N66:Q66)&gt;0,"A",IF(Q66&gt;0,"B",IF(Q66&gt;N66,"C","D"))))</f>
        <v>—</v>
      </c>
      <c r="AB66" s="9" t="inlineStr">
        <is>
          <t>2026-06-30</t>
        </is>
      </c>
    </row>
    <row r="67" ht="15" customHeight="1">
      <c r="A67" s="9" t="n">
        <v>66</v>
      </c>
      <c r="B67" s="10" t="inlineStr">
        <is>
          <t>BBY</t>
        </is>
      </c>
      <c r="C67" s="11" t="inlineStr">
        <is>
          <t>專門零售</t>
        </is>
      </c>
      <c r="D67" s="11" t="inlineStr">
        <is>
          <t>Best Buy Co., Inc.</t>
        </is>
      </c>
      <c r="E67" s="11" t="inlineStr">
        <is>
          <t>Specialty Retail</t>
        </is>
      </c>
      <c r="F67" s="9" t="inlineStr">
        <is>
          <t>USD</t>
        </is>
      </c>
      <c r="G67" s="11" t="inlineStr">
        <is>
          <t>25Q3 / 25Q4 / 26Q1 / 26Q2 / 26Q3</t>
        </is>
      </c>
      <c r="H67" s="12" t="n">
        <v>9438</v>
      </c>
      <c r="I67" s="12" t="n">
        <v>9672</v>
      </c>
      <c r="J67" s="12" t="n">
        <v>13814</v>
      </c>
      <c r="K67" s="12" t="n">
        <v>8936</v>
      </c>
      <c r="L67" s="12" t="n"/>
      <c r="M67" s="13" t="str">
        <f>IF(OR(N(H67)=0,L67=""),"",L67/H67-1)</f>
        <v/>
      </c>
      <c r="N67" s="14" t="n">
        <v>364</v>
      </c>
      <c r="O67" s="14" t="n">
        <v>693</v>
      </c>
      <c r="P67" s="14" t="n">
        <v>361</v>
      </c>
      <c r="Q67" s="14" t="n"/>
      <c r="R67" s="13" t="str">
        <f>IF(OR(N(L67)=0,Q67=""),"",Q67/L67)</f>
        <v/>
      </c>
      <c r="S67" s="14" t="n"/>
      <c r="T67" s="13" t="str">
        <f>IF(OR(N(L67)=0,S67=""),"",S67/L67)</f>
        <v/>
      </c>
      <c r="U67" s="14" t="n"/>
      <c r="V67" s="13" t="str">
        <f>IF(OR(N(L67)=0,U67=""),"",U67/L67)</f>
        <v/>
      </c>
      <c r="W67" s="14" t="n">
        <v>41691</v>
      </c>
      <c r="X67" s="14" t="n">
        <v>1750</v>
      </c>
      <c r="Y67" s="13">
        <f>IF(OR(N(W67)=0,X67=""),"",X67/W67)</f>
        <v>0.04197548631599146</v>
      </c>
      <c r="Z67" s="11" t="str">
        <f>IF(AA67="A","四季持續盈利",IF(AA67="B","最新季為正/波動",IF(AA67="C","虧損收窄",IF(AA67="D","虧損擴大或轉虧","數據不足"))))</f>
        <v>數據不足</v>
      </c>
      <c r="AA67" s="9" t="str">
        <f>IF(COUNT(N67:Q67)&lt;4,"—",IF(MIN(N67:Q67)&gt;0,"A",IF(Q67&gt;0,"B",IF(Q67&gt;N67,"C","D"))))</f>
        <v>—</v>
      </c>
      <c r="AB67" s="9" t="inlineStr">
        <is>
          <t>2026-07-31</t>
        </is>
      </c>
    </row>
    <row r="68" ht="15" customHeight="1">
      <c r="A68" s="9" t="n">
        <v>67</v>
      </c>
      <c r="B68" s="10" t="inlineStr">
        <is>
          <t>BC</t>
        </is>
      </c>
      <c r="C68" s="11" t="inlineStr">
        <is>
          <t>家居耐用與休閒用品</t>
        </is>
      </c>
      <c r="D68" s="11" t="inlineStr">
        <is>
          <t>Brunswick Corporation</t>
        </is>
      </c>
      <c r="E68" s="11" t="inlineStr">
        <is>
          <t>Recreational Vehicles</t>
        </is>
      </c>
      <c r="F68" s="9" t="inlineStr">
        <is>
          <t>USD</t>
        </is>
      </c>
      <c r="G68" s="11" t="inlineStr">
        <is>
          <t>25Q2 / 25Q3 / 25Q4 / 26Q1 / 26Q2</t>
        </is>
      </c>
      <c r="H68" s="12" t="n">
        <v>1447</v>
      </c>
      <c r="I68" s="12" t="n">
        <v>1360.2</v>
      </c>
      <c r="J68" s="12" t="n">
        <v>1333.8</v>
      </c>
      <c r="K68" s="12" t="n">
        <v>1378.1</v>
      </c>
      <c r="L68" s="12" t="n">
        <v>1557.8</v>
      </c>
      <c r="M68" s="13">
        <f>IF(OR(N(H68)=0,L68=""),"",L68/H68-1)</f>
        <v>0.07657221838286099</v>
      </c>
      <c r="N68" s="14" t="n">
        <v>91.59999999999999</v>
      </c>
      <c r="O68" s="14" t="n">
        <v>52.1</v>
      </c>
      <c r="P68" s="14" t="n">
        <v>55.1</v>
      </c>
      <c r="Q68" s="14" t="n">
        <v>136.4</v>
      </c>
      <c r="R68" s="13">
        <f>IF(OR(N(L68)=0,Q68=""),"",Q68/L68)</f>
        <v>0.08755937861086148</v>
      </c>
      <c r="S68" s="14" t="n">
        <v>437.8</v>
      </c>
      <c r="T68" s="13">
        <f>IF(OR(N(L68)=0,S68=""),"",S68/L68)</f>
        <v>0.28103736038002314</v>
      </c>
      <c r="U68" s="14" t="n">
        <v>109.8</v>
      </c>
      <c r="V68" s="13">
        <f>IF(OR(N(L68)=0,U68=""),"",U68/L68)</f>
        <v>0.07048401591988702</v>
      </c>
      <c r="W68" s="14" t="n">
        <v>5362.8</v>
      </c>
      <c r="X68" s="14" t="n">
        <v>312.4</v>
      </c>
      <c r="Y68" s="13">
        <f>IF(OR(N(W68)=0,X68=""),"",X68/W68)</f>
        <v>0.05825315133885283</v>
      </c>
      <c r="Z68" s="11" t="str">
        <f>IF(AA68="A","四季持續盈利",IF(AA68="B","最新季為正/波動",IF(AA68="C","虧損收窄",IF(AA68="D","虧損擴大或轉虧","數據不足"))))</f>
        <v>四季持續盈利</v>
      </c>
      <c r="AA68" s="9" t="str">
        <f>IF(COUNT(N68:Q68)&lt;4,"—",IF(MIN(N68:Q68)&gt;0,"A",IF(Q68&gt;0,"B",IF(Q68&gt;N68,"C","D"))))</f>
        <v>A</v>
      </c>
      <c r="AB68" s="9" t="inlineStr">
        <is>
          <t>2026-06-30</t>
        </is>
      </c>
    </row>
    <row r="69" ht="15" customHeight="1">
      <c r="A69" s="9" t="n">
        <v>68</v>
      </c>
      <c r="B69" s="10" t="inlineStr">
        <is>
          <t>BE</t>
        </is>
      </c>
      <c r="C69" s="11" t="inlineStr">
        <is>
          <t>—</t>
        </is>
      </c>
      <c r="D69" s="11" t="inlineStr">
        <is>
          <t>Bloom Energy Corporation</t>
        </is>
      </c>
      <c r="E69" s="11" t="inlineStr">
        <is>
          <t>F2 散熱液冷</t>
        </is>
      </c>
      <c r="F69" s="9" t="inlineStr">
        <is>
          <t>USD</t>
        </is>
      </c>
      <c r="G69" s="11" t="inlineStr">
        <is>
          <t>25Q2 / 25Q3 / 25Q4 / 26Q1 / 26Q2</t>
        </is>
      </c>
      <c r="H69" s="12" t="n">
        <v>401.242</v>
      </c>
      <c r="I69" s="12" t="n">
        <v>519.048</v>
      </c>
      <c r="J69" s="12" t="n">
        <v>777.683</v>
      </c>
      <c r="K69" s="12" t="n">
        <v>751.054</v>
      </c>
      <c r="L69" s="12" t="n">
        <v>1065.365</v>
      </c>
      <c r="M69" s="13">
        <f>IF(OR(N(H69)=0,L69=""),"",L69/H69-1)</f>
        <v>1.6551682027305215</v>
      </c>
      <c r="N69" s="14" t="n">
        <v>7.846</v>
      </c>
      <c r="O69" s="14" t="n">
        <v>87.529</v>
      </c>
      <c r="P69" s="14" t="n">
        <v>72.19</v>
      </c>
      <c r="Q69" s="14" t="n">
        <v>182.237</v>
      </c>
      <c r="R69" s="13">
        <f>IF(OR(N(L69)=0,Q69=""),"",Q69/L69)</f>
        <v>0.17105592918858795</v>
      </c>
      <c r="S69" s="14" t="n">
        <v>355.572</v>
      </c>
      <c r="T69" s="13">
        <f>IF(OR(N(L69)=0,S69=""),"",S69/L69)</f>
        <v>0.3337560366634909</v>
      </c>
      <c r="U69" s="14" t="n">
        <v>196.29</v>
      </c>
      <c r="V69" s="13">
        <f>IF(OR(N(L69)=0,U69=""),"",U69/L69)</f>
        <v>0.18424671356765052</v>
      </c>
      <c r="W69" s="14" t="n">
        <v>2023.994</v>
      </c>
      <c r="X69" s="14" t="n">
        <v>72.80200000000001</v>
      </c>
      <c r="Y69" s="13">
        <f>IF(OR(N(W69)=0,X69=""),"",X69/W69)</f>
        <v>0.03596947421780895</v>
      </c>
      <c r="Z69" s="11" t="str">
        <f>IF(AA69="A","四季持續盈利",IF(AA69="B","最新季為正/波動",IF(AA69="C","虧損收窄",IF(AA69="D","虧損擴大或轉虧","數據不足"))))</f>
        <v>四季持續盈利</v>
      </c>
      <c r="AA69" s="9" t="str">
        <f>IF(COUNT(N69:Q69)&lt;4,"—",IF(MIN(N69:Q69)&gt;0,"A",IF(Q69&gt;0,"B",IF(Q69&gt;N69,"C","D"))))</f>
        <v>A</v>
      </c>
      <c r="AB69" s="9" t="inlineStr">
        <is>
          <t>2026-06-30</t>
        </is>
      </c>
    </row>
    <row r="70" ht="15" customHeight="1">
      <c r="A70" s="9" t="n">
        <v>69</v>
      </c>
      <c r="B70" s="10" t="inlineStr">
        <is>
          <t>BEAM</t>
        </is>
      </c>
      <c r="C70" s="11" t="inlineStr">
        <is>
          <t>基因治療與基因編輯</t>
        </is>
      </c>
      <c r="D70" s="11" t="inlineStr">
        <is>
          <t>Beam Therapeutics Inc.</t>
        </is>
      </c>
      <c r="E70" s="11" t="inlineStr">
        <is>
          <t>Biotechnology</t>
        </is>
      </c>
      <c r="F70" s="9" t="inlineStr">
        <is>
          <t>USD</t>
        </is>
      </c>
      <c r="G70" s="11" t="inlineStr">
        <is>
          <t>25Q2 / 25Q3 / 25Q4 / 26Q1 / 26Q2</t>
        </is>
      </c>
      <c r="H70" s="12" t="n">
        <v>8.465999999999999</v>
      </c>
      <c r="I70" s="12" t="n">
        <v>9.698</v>
      </c>
      <c r="J70" s="12" t="n">
        <v>114.109</v>
      </c>
      <c r="K70" s="12" t="n">
        <v>31.738</v>
      </c>
      <c r="L70" s="12" t="n">
        <v>0.49</v>
      </c>
      <c r="M70" s="13">
        <f>IF(OR(N(H70)=0,L70=""),"",L70/H70-1)</f>
        <v>-0.9421214268840066</v>
      </c>
      <c r="N70" s="14" t="n">
        <v>-126.811</v>
      </c>
      <c r="O70" s="14" t="n">
        <v>-17.445</v>
      </c>
      <c r="P70" s="14" t="n">
        <v>-107.215</v>
      </c>
      <c r="Q70" s="14" t="n">
        <v>-126.553</v>
      </c>
      <c r="R70" s="13">
        <f>IF(OR(N(L70)=0,Q70=""),"",Q70/L70)</f>
        <v>-258.27142857142854</v>
      </c>
      <c r="S70" s="14" t="n"/>
      <c r="T70" s="13" t="str">
        <f>IF(OR(N(L70)=0,S70=""),"",S70/L70)</f>
        <v/>
      </c>
      <c r="U70" s="14" t="n">
        <v>-122.678</v>
      </c>
      <c r="V70" s="13">
        <f>IF(OR(N(L70)=0,U70=""),"",U70/L70)</f>
        <v>-250.36326530612246</v>
      </c>
      <c r="W70" s="14" t="n">
        <v>139.743</v>
      </c>
      <c r="X70" s="14" t="n">
        <v>-383.693</v>
      </c>
      <c r="Y70" s="13">
        <f>IF(OR(N(W70)=0,X70=""),"",X70/W70)</f>
        <v>-2.74570461490021</v>
      </c>
      <c r="Z70" s="11" t="str">
        <f>IF(AA70="A","四季持續盈利",IF(AA70="B","最新季為正/波動",IF(AA70="C","虧損收窄",IF(AA70="D","虧損擴大或轉虧","數據不足"))))</f>
        <v>虧損收窄</v>
      </c>
      <c r="AA70" s="9" t="str">
        <f>IF(COUNT(N70:Q70)&lt;4,"—",IF(MIN(N70:Q70)&gt;0,"A",IF(Q70&gt;0,"B",IF(Q70&gt;N70,"C","D"))))</f>
        <v>C</v>
      </c>
      <c r="AB70" s="9" t="inlineStr">
        <is>
          <t>2026-06-30</t>
        </is>
      </c>
    </row>
    <row r="71" ht="15" customHeight="1">
      <c r="A71" s="9" t="n">
        <v>70</v>
      </c>
      <c r="B71" s="10" t="inlineStr">
        <is>
          <t>BEN</t>
        </is>
      </c>
      <c r="C71" s="11" t="inlineStr">
        <is>
          <t>資產管理</t>
        </is>
      </c>
      <c r="D71" s="11" t="inlineStr">
        <is>
          <t>Franklin Templeton Inc.</t>
        </is>
      </c>
      <c r="E71" s="11" t="inlineStr">
        <is>
          <t>Asset Management</t>
        </is>
      </c>
      <c r="F71" s="9" t="inlineStr">
        <is>
          <t>USD</t>
        </is>
      </c>
      <c r="G71" s="11" t="inlineStr">
        <is>
          <t>25Q1 / 25Q2 / 25Q3 / 25Q4 / 26Q1</t>
        </is>
      </c>
      <c r="H71" s="12" t="n">
        <v>2111.4</v>
      </c>
      <c r="I71" s="12" t="n">
        <v>2064</v>
      </c>
      <c r="J71" s="12" t="n">
        <v>2343.7</v>
      </c>
      <c r="K71" s="12" t="n">
        <v>2327.1</v>
      </c>
      <c r="L71" s="12" t="n">
        <v>2294.9</v>
      </c>
      <c r="M71" s="13">
        <f>IF(OR(N(H71)=0,L71=""),"",L71/H71-1)</f>
        <v>0.08690915979918534</v>
      </c>
      <c r="N71" s="14" t="n">
        <v>204.1</v>
      </c>
      <c r="O71" s="14" t="n">
        <v>340.9</v>
      </c>
      <c r="P71" s="14" t="n">
        <v>368.5</v>
      </c>
      <c r="Q71" s="14" t="n">
        <v>365.4</v>
      </c>
      <c r="R71" s="13">
        <f>IF(OR(N(L71)=0,Q71=""),"",Q71/L71)</f>
        <v>0.15922262407948057</v>
      </c>
      <c r="S71" s="14" t="n">
        <v>1837.2</v>
      </c>
      <c r="T71" s="13">
        <f>IF(OR(N(L71)=0,S71=""),"",S71/L71)</f>
        <v>0.8005577585079959</v>
      </c>
      <c r="U71" s="14" t="n">
        <v>268.2</v>
      </c>
      <c r="V71" s="13">
        <f>IF(OR(N(L71)=0,U71=""),"",U71/L71)</f>
        <v>0.116867837378535</v>
      </c>
      <c r="W71" s="14" t="n">
        <v>8770.700000000001</v>
      </c>
      <c r="X71" s="14" t="n">
        <v>1099.8</v>
      </c>
      <c r="Y71" s="13">
        <f>IF(OR(N(W71)=0,X71=""),"",X71/W71)</f>
        <v>0.1253947803482048</v>
      </c>
      <c r="Z71" s="11" t="str">
        <f>IF(AA71="A","四季持續盈利",IF(AA71="B","最新季為正/波動",IF(AA71="C","虧損收窄",IF(AA71="D","虧損擴大或轉虧","數據不足"))))</f>
        <v>四季持續盈利</v>
      </c>
      <c r="AA71" s="9" t="str">
        <f>IF(COUNT(N71:Q71)&lt;4,"—",IF(MIN(N71:Q71)&gt;0,"A",IF(Q71&gt;0,"B",IF(Q71&gt;N71,"C","D"))))</f>
        <v>A</v>
      </c>
      <c r="AB71" s="9" t="inlineStr">
        <is>
          <t>2026-03-31</t>
        </is>
      </c>
    </row>
    <row r="72" ht="15" customHeight="1">
      <c r="A72" s="9" t="n">
        <v>71</v>
      </c>
      <c r="B72" s="10" t="inlineStr">
        <is>
          <t>BF.B</t>
        </is>
      </c>
      <c r="C72" s="11" t="inlineStr">
        <is>
          <t>酒精飲品</t>
        </is>
      </c>
      <c r="D72" s="11" t="inlineStr">
        <is>
          <t>Brown-Forman Corporation</t>
        </is>
      </c>
      <c r="E72" s="11" t="inlineStr">
        <is>
          <t>Beverages - Wineries &amp; Distilleries</t>
        </is>
      </c>
      <c r="F72" s="9" t="inlineStr">
        <is>
          <t>USD</t>
        </is>
      </c>
      <c r="G72" s="11" t="inlineStr">
        <is>
          <t>25Q3 / 25Q4 / 26Q1 / 26Q2 / 26Q3</t>
        </is>
      </c>
      <c r="H72" s="12" t="n">
        <v>924</v>
      </c>
      <c r="I72" s="12" t="n">
        <v>1036</v>
      </c>
      <c r="J72" s="12" t="n">
        <v>1056</v>
      </c>
      <c r="K72" s="12" t="n">
        <v>912</v>
      </c>
      <c r="L72" s="12" t="n"/>
      <c r="M72" s="13" t="str">
        <f>IF(OR(N(H72)=0,L72=""),"",L72/H72-1)</f>
        <v/>
      </c>
      <c r="N72" s="14" t="n">
        <v>309</v>
      </c>
      <c r="O72" s="14" t="n">
        <v>343</v>
      </c>
      <c r="P72" s="14" t="n">
        <v>228</v>
      </c>
      <c r="Q72" s="14" t="n"/>
      <c r="R72" s="13" t="str">
        <f>IF(OR(N(L72)=0,Q72=""),"",Q72/L72)</f>
        <v/>
      </c>
      <c r="S72" s="14" t="n"/>
      <c r="T72" s="13" t="str">
        <f>IF(OR(N(L72)=0,S72=""),"",S72/L72)</f>
        <v/>
      </c>
      <c r="U72" s="14" t="n"/>
      <c r="V72" s="13" t="str">
        <f>IF(OR(N(L72)=0,U72=""),"",U72/L72)</f>
        <v/>
      </c>
      <c r="W72" s="14" t="n">
        <v>3928</v>
      </c>
      <c r="X72" s="14" t="n">
        <v>1152</v>
      </c>
      <c r="Y72" s="13">
        <f>IF(OR(N(W72)=0,X72=""),"",X72/W72)</f>
        <v>0.29327902240325865</v>
      </c>
      <c r="Z72" s="11" t="str">
        <f>IF(AA72="A","四季持續盈利",IF(AA72="B","最新季為正/波動",IF(AA72="C","虧損收窄",IF(AA72="D","虧損擴大或轉虧","數據不足"))))</f>
        <v>數據不足</v>
      </c>
      <c r="AA72" s="9" t="str">
        <f>IF(COUNT(N72:Q72)&lt;4,"—",IF(MIN(N72:Q72)&gt;0,"A",IF(Q72&gt;0,"B",IF(Q72&gt;N72,"C","D"))))</f>
        <v>—</v>
      </c>
      <c r="AB72" s="9" t="inlineStr">
        <is>
          <t>2026-07-31</t>
        </is>
      </c>
    </row>
    <row r="73" ht="15" customHeight="1">
      <c r="A73" s="9" t="n">
        <v>72</v>
      </c>
      <c r="B73" s="10" t="inlineStr">
        <is>
          <t>BG</t>
        </is>
      </c>
      <c r="C73" s="11" t="inlineStr">
        <is>
          <t>農產品與農業投入</t>
        </is>
      </c>
      <c r="D73" s="11" t="inlineStr">
        <is>
          <t>Bunge Global SA</t>
        </is>
      </c>
      <c r="E73" s="11" t="inlineStr">
        <is>
          <t>Farm Products</t>
        </is>
      </c>
      <c r="F73" s="9" t="inlineStr">
        <is>
          <t>USD</t>
        </is>
      </c>
      <c r="G73" s="11" t="inlineStr">
        <is>
          <t>25Q2 / 25Q3 / 25Q4 / 26Q1 / 26Q2</t>
        </is>
      </c>
      <c r="H73" s="12" t="n">
        <v>12769</v>
      </c>
      <c r="I73" s="12" t="n">
        <v>22155</v>
      </c>
      <c r="J73" s="12" t="n">
        <v>23762</v>
      </c>
      <c r="K73" s="12" t="n">
        <v>21861</v>
      </c>
      <c r="L73" s="12" t="n">
        <v>24041</v>
      </c>
      <c r="M73" s="13">
        <f>IF(OR(N(H73)=0,L73=""),"",L73/H73-1)</f>
        <v>0.8827629414989429</v>
      </c>
      <c r="N73" s="14" t="n">
        <v>385</v>
      </c>
      <c r="O73" s="14" t="n">
        <v>374</v>
      </c>
      <c r="P73" s="14" t="n">
        <v>235</v>
      </c>
      <c r="Q73" s="14" t="n">
        <v>1075</v>
      </c>
      <c r="R73" s="13">
        <f>IF(OR(N(L73)=0,Q73=""),"",Q73/L73)</f>
        <v>0.044715278066636166</v>
      </c>
      <c r="S73" s="14" t="n">
        <v>1681</v>
      </c>
      <c r="T73" s="13">
        <f>IF(OR(N(L73)=0,S73=""),"",S73/L73)</f>
        <v>0.06992221621396781</v>
      </c>
      <c r="U73" s="14" t="n">
        <v>678</v>
      </c>
      <c r="V73" s="13">
        <f>IF(OR(N(L73)=0,U73=""),"",U73/L73)</f>
        <v>0.02820182188760867</v>
      </c>
      <c r="W73" s="14" t="n">
        <v>70329</v>
      </c>
      <c r="X73" s="14" t="n">
        <v>1296</v>
      </c>
      <c r="Y73" s="13">
        <f>IF(OR(N(W73)=0,X73=""),"",X73/W73)</f>
        <v>0.018427675638783433</v>
      </c>
      <c r="Z73" s="11" t="str">
        <f>IF(AA73="A","四季持續盈利",IF(AA73="B","最新季為正/波動",IF(AA73="C","虧損收窄",IF(AA73="D","虧損擴大或轉虧","數據不足"))))</f>
        <v>四季持續盈利</v>
      </c>
      <c r="AA73" s="9" t="str">
        <f>IF(COUNT(N73:Q73)&lt;4,"—",IF(MIN(N73:Q73)&gt;0,"A",IF(Q73&gt;0,"B",IF(Q73&gt;N73,"C","D"))))</f>
        <v>A</v>
      </c>
      <c r="AB73" s="9" t="inlineStr">
        <is>
          <t>2026-06-30</t>
        </is>
      </c>
    </row>
    <row r="74" ht="15" customHeight="1">
      <c r="A74" s="9" t="n">
        <v>73</v>
      </c>
      <c r="B74" s="10" t="inlineStr">
        <is>
          <t>BIDU</t>
        </is>
      </c>
      <c r="C74" s="11" t="inlineStr">
        <is>
          <t>—</t>
        </is>
      </c>
      <c r="D74" s="11" t="inlineStr">
        <is>
          <t>Baidu, Inc.</t>
        </is>
      </c>
      <c r="E74" s="11" t="inlineStr">
        <is>
          <t>AA3 中國雲</t>
        </is>
      </c>
      <c r="F74" s="9" t="inlineStr">
        <is>
          <t>CNY</t>
        </is>
      </c>
      <c r="G74" s="11" t="inlineStr">
        <is>
          <t>25Q2 / 25Q3 / 25Q4 / 26Q1 / 26Q2</t>
        </is>
      </c>
      <c r="H74" s="12" t="n">
        <v>32713</v>
      </c>
      <c r="I74" s="12" t="n">
        <v>31174</v>
      </c>
      <c r="J74" s="12" t="n">
        <v>32740</v>
      </c>
      <c r="K74" s="12" t="n">
        <v>32075</v>
      </c>
      <c r="L74" s="12" t="n">
        <v>31325</v>
      </c>
      <c r="M74" s="13">
        <f>IF(OR(N(H74)=0,L74=""),"",L74/H74-1)</f>
        <v>-0.04242961513771282</v>
      </c>
      <c r="N74" s="14" t="n">
        <v>1099</v>
      </c>
      <c r="O74" s="14" t="n">
        <v>1483</v>
      </c>
      <c r="P74" s="14" t="n">
        <v>3193</v>
      </c>
      <c r="Q74" s="14" t="n">
        <v>3024</v>
      </c>
      <c r="R74" s="13">
        <f>IF(OR(N(L74)=0,Q74=""),"",Q74/L74)</f>
        <v>0.09653631284916202</v>
      </c>
      <c r="S74" s="14" t="n">
        <v>12227</v>
      </c>
      <c r="T74" s="13">
        <f>IF(OR(N(L74)=0,S74=""),"",S74/L74)</f>
        <v>0.39032721468475656</v>
      </c>
      <c r="U74" s="14" t="n">
        <v>2319</v>
      </c>
      <c r="V74" s="13">
        <f>IF(OR(N(L74)=0,U74=""),"",U74/L74)</f>
        <v>0.07403032721468476</v>
      </c>
      <c r="W74" s="14" t="n">
        <v>129079</v>
      </c>
      <c r="X74" s="14" t="n">
        <v>10367</v>
      </c>
      <c r="Y74" s="13">
        <f>IF(OR(N(W74)=0,X74=""),"",X74/W74)</f>
        <v>0.08031515583479884</v>
      </c>
      <c r="Z74" s="11" t="str">
        <f>IF(AA74="A","四季持續盈利",IF(AA74="B","最新季為正/波動",IF(AA74="C","虧損收窄",IF(AA74="D","虧損擴大或轉虧","數據不足"))))</f>
        <v>四季持續盈利</v>
      </c>
      <c r="AA74" s="9" t="str">
        <f>IF(COUNT(N74:Q74)&lt;4,"—",IF(MIN(N74:Q74)&gt;0,"A",IF(Q74&gt;0,"B",IF(Q74&gt;N74,"C","D"))))</f>
        <v>A</v>
      </c>
      <c r="AB74" s="9" t="inlineStr">
        <is>
          <t>2026-06-30</t>
        </is>
      </c>
    </row>
    <row r="75" ht="15" customHeight="1">
      <c r="A75" s="9" t="n">
        <v>74</v>
      </c>
      <c r="B75" s="10" t="inlineStr">
        <is>
          <t>BIIB</t>
        </is>
      </c>
      <c r="C75" s="11" t="inlineStr">
        <is>
          <t>大型生物科技</t>
        </is>
      </c>
      <c r="D75" s="11" t="inlineStr">
        <is>
          <t>Biogen Inc.</t>
        </is>
      </c>
      <c r="E75" s="11" t="inlineStr">
        <is>
          <t>Drug Manufacturers - General</t>
        </is>
      </c>
      <c r="F75" s="9" t="inlineStr">
        <is>
          <t>USD</t>
        </is>
      </c>
      <c r="G75" s="11" t="inlineStr">
        <is>
          <t>25Q2 / 25Q3 / 25Q4 / 26Q1 / 26Q2</t>
        </is>
      </c>
      <c r="H75" s="12" t="n">
        <v>2645.5</v>
      </c>
      <c r="I75" s="12" t="n">
        <v>2534.7</v>
      </c>
      <c r="J75" s="12" t="n">
        <v>2279.4</v>
      </c>
      <c r="K75" s="12" t="n">
        <v>2477.8</v>
      </c>
      <c r="L75" s="12" t="n">
        <v>2736</v>
      </c>
      <c r="M75" s="13">
        <f>IF(OR(N(H75)=0,L75=""),"",L75/H75-1)</f>
        <v>0.034209034209034206</v>
      </c>
      <c r="N75" s="14" t="n">
        <v>606.5</v>
      </c>
      <c r="O75" s="14" t="n">
        <v>385.5</v>
      </c>
      <c r="P75" s="14" t="n">
        <v>459.8</v>
      </c>
      <c r="Q75" s="14" t="n">
        <v>482.8</v>
      </c>
      <c r="R75" s="13">
        <f>IF(OR(N(L75)=0,Q75=""),"",Q75/L75)</f>
        <v>0.17646198830409357</v>
      </c>
      <c r="S75" s="14" t="n">
        <v>1959.1</v>
      </c>
      <c r="T75" s="13">
        <f>IF(OR(N(L75)=0,S75=""),"",S75/L75)</f>
        <v>0.7160453216374268</v>
      </c>
      <c r="U75" s="14" t="n">
        <v>97.5</v>
      </c>
      <c r="V75" s="13">
        <f>IF(OR(N(L75)=0,U75=""),"",U75/L75)</f>
        <v>0.0356359649122807</v>
      </c>
      <c r="W75" s="14" t="n">
        <v>9890.6</v>
      </c>
      <c r="X75" s="14" t="n">
        <v>2469</v>
      </c>
      <c r="Y75" s="13">
        <f>IF(OR(N(W75)=0,X75=""),"",X75/W75)</f>
        <v>0.24963096273229127</v>
      </c>
      <c r="Z75" s="11" t="str">
        <f>IF(AA75="A","四季持續盈利",IF(AA75="B","最新季為正/波動",IF(AA75="C","虧損收窄",IF(AA75="D","虧損擴大或轉虧","數據不足"))))</f>
        <v>四季持續盈利</v>
      </c>
      <c r="AA75" s="9" t="str">
        <f>IF(COUNT(N75:Q75)&lt;4,"—",IF(MIN(N75:Q75)&gt;0,"A",IF(Q75&gt;0,"B",IF(Q75&gt;N75,"C","D"))))</f>
        <v>A</v>
      </c>
      <c r="AB75" s="9" t="inlineStr">
        <is>
          <t>2026-06-30</t>
        </is>
      </c>
    </row>
    <row r="76" ht="15" customHeight="1">
      <c r="A76" s="9" t="n">
        <v>75</v>
      </c>
      <c r="B76" s="10" t="inlineStr">
        <is>
          <t>BJ</t>
        </is>
      </c>
      <c r="C76" s="11" t="inlineStr">
        <is>
          <t>大賣場與超巿</t>
        </is>
      </c>
      <c r="D76" s="11" t="inlineStr">
        <is>
          <t>BJ's Wholesale Club Holdings, Inc.</t>
        </is>
      </c>
      <c r="E76" s="11" t="inlineStr">
        <is>
          <t>Discount Stores</t>
        </is>
      </c>
      <c r="F76" s="9" t="inlineStr">
        <is>
          <t>USD</t>
        </is>
      </c>
      <c r="G76" s="11" t="inlineStr">
        <is>
          <t>25Q3 / 25Q4 / 26Q1 / 26Q2 / 26Q3</t>
        </is>
      </c>
      <c r="H76" s="12" t="n">
        <v>5380.24</v>
      </c>
      <c r="I76" s="12" t="n">
        <v>5348.163</v>
      </c>
      <c r="J76" s="12" t="n">
        <v>5575.388</v>
      </c>
      <c r="K76" s="12" t="n">
        <v>5661.5</v>
      </c>
      <c r="L76" s="12" t="n">
        <v>6226.579</v>
      </c>
      <c r="M76" s="13">
        <f>IF(OR(N(H76)=0,L76=""),"",L76/H76-1)</f>
        <v>0.15730506445809112</v>
      </c>
      <c r="N76" s="14" t="n">
        <v>226.186</v>
      </c>
      <c r="O76" s="14" t="n">
        <v>191.423</v>
      </c>
      <c r="P76" s="14" t="n">
        <v>221.891</v>
      </c>
      <c r="Q76" s="14" t="n">
        <v>258.793</v>
      </c>
      <c r="R76" s="13">
        <f>IF(OR(N(L76)=0,Q76=""),"",Q76/L76)</f>
        <v>0.04156263013767271</v>
      </c>
      <c r="S76" s="14" t="n">
        <v>1109.999</v>
      </c>
      <c r="T76" s="13">
        <f>IF(OR(N(L76)=0,S76=""),"",S76/L76)</f>
        <v>0.17826787389993767</v>
      </c>
      <c r="U76" s="14" t="n">
        <v>173.867</v>
      </c>
      <c r="V76" s="13">
        <f>IF(OR(N(L76)=0,U76=""),"",U76/L76)</f>
        <v>0.027923358878125533</v>
      </c>
      <c r="W76" s="14" t="n">
        <v>21457.274</v>
      </c>
      <c r="X76" s="14" t="n">
        <v>846.045</v>
      </c>
      <c r="Y76" s="13">
        <f>IF(OR(N(W76)=0,X76=""),"",X76/W76)</f>
        <v>0.039429286311019746</v>
      </c>
      <c r="Z76" s="11" t="str">
        <f>IF(AA76="A","四季持續盈利",IF(AA76="B","最新季為正/波動",IF(AA76="C","虧損收窄",IF(AA76="D","虧損擴大或轉虧","數據不足"))))</f>
        <v>四季持續盈利</v>
      </c>
      <c r="AA76" s="9" t="str">
        <f>IF(COUNT(N76:Q76)&lt;4,"—",IF(MIN(N76:Q76)&gt;0,"A",IF(Q76&gt;0,"B",IF(Q76&gt;N76,"C","D"))))</f>
        <v>A</v>
      </c>
      <c r="AB76" s="9" t="inlineStr">
        <is>
          <t>2026-07-31</t>
        </is>
      </c>
    </row>
    <row r="77" ht="15" customHeight="1">
      <c r="A77" s="9" t="n">
        <v>76</v>
      </c>
      <c r="B77" s="10" t="inlineStr">
        <is>
          <t>BKR</t>
        </is>
      </c>
      <c r="C77" s="11" t="inlineStr">
        <is>
          <t>油田服務</t>
        </is>
      </c>
      <c r="D77" s="11" t="inlineStr">
        <is>
          <t>Baker Hughes Company</t>
        </is>
      </c>
      <c r="E77" s="11" t="inlineStr">
        <is>
          <t>Oil &amp; Gas Equipment &amp; Services</t>
        </is>
      </c>
      <c r="F77" s="9" t="inlineStr">
        <is>
          <t>USD</t>
        </is>
      </c>
      <c r="G77" s="11" t="inlineStr">
        <is>
          <t>25Q2 / 25Q3 / 25Q4 / 26Q1 / 26Q2</t>
        </is>
      </c>
      <c r="H77" s="12" t="n">
        <v>6910</v>
      </c>
      <c r="I77" s="12" t="n">
        <v>7010</v>
      </c>
      <c r="J77" s="12" t="n">
        <v>7386</v>
      </c>
      <c r="K77" s="12" t="n">
        <v>6587</v>
      </c>
      <c r="L77" s="12" t="n">
        <v>6742</v>
      </c>
      <c r="M77" s="13">
        <f>IF(OR(N(H77)=0,L77=""),"",L77/H77-1)</f>
        <v>-0.024312590448625215</v>
      </c>
      <c r="N77" s="14" t="n">
        <v>948</v>
      </c>
      <c r="O77" s="14" t="n">
        <v>970</v>
      </c>
      <c r="P77" s="14" t="n">
        <v>809</v>
      </c>
      <c r="Q77" s="14" t="n">
        <v>865</v>
      </c>
      <c r="R77" s="13">
        <f>IF(OR(N(L77)=0,Q77=""),"",Q77/L77)</f>
        <v>0.12830020765351527</v>
      </c>
      <c r="S77" s="14" t="n">
        <v>1577</v>
      </c>
      <c r="T77" s="13">
        <f>IF(OR(N(L77)=0,S77=""),"",S77/L77)</f>
        <v>0.23390685256600416</v>
      </c>
      <c r="U77" s="14" t="n">
        <v>681</v>
      </c>
      <c r="V77" s="13">
        <f>IF(OR(N(L77)=0,U77=""),"",U77/L77)</f>
        <v>0.10100860278849007</v>
      </c>
      <c r="W77" s="14" t="n">
        <v>27733</v>
      </c>
      <c r="X77" s="14" t="n">
        <v>3557</v>
      </c>
      <c r="Y77" s="13">
        <f>IF(OR(N(W77)=0,X77=""),"",X77/W77)</f>
        <v>0.12825875311001333</v>
      </c>
      <c r="Z77" s="11" t="str">
        <f>IF(AA77="A","四季持續盈利",IF(AA77="B","最新季為正/波動",IF(AA77="C","虧損收窄",IF(AA77="D","虧損擴大或轉虧","數據不足"))))</f>
        <v>四季持續盈利</v>
      </c>
      <c r="AA77" s="9" t="str">
        <f>IF(COUNT(N77:Q77)&lt;4,"—",IF(MIN(N77:Q77)&gt;0,"A",IF(Q77&gt;0,"B",IF(Q77&gt;N77,"C","D"))))</f>
        <v>A</v>
      </c>
      <c r="AB77" s="9" t="inlineStr">
        <is>
          <t>2026-06-30</t>
        </is>
      </c>
    </row>
    <row r="78" ht="15" customHeight="1">
      <c r="A78" s="9" t="n">
        <v>77</v>
      </c>
      <c r="B78" s="10" t="inlineStr">
        <is>
          <t>BLK</t>
        </is>
      </c>
      <c r="C78" s="11" t="inlineStr">
        <is>
          <t>資產管理</t>
        </is>
      </c>
      <c r="D78" s="11" t="inlineStr">
        <is>
          <t>BlackRock, Inc.</t>
        </is>
      </c>
      <c r="E78" s="11" t="inlineStr">
        <is>
          <t>Asset Management</t>
        </is>
      </c>
      <c r="F78" s="9" t="inlineStr">
        <is>
          <t>USD</t>
        </is>
      </c>
      <c r="G78" s="11" t="inlineStr">
        <is>
          <t>25Q2 / 25Q3 / 25Q4 / 26Q1 / 26Q2</t>
        </is>
      </c>
      <c r="H78" s="12" t="n">
        <v>5423</v>
      </c>
      <c r="I78" s="12" t="n">
        <v>6509</v>
      </c>
      <c r="J78" s="12" t="n">
        <v>7008</v>
      </c>
      <c r="K78" s="12" t="n">
        <v>6698</v>
      </c>
      <c r="L78" s="12" t="n">
        <v>7084</v>
      </c>
      <c r="M78" s="13">
        <f>IF(OR(N(H78)=0,L78=""),"",L78/H78-1)</f>
        <v>0.3062880324543611</v>
      </c>
      <c r="N78" s="14" t="n">
        <v>2045</v>
      </c>
      <c r="O78" s="14" t="n">
        <v>2228</v>
      </c>
      <c r="P78" s="14" t="n">
        <v>2261</v>
      </c>
      <c r="Q78" s="14" t="n">
        <v>2472</v>
      </c>
      <c r="R78" s="13">
        <f>IF(OR(N(L78)=0,Q78=""),"",Q78/L78)</f>
        <v>0.3489553924336533</v>
      </c>
      <c r="S78" s="14" t="n">
        <v>3468</v>
      </c>
      <c r="T78" s="13">
        <f>IF(OR(N(L78)=0,S78=""),"",S78/L78)</f>
        <v>0.48955392433653305</v>
      </c>
      <c r="U78" s="14" t="n">
        <v>1914</v>
      </c>
      <c r="V78" s="13">
        <f>IF(OR(N(L78)=0,U78=""),"",U78/L78)</f>
        <v>0.2701863354037267</v>
      </c>
      <c r="W78" s="14" t="n">
        <v>24216</v>
      </c>
      <c r="X78" s="14" t="n">
        <v>7909</v>
      </c>
      <c r="Y78" s="13">
        <f>IF(OR(N(W78)=0,X78=""),"",X78/W78)</f>
        <v>0.326602246448629</v>
      </c>
      <c r="Z78" s="11" t="str">
        <f>IF(AA78="A","四季持續盈利",IF(AA78="B","最新季為正/波動",IF(AA78="C","虧損收窄",IF(AA78="D","虧損擴大或轉虧","數據不足"))))</f>
        <v>四季持續盈利</v>
      </c>
      <c r="AA78" s="9" t="str">
        <f>IF(COUNT(N78:Q78)&lt;4,"—",IF(MIN(N78:Q78)&gt;0,"A",IF(Q78&gt;0,"B",IF(Q78&gt;N78,"C","D"))))</f>
        <v>A</v>
      </c>
      <c r="AB78" s="9" t="inlineStr">
        <is>
          <t>2026-06-30</t>
        </is>
      </c>
    </row>
    <row r="79" ht="15" customHeight="1">
      <c r="A79" s="9" t="n">
        <v>78</v>
      </c>
      <c r="B79" s="10" t="inlineStr">
        <is>
          <t>BMY</t>
        </is>
      </c>
      <c r="C79" s="11" t="inlineStr">
        <is>
          <t>大型藥廠</t>
        </is>
      </c>
      <c r="D79" s="11" t="inlineStr">
        <is>
          <t>Bristol-Myers Squibb Company</t>
        </is>
      </c>
      <c r="E79" s="11" t="inlineStr">
        <is>
          <t>Drug Manufacturers - General</t>
        </is>
      </c>
      <c r="F79" s="9" t="inlineStr">
        <is>
          <t>USD</t>
        </is>
      </c>
      <c r="G79" s="11" t="inlineStr">
        <is>
          <t>25Q2 / 25Q3 / 25Q4 / 26Q1 / 26Q2</t>
        </is>
      </c>
      <c r="H79" s="12" t="n">
        <v>12269</v>
      </c>
      <c r="I79" s="12" t="n">
        <v>12222</v>
      </c>
      <c r="J79" s="12" t="n">
        <v>12503</v>
      </c>
      <c r="K79" s="12" t="n">
        <v>11489</v>
      </c>
      <c r="L79" s="12" t="n">
        <v>12973</v>
      </c>
      <c r="M79" s="13">
        <f>IF(OR(N(H79)=0,L79=""),"",L79/H79-1)</f>
        <v>0.057380389599804404</v>
      </c>
      <c r="N79" s="14" t="n">
        <v>3639</v>
      </c>
      <c r="O79" s="14" t="n">
        <v>2813</v>
      </c>
      <c r="P79" s="14" t="n">
        <v>3365</v>
      </c>
      <c r="Q79" s="14" t="n">
        <v>4025</v>
      </c>
      <c r="R79" s="13">
        <f>IF(OR(N(L79)=0,Q79=""),"",Q79/L79)</f>
        <v>0.31025977029214524</v>
      </c>
      <c r="S79" s="14" t="n">
        <v>9247</v>
      </c>
      <c r="T79" s="13">
        <f>IF(OR(N(L79)=0,S79=""),"",S79/L79)</f>
        <v>0.7127880983581284</v>
      </c>
      <c r="U79" s="14" t="n">
        <v>3317</v>
      </c>
      <c r="V79" s="13">
        <f>IF(OR(N(L79)=0,U79=""),"",U79/L79)</f>
        <v>0.25568488398982503</v>
      </c>
      <c r="W79" s="14" t="n">
        <v>48195</v>
      </c>
      <c r="X79" s="14" t="n">
        <v>13724</v>
      </c>
      <c r="Y79" s="13">
        <f>IF(OR(N(W79)=0,X79=""),"",X79/W79)</f>
        <v>0.2847598298578691</v>
      </c>
      <c r="Z79" s="11" t="str">
        <f>IF(AA79="A","四季持續盈利",IF(AA79="B","最新季為正/波動",IF(AA79="C","虧損收窄",IF(AA79="D","虧損擴大或轉虧","數據不足"))))</f>
        <v>四季持續盈利</v>
      </c>
      <c r="AA79" s="9" t="str">
        <f>IF(COUNT(N79:Q79)&lt;4,"—",IF(MIN(N79:Q79)&gt;0,"A",IF(Q79&gt;0,"B",IF(Q79&gt;N79,"C","D"))))</f>
        <v>A</v>
      </c>
      <c r="AB79" s="9" t="inlineStr">
        <is>
          <t>2026-06-30</t>
        </is>
      </c>
    </row>
    <row r="80" ht="15" customHeight="1">
      <c r="A80" s="9" t="n">
        <v>79</v>
      </c>
      <c r="B80" s="10" t="inlineStr">
        <is>
          <t>BRO</t>
        </is>
      </c>
      <c r="C80" s="11" t="inlineStr">
        <is>
          <t>保險經紀</t>
        </is>
      </c>
      <c r="D80" s="11" t="inlineStr">
        <is>
          <t>Brown &amp; Brown, Inc.</t>
        </is>
      </c>
      <c r="E80" s="11" t="inlineStr">
        <is>
          <t>Insurance Brokers</t>
        </is>
      </c>
      <c r="F80" s="9" t="inlineStr">
        <is>
          <t>USD</t>
        </is>
      </c>
      <c r="G80" s="11" t="inlineStr">
        <is>
          <t>25Q2 / 25Q3 / 25Q4 / 26Q1 / 26Q2</t>
        </is>
      </c>
      <c r="H80" s="12" t="n">
        <v>1249</v>
      </c>
      <c r="I80" s="12" t="n">
        <v>1550</v>
      </c>
      <c r="J80" s="12" t="n">
        <v>1580</v>
      </c>
      <c r="K80" s="12" t="n">
        <v>1880</v>
      </c>
      <c r="L80" s="12" t="n">
        <v>1654</v>
      </c>
      <c r="M80" s="13">
        <f>IF(OR(N(H80)=0,L80=""),"",L80/H80-1)</f>
        <v>0.3242594075260208</v>
      </c>
      <c r="N80" s="14" t="n">
        <v>374</v>
      </c>
      <c r="O80" s="14" t="n">
        <v>340</v>
      </c>
      <c r="P80" s="14" t="n">
        <v>551</v>
      </c>
      <c r="Q80" s="14" t="n">
        <v>417</v>
      </c>
      <c r="R80" s="13">
        <f>IF(OR(N(L80)=0,Q80=""),"",Q80/L80)</f>
        <v>0.25211608222490933</v>
      </c>
      <c r="S80" s="14" t="n">
        <v>816</v>
      </c>
      <c r="T80" s="13">
        <f>IF(OR(N(L80)=0,S80=""),"",S80/L80)</f>
        <v>0.49334945586457074</v>
      </c>
      <c r="U80" s="14" t="n">
        <v>288</v>
      </c>
      <c r="V80" s="13">
        <f>IF(OR(N(L80)=0,U80=""),"",U80/L80)</f>
        <v>0.17412333736396615</v>
      </c>
      <c r="W80" s="14" t="n">
        <v>5763</v>
      </c>
      <c r="X80" s="14" t="n">
        <v>1502</v>
      </c>
      <c r="Y80" s="13">
        <f>IF(OR(N(W80)=0,X80=""),"",X80/W80)</f>
        <v>0.2606281450633351</v>
      </c>
      <c r="Z80" s="11" t="str">
        <f>IF(AA80="A","四季持續盈利",IF(AA80="B","最新季為正/波動",IF(AA80="C","虧損收窄",IF(AA80="D","虧損擴大或轉虧","數據不足"))))</f>
        <v>四季持續盈利</v>
      </c>
      <c r="AA80" s="9" t="str">
        <f>IF(COUNT(N80:Q80)&lt;4,"—",IF(MIN(N80:Q80)&gt;0,"A",IF(Q80&gt;0,"B",IF(Q80&gt;N80,"C","D"))))</f>
        <v>A</v>
      </c>
      <c r="AB80" s="9" t="inlineStr">
        <is>
          <t>2026-06-30</t>
        </is>
      </c>
    </row>
    <row r="81" ht="15" customHeight="1">
      <c r="A81" s="9" t="n">
        <v>80</v>
      </c>
      <c r="B81" s="10" t="inlineStr">
        <is>
          <t>BSX</t>
        </is>
      </c>
      <c r="C81" s="11" t="inlineStr">
        <is>
          <t>醫療器械</t>
        </is>
      </c>
      <c r="D81" s="11" t="inlineStr">
        <is>
          <t>Boston Scientific Corporation</t>
        </is>
      </c>
      <c r="E81" s="11" t="inlineStr">
        <is>
          <t>Medical Devices</t>
        </is>
      </c>
      <c r="F81" s="9" t="inlineStr">
        <is>
          <t>USD</t>
        </is>
      </c>
      <c r="G81" s="11" t="inlineStr">
        <is>
          <t>25Q2 / 25Q3 / 25Q4 / 26Q1 / 26Q2</t>
        </is>
      </c>
      <c r="H81" s="12" t="n">
        <v>5061</v>
      </c>
      <c r="I81" s="12" t="n">
        <v>5065</v>
      </c>
      <c r="J81" s="12" t="n">
        <v>5286</v>
      </c>
      <c r="K81" s="12" t="n">
        <v>5203</v>
      </c>
      <c r="L81" s="12" t="n"/>
      <c r="M81" s="13" t="str">
        <f>IF(OR(N(H81)=0,L81=""),"",L81/H81-1)</f>
        <v/>
      </c>
      <c r="N81" s="14" t="n">
        <v>1050</v>
      </c>
      <c r="O81" s="14" t="n">
        <v>1041</v>
      </c>
      <c r="P81" s="14" t="n">
        <v>1072</v>
      </c>
      <c r="Q81" s="14" t="n"/>
      <c r="R81" s="13" t="str">
        <f>IF(OR(N(L81)=0,Q81=""),"",Q81/L81)</f>
        <v/>
      </c>
      <c r="S81" s="14" t="n"/>
      <c r="T81" s="13" t="str">
        <f>IF(OR(N(L81)=0,S81=""),"",S81/L81)</f>
        <v/>
      </c>
      <c r="U81" s="14" t="n"/>
      <c r="V81" s="13" t="str">
        <f>IF(OR(N(L81)=0,U81=""),"",U81/L81)</f>
        <v/>
      </c>
      <c r="W81" s="14" t="n">
        <v>20074</v>
      </c>
      <c r="X81" s="14" t="n">
        <v>3971</v>
      </c>
      <c r="Y81" s="13">
        <f>IF(OR(N(W81)=0,X81=""),"",X81/W81)</f>
        <v>0.19781807312942115</v>
      </c>
      <c r="Z81" s="11" t="str">
        <f>IF(AA81="A","四季持續盈利",IF(AA81="B","最新季為正/波動",IF(AA81="C","虧損收窄",IF(AA81="D","虧損擴大或轉虧","數據不足"))))</f>
        <v>數據不足</v>
      </c>
      <c r="AA81" s="9" t="str">
        <f>IF(COUNT(N81:Q81)&lt;4,"—",IF(MIN(N81:Q81)&gt;0,"A",IF(Q81&gt;0,"B",IF(Q81&gt;N81,"C","D"))))</f>
        <v>—</v>
      </c>
      <c r="AB81" s="9" t="inlineStr">
        <is>
          <t>2026-06-30</t>
        </is>
      </c>
    </row>
    <row r="82" ht="15" customHeight="1">
      <c r="A82" s="9" t="n">
        <v>81</v>
      </c>
      <c r="B82" s="10" t="inlineStr">
        <is>
          <t>BTU</t>
        </is>
      </c>
      <c r="C82" s="11" t="inlineStr">
        <is>
          <t>煤炭</t>
        </is>
      </c>
      <c r="D82" s="11" t="inlineStr">
        <is>
          <t>Peabody Energy Corporation</t>
        </is>
      </c>
      <c r="E82" s="11" t="inlineStr">
        <is>
          <t>Thermal Coal</t>
        </is>
      </c>
      <c r="F82" s="9" t="inlineStr">
        <is>
          <t>USD</t>
        </is>
      </c>
      <c r="G82" s="11" t="inlineStr">
        <is>
          <t>25Q2 / 25Q3 / 25Q4 / 26Q1 / 26Q2</t>
        </is>
      </c>
      <c r="H82" s="12" t="n">
        <v>890.1</v>
      </c>
      <c r="I82" s="12" t="n">
        <v>1012.1</v>
      </c>
      <c r="J82" s="12" t="n">
        <v>1022.3</v>
      </c>
      <c r="K82" s="12" t="n">
        <v>973.3</v>
      </c>
      <c r="L82" s="12" t="n">
        <v>1003.2</v>
      </c>
      <c r="M82" s="13">
        <f>IF(OR(N(H82)=0,L82=""),"",L82/H82-1)</f>
        <v>0.12706437478934962</v>
      </c>
      <c r="N82" s="14" t="n">
        <v>-26.1</v>
      </c>
      <c r="O82" s="14" t="n">
        <v>13.6</v>
      </c>
      <c r="P82" s="14" t="n">
        <v>-46.1</v>
      </c>
      <c r="Q82" s="14" t="n">
        <v>-95.3</v>
      </c>
      <c r="R82" s="13">
        <f>IF(OR(N(L82)=0,Q82=""),"",Q82/L82)</f>
        <v>-0.09499601275917065</v>
      </c>
      <c r="S82" s="14" t="n">
        <v>49.3</v>
      </c>
      <c r="T82" s="13">
        <f>IF(OR(N(L82)=0,S82=""),"",S82/L82)</f>
        <v>0.049142743221690585</v>
      </c>
      <c r="U82" s="14" t="n">
        <v>-90.59999999999999</v>
      </c>
      <c r="V82" s="13">
        <f>IF(OR(N(L82)=0,U82=""),"",U82/L82)</f>
        <v>-0.09031100478468898</v>
      </c>
      <c r="W82" s="14" t="n">
        <v>3861.5</v>
      </c>
      <c r="X82" s="14" t="n">
        <v>-5</v>
      </c>
      <c r="Y82" s="13">
        <f>IF(OR(N(W82)=0,X82=""),"",X82/W82)</f>
        <v>-0.0012948336138806163</v>
      </c>
      <c r="Z82" s="11" t="str">
        <f>IF(AA82="A","四季持續盈利",IF(AA82="B","最新季為正/波動",IF(AA82="C","虧損收窄",IF(AA82="D","虧損擴大或轉虧","數據不足"))))</f>
        <v>虧損擴大或轉虧</v>
      </c>
      <c r="AA82" s="9" t="str">
        <f>IF(COUNT(N82:Q82)&lt;4,"—",IF(MIN(N82:Q82)&gt;0,"A",IF(Q82&gt;0,"B",IF(Q82&gt;N82,"C","D"))))</f>
        <v>D</v>
      </c>
      <c r="AB82" s="9" t="inlineStr">
        <is>
          <t>2026-06-30</t>
        </is>
      </c>
    </row>
    <row r="83" ht="15" customHeight="1">
      <c r="A83" s="9" t="n">
        <v>82</v>
      </c>
      <c r="B83" s="10" t="inlineStr">
        <is>
          <t>BWXT</t>
        </is>
      </c>
      <c r="C83" s="11" t="inlineStr">
        <is>
          <t>—</t>
        </is>
      </c>
      <c r="D83" s="11" t="inlineStr">
        <is>
          <t>BWX Technologies, Inc.</t>
        </is>
      </c>
      <c r="E83" s="11" t="inlineStr">
        <is>
          <t>F3 能源</t>
        </is>
      </c>
      <c r="F83" s="9" t="inlineStr">
        <is>
          <t>USD</t>
        </is>
      </c>
      <c r="G83" s="11" t="inlineStr">
        <is>
          <t>25Q2 / 25Q3 / 25Q4 / 26Q1 / 26Q2</t>
        </is>
      </c>
      <c r="H83" s="12" t="n">
        <v>764.039</v>
      </c>
      <c r="I83" s="12" t="n">
        <v>866.2859999999999</v>
      </c>
      <c r="J83" s="12" t="n">
        <v>885.842</v>
      </c>
      <c r="K83" s="12" t="n">
        <v>860.217</v>
      </c>
      <c r="L83" s="12" t="n">
        <v>901.625</v>
      </c>
      <c r="M83" s="13">
        <f>IF(OR(N(H83)=0,L83=""),"",L83/H83-1)</f>
        <v>0.18007719501229658</v>
      </c>
      <c r="N83" s="14" t="n">
        <v>92.134</v>
      </c>
      <c r="O83" s="14" t="n">
        <v>72.93899999999999</v>
      </c>
      <c r="P83" s="14" t="n">
        <v>85.251</v>
      </c>
      <c r="Q83" s="14" t="n">
        <v>89.706</v>
      </c>
      <c r="R83" s="13">
        <f>IF(OR(N(L83)=0,Q83=""),"",Q83/L83)</f>
        <v>0.09949369194509913</v>
      </c>
      <c r="S83" s="14" t="n">
        <v>202.305</v>
      </c>
      <c r="T83" s="13">
        <f>IF(OR(N(L83)=0,S83=""),"",S83/L83)</f>
        <v>0.2243782060169139</v>
      </c>
      <c r="U83" s="14" t="n">
        <v>89.014</v>
      </c>
      <c r="V83" s="13">
        <f>IF(OR(N(L83)=0,U83=""),"",U83/L83)</f>
        <v>0.09872618882573131</v>
      </c>
      <c r="W83" s="14" t="n">
        <v>3198.425</v>
      </c>
      <c r="X83" s="14" t="n">
        <v>324.576</v>
      </c>
      <c r="Y83" s="13">
        <f>IF(OR(N(W83)=0,X83=""),"",X83/W83)</f>
        <v>0.10147994716149356</v>
      </c>
      <c r="Z83" s="11" t="str">
        <f>IF(AA83="A","四季持續盈利",IF(AA83="B","最新季為正/波動",IF(AA83="C","虧損收窄",IF(AA83="D","虧損擴大或轉虧","數據不足"))))</f>
        <v>四季持續盈利</v>
      </c>
      <c r="AA83" s="9" t="str">
        <f>IF(COUNT(N83:Q83)&lt;4,"—",IF(MIN(N83:Q83)&gt;0,"A",IF(Q83&gt;0,"B",IF(Q83&gt;N83,"C","D"))))</f>
        <v>A</v>
      </c>
      <c r="AB83" s="9" t="inlineStr">
        <is>
          <t>2026-06-30</t>
        </is>
      </c>
    </row>
    <row r="84" ht="15" customHeight="1">
      <c r="A84" s="9" t="n">
        <v>83</v>
      </c>
      <c r="B84" s="10" t="inlineStr">
        <is>
          <t>BX</t>
        </is>
      </c>
      <c r="C84" s="11" t="inlineStr">
        <is>
          <t>另類資產與私募信貸</t>
        </is>
      </c>
      <c r="D84" s="11" t="inlineStr">
        <is>
          <t>Blackstone Inc.</t>
        </is>
      </c>
      <c r="E84" s="11" t="inlineStr">
        <is>
          <t>Asset Management</t>
        </is>
      </c>
      <c r="F84" s="9" t="inlineStr">
        <is>
          <t>USD</t>
        </is>
      </c>
      <c r="G84" s="11" t="inlineStr">
        <is>
          <t>25Q2 / 25Q3 / 25Q4 / 26Q1 / 26Q2</t>
        </is>
      </c>
      <c r="H84" s="12" t="n">
        <v>3161.236</v>
      </c>
      <c r="I84" s="12" t="n">
        <v>2685.881</v>
      </c>
      <c r="J84" s="12" t="n">
        <v>3736.455</v>
      </c>
      <c r="K84" s="12" t="n">
        <v>3002.779</v>
      </c>
      <c r="L84" s="12" t="n">
        <v>4187.932</v>
      </c>
      <c r="M84" s="13">
        <f>IF(OR(N(H84)=0,L84=""),"",L84/H84-1)</f>
        <v>0.3247767645313415</v>
      </c>
      <c r="N84" s="14" t="n"/>
      <c r="O84" s="14" t="n"/>
      <c r="P84" s="14" t="n"/>
      <c r="Q84" s="14" t="n"/>
      <c r="R84" s="13" t="str">
        <f>IF(OR(N(L84)=0,Q84=""),"",Q84/L84)</f>
        <v/>
      </c>
      <c r="S84" s="14" t="n"/>
      <c r="T84" s="13" t="str">
        <f>IF(OR(N(L84)=0,S84=""),"",S84/L84)</f>
        <v/>
      </c>
      <c r="U84" s="14" t="n">
        <v>1229.189</v>
      </c>
      <c r="V84" s="13">
        <f>IF(OR(N(L84)=0,U84=""),"",U84/L84)</f>
        <v>0.29350739219261446</v>
      </c>
      <c r="W84" s="14" t="n">
        <v>12410.012</v>
      </c>
      <c r="X84" s="14" t="n"/>
      <c r="Y84" s="13" t="str">
        <f>IF(OR(N(W84)=0,X84=""),"",X84/W84)</f>
        <v/>
      </c>
      <c r="Z84" s="11" t="str">
        <f>IF(AA84="A","四季持續盈利",IF(AA84="B","最新季為正/波動",IF(AA84="C","虧損收窄",IF(AA84="D","虧損擴大或轉虧","數據不足"))))</f>
        <v>數據不足</v>
      </c>
      <c r="AA84" s="9" t="str">
        <f>IF(COUNT(N84:Q84)&lt;4,"—",IF(MIN(N84:Q84)&gt;0,"A",IF(Q84&gt;0,"B",IF(Q84&gt;N84,"C","D"))))</f>
        <v>—</v>
      </c>
      <c r="AB84" s="9" t="inlineStr">
        <is>
          <t>2026-06-30</t>
        </is>
      </c>
    </row>
    <row r="85" ht="15" customHeight="1">
      <c r="A85" s="9" t="n">
        <v>84</v>
      </c>
      <c r="B85" s="10" t="inlineStr">
        <is>
          <t>BXP</t>
        </is>
      </c>
      <c r="C85" s="11" t="inlineStr">
        <is>
          <t>辦公樓REIT</t>
        </is>
      </c>
      <c r="D85" s="11" t="inlineStr">
        <is>
          <t>BXP, Inc.</t>
        </is>
      </c>
      <c r="E85" s="11" t="inlineStr">
        <is>
          <t>REIT - Office</t>
        </is>
      </c>
      <c r="F85" s="9" t="inlineStr">
        <is>
          <t>USD</t>
        </is>
      </c>
      <c r="G85" s="11" t="inlineStr">
        <is>
          <t>25Q2 / 25Q3 / 25Q4 / 26Q1 / 26Q2</t>
        </is>
      </c>
      <c r="H85" s="12" t="n">
        <v>868.457</v>
      </c>
      <c r="I85" s="12" t="n">
        <v>871.51</v>
      </c>
      <c r="J85" s="12" t="n">
        <v>877.097</v>
      </c>
      <c r="K85" s="12" t="n">
        <v>872.148</v>
      </c>
      <c r="L85" s="12" t="n">
        <v>895.699</v>
      </c>
      <c r="M85" s="13">
        <f>IF(OR(N(H85)=0,L85=""),"",L85/H85-1)</f>
        <v>0.03136827730100622</v>
      </c>
      <c r="N85" s="14" t="n">
        <v>253.99</v>
      </c>
      <c r="O85" s="14" t="n">
        <v>254.588</v>
      </c>
      <c r="P85" s="14" t="n">
        <v>227.906</v>
      </c>
      <c r="Q85" s="14" t="n">
        <v>258.867</v>
      </c>
      <c r="R85" s="13">
        <f>IF(OR(N(L85)=0,Q85=""),"",Q85/L85)</f>
        <v>0.2890111521839368</v>
      </c>
      <c r="S85" s="14" t="n">
        <v>550.189</v>
      </c>
      <c r="T85" s="13">
        <f>IF(OR(N(L85)=0,S85=""),"",S85/L85)</f>
        <v>0.6142565750324607</v>
      </c>
      <c r="U85" s="14" t="n">
        <v>68.56399999999999</v>
      </c>
      <c r="V85" s="13">
        <f>IF(OR(N(L85)=0,U85=""),"",U85/L85)</f>
        <v>0.07654803678467878</v>
      </c>
      <c r="W85" s="14" t="n">
        <v>3482.279</v>
      </c>
      <c r="X85" s="14" t="n">
        <v>1014.351</v>
      </c>
      <c r="Y85" s="13">
        <f>IF(OR(N(W85)=0,X85=""),"",X85/W85)</f>
        <v>0.2912894113309129</v>
      </c>
      <c r="Z85" s="11" t="str">
        <f>IF(AA85="A","四季持續盈利",IF(AA85="B","最新季為正/波動",IF(AA85="C","虧損收窄",IF(AA85="D","虧損擴大或轉虧","數據不足"))))</f>
        <v>四季持續盈利</v>
      </c>
      <c r="AA85" s="9" t="str">
        <f>IF(COUNT(N85:Q85)&lt;4,"—",IF(MIN(N85:Q85)&gt;0,"A",IF(Q85&gt;0,"B",IF(Q85&gt;N85,"C","D"))))</f>
        <v>A</v>
      </c>
      <c r="AB85" s="9" t="inlineStr">
        <is>
          <t>2026-06-30</t>
        </is>
      </c>
    </row>
    <row r="86" ht="15" customHeight="1">
      <c r="A86" s="9" t="n">
        <v>85</v>
      </c>
      <c r="B86" s="10" t="inlineStr">
        <is>
          <t>C</t>
        </is>
      </c>
      <c r="C86" s="11" t="inlineStr">
        <is>
          <t>大型全能銀行</t>
        </is>
      </c>
      <c r="D86" s="11" t="inlineStr">
        <is>
          <t>Citigroup Inc.</t>
        </is>
      </c>
      <c r="E86" s="11" t="inlineStr">
        <is>
          <t>Banks - Diversified</t>
        </is>
      </c>
      <c r="F86" s="9" t="inlineStr">
        <is>
          <t>USD</t>
        </is>
      </c>
      <c r="G86" s="11" t="inlineStr">
        <is>
          <t>25Q2 / 25Q3 / 25Q4 / 26Q1 / 26Q2</t>
        </is>
      </c>
      <c r="H86" s="12" t="n">
        <v>21661</v>
      </c>
      <c r="I86" s="12" t="n">
        <v>22095</v>
      </c>
      <c r="J86" s="12" t="n">
        <v>19670</v>
      </c>
      <c r="K86" s="12" t="n">
        <v>24663</v>
      </c>
      <c r="L86" s="12" t="n">
        <v>24765</v>
      </c>
      <c r="M86" s="13">
        <f>IF(OR(N(H86)=0,L86=""),"",L86/H86-1)</f>
        <v>0.14329901666589717</v>
      </c>
      <c r="N86" s="14" t="n"/>
      <c r="O86" s="14" t="n"/>
      <c r="P86" s="14" t="n"/>
      <c r="Q86" s="14" t="n"/>
      <c r="R86" s="13" t="str">
        <f>IF(OR(N(L86)=0,Q86=""),"",Q86/L86)</f>
        <v/>
      </c>
      <c r="S86" s="14" t="n"/>
      <c r="T86" s="13" t="str">
        <f>IF(OR(N(L86)=0,S86=""),"",S86/L86)</f>
        <v/>
      </c>
      <c r="U86" s="14" t="n">
        <v>5831</v>
      </c>
      <c r="V86" s="13">
        <f>IF(OR(N(L86)=0,U86=""),"",U86/L86)</f>
        <v>0.23545326065011105</v>
      </c>
      <c r="W86" s="14" t="n">
        <v>85213</v>
      </c>
      <c r="X86" s="14" t="n"/>
      <c r="Y86" s="13" t="str">
        <f>IF(OR(N(W86)=0,X86=""),"",X86/W86)</f>
        <v/>
      </c>
      <c r="Z86" s="11" t="str">
        <f>IF(AA86="A","四季持續盈利",IF(AA86="B","最新季為正/波動",IF(AA86="C","虧損收窄",IF(AA86="D","虧損擴大或轉虧","數據不足"))))</f>
        <v>數據不足</v>
      </c>
      <c r="AA86" s="9" t="str">
        <f>IF(COUNT(N86:Q86)&lt;4,"—",IF(MIN(N86:Q86)&gt;0,"A",IF(Q86&gt;0,"B",IF(Q86&gt;N86,"C","D"))))</f>
        <v>—</v>
      </c>
      <c r="AB86" s="9" t="inlineStr">
        <is>
          <t>2026-06-30</t>
        </is>
      </c>
    </row>
    <row r="87" ht="15" customHeight="1">
      <c r="A87" s="9" t="n">
        <v>86</v>
      </c>
      <c r="B87" s="10" t="inlineStr">
        <is>
          <t>CAG</t>
        </is>
      </c>
      <c r="C87" s="11" t="inlineStr">
        <is>
          <t>食品加工</t>
        </is>
      </c>
      <c r="D87" s="11" t="inlineStr">
        <is>
          <t>Conagra Brands, Inc.</t>
        </is>
      </c>
      <c r="E87" s="11" t="inlineStr">
        <is>
          <t>Packaged Foods</t>
        </is>
      </c>
      <c r="F87" s="9" t="inlineStr">
        <is>
          <t>USD</t>
        </is>
      </c>
      <c r="G87" s="11" t="inlineStr">
        <is>
          <t>25Q2 / 25Q3 / 25Q4 / 26Q1 / 26Q2</t>
        </is>
      </c>
      <c r="H87" s="12" t="n">
        <v>2781.8</v>
      </c>
      <c r="I87" s="12" t="n">
        <v>2632.6</v>
      </c>
      <c r="J87" s="12" t="n">
        <v>2979.1</v>
      </c>
      <c r="K87" s="12" t="n">
        <v>2787.8</v>
      </c>
      <c r="L87" s="12" t="n">
        <v>2882.1</v>
      </c>
      <c r="M87" s="13">
        <f>IF(OR(N(H87)=0,L87=""),"",L87/H87-1)</f>
        <v>0.036055791214321564</v>
      </c>
      <c r="N87" s="14" t="n">
        <v>305</v>
      </c>
      <c r="O87" s="14" t="n">
        <v>370.9</v>
      </c>
      <c r="P87" s="14" t="n">
        <v>280.1</v>
      </c>
      <c r="Q87" s="14" t="n">
        <v>303</v>
      </c>
      <c r="R87" s="13">
        <f>IF(OR(N(L87)=0,Q87=""),"",Q87/L87)</f>
        <v>0.10513167482044343</v>
      </c>
      <c r="S87" s="14" t="n">
        <v>704.1</v>
      </c>
      <c r="T87" s="13">
        <f>IF(OR(N(L87)=0,S87=""),"",S87/L87)</f>
        <v>0.24430103049859478</v>
      </c>
      <c r="U87" s="14" t="n">
        <v>-1616.9</v>
      </c>
      <c r="V87" s="13">
        <f>IF(OR(N(L87)=0,U87=""),"",U87/L87)</f>
        <v>-0.5610145380104785</v>
      </c>
      <c r="W87" s="14" t="n">
        <v>11281.6</v>
      </c>
      <c r="X87" s="14" t="n">
        <v>1259</v>
      </c>
      <c r="Y87" s="13">
        <f>IF(OR(N(W87)=0,X87=""),"",X87/W87)</f>
        <v>0.11159764572401078</v>
      </c>
      <c r="Z87" s="11" t="str">
        <f>IF(AA87="A","四季持續盈利",IF(AA87="B","最新季為正/波動",IF(AA87="C","虧損收窄",IF(AA87="D","虧損擴大或轉虧","數據不足"))))</f>
        <v>四季持續盈利</v>
      </c>
      <c r="AA87" s="9" t="str">
        <f>IF(COUNT(N87:Q87)&lt;4,"—",IF(MIN(N87:Q87)&gt;0,"A",IF(Q87&gt;0,"B",IF(Q87&gt;N87,"C","D"))))</f>
        <v>A</v>
      </c>
      <c r="AB87" s="9" t="inlineStr">
        <is>
          <t>2026-05-31</t>
        </is>
      </c>
    </row>
    <row r="88" ht="15" customHeight="1">
      <c r="A88" s="9" t="n">
        <v>87</v>
      </c>
      <c r="B88" s="10" t="inlineStr">
        <is>
          <t>CAH</t>
        </is>
      </c>
      <c r="C88" s="11" t="inlineStr">
        <is>
          <t>藥品分銷與藥房</t>
        </is>
      </c>
      <c r="D88" s="11" t="inlineStr">
        <is>
          <t>Cardinal Health, Inc.</t>
        </is>
      </c>
      <c r="E88" s="11" t="inlineStr">
        <is>
          <t>Medical Distribution</t>
        </is>
      </c>
      <c r="F88" s="9" t="inlineStr">
        <is>
          <t>USD</t>
        </is>
      </c>
      <c r="G88" s="11" t="inlineStr">
        <is>
          <t>25Q2 / 25Q3 / 25Q4 / 26Q1 / 26Q2</t>
        </is>
      </c>
      <c r="H88" s="12" t="n">
        <v>60159</v>
      </c>
      <c r="I88" s="12" t="n">
        <v>64009</v>
      </c>
      <c r="J88" s="12" t="n">
        <v>65627</v>
      </c>
      <c r="K88" s="12" t="n">
        <v>60940</v>
      </c>
      <c r="L88" s="12" t="n">
        <v>63672</v>
      </c>
      <c r="M88" s="13">
        <f>IF(OR(N(H88)=0,L88=""),"",L88/H88-1)</f>
        <v>0.05839525258066125</v>
      </c>
      <c r="N88" s="14" t="n">
        <v>754</v>
      </c>
      <c r="O88" s="14" t="n">
        <v>763</v>
      </c>
      <c r="P88" s="14" t="n">
        <v>842</v>
      </c>
      <c r="Q88" s="14" t="n">
        <v>814</v>
      </c>
      <c r="R88" s="13">
        <f>IF(OR(N(L88)=0,Q88=""),"",Q88/L88)</f>
        <v>0.012784269380575449</v>
      </c>
      <c r="S88" s="14" t="n">
        <v>2560</v>
      </c>
      <c r="T88" s="13">
        <f>IF(OR(N(L88)=0,S88=""),"",S88/L88)</f>
        <v>0.0402060560371906</v>
      </c>
      <c r="U88" s="14" t="n">
        <v>398</v>
      </c>
      <c r="V88" s="13">
        <f>IF(OR(N(L88)=0,U88=""),"",U88/L88)</f>
        <v>0.006250785274531976</v>
      </c>
      <c r="W88" s="14" t="n">
        <v>254248</v>
      </c>
      <c r="X88" s="14" t="n">
        <v>3173</v>
      </c>
      <c r="Y88" s="13">
        <f>IF(OR(N(W88)=0,X88=""),"",X88/W88)</f>
        <v>0.012479940845159057</v>
      </c>
      <c r="Z88" s="11" t="str">
        <f>IF(AA88="A","四季持續盈利",IF(AA88="B","最新季為正/波動",IF(AA88="C","虧損收窄",IF(AA88="D","虧損擴大或轉虧","數據不足"))))</f>
        <v>四季持續盈利</v>
      </c>
      <c r="AA88" s="9" t="str">
        <f>IF(COUNT(N88:Q88)&lt;4,"—",IF(MIN(N88:Q88)&gt;0,"A",IF(Q88&gt;0,"B",IF(Q88&gt;N88,"C","D"))))</f>
        <v>A</v>
      </c>
      <c r="AB88" s="9" t="inlineStr">
        <is>
          <t>2026-06-30</t>
        </is>
      </c>
    </row>
    <row r="89" ht="15" customHeight="1">
      <c r="A89" s="9" t="n">
        <v>88</v>
      </c>
      <c r="B89" s="10" t="inlineStr">
        <is>
          <t>CAMT</t>
        </is>
      </c>
      <c r="C89" s="11" t="inlineStr">
        <is>
          <t>—</t>
        </is>
      </c>
      <c r="D89" s="11" t="inlineStr">
        <is>
          <t>Camtek Ltd.</t>
        </is>
      </c>
      <c r="E89" s="11" t="inlineStr">
        <is>
          <t>B3 先進封裝</t>
        </is>
      </c>
      <c r="F89" s="9" t="inlineStr">
        <is>
          <t>USD</t>
        </is>
      </c>
      <c r="G89" s="11" t="inlineStr">
        <is>
          <t>25Q2 / 25Q3 / 25Q4 / 26Q1 / 26Q2</t>
        </is>
      </c>
      <c r="H89" s="12" t="n">
        <v>123.317</v>
      </c>
      <c r="I89" s="12" t="n">
        <v>125.993</v>
      </c>
      <c r="J89" s="12" t="n">
        <v>128.124</v>
      </c>
      <c r="K89" s="12" t="n">
        <v>121.659</v>
      </c>
      <c r="L89" s="12" t="n">
        <v>133.243</v>
      </c>
      <c r="M89" s="13">
        <f>IF(OR(N(H89)=0,L89=""),"",L89/H89-1)</f>
        <v>0.08049174079810562</v>
      </c>
      <c r="N89" s="14" t="n">
        <v>31.845</v>
      </c>
      <c r="O89" s="14" t="n">
        <v>31.684</v>
      </c>
      <c r="P89" s="14" t="n">
        <v>27.266</v>
      </c>
      <c r="Q89" s="14" t="n">
        <v>27.227</v>
      </c>
      <c r="R89" s="13">
        <f>IF(OR(N(L89)=0,Q89=""),"",Q89/L89)</f>
        <v>0.20434094098751907</v>
      </c>
      <c r="S89" s="14" t="n">
        <v>66.702</v>
      </c>
      <c r="T89" s="13">
        <f>IF(OR(N(L89)=0,S89=""),"",S89/L89)</f>
        <v>0.5006041593179379</v>
      </c>
      <c r="U89" s="14" t="n">
        <v>23.305</v>
      </c>
      <c r="V89" s="13">
        <f>IF(OR(N(L89)=0,U89=""),"",U89/L89)</f>
        <v>0.17490599881419663</v>
      </c>
      <c r="W89" s="14" t="n">
        <v>496.072</v>
      </c>
      <c r="X89" s="14" t="n">
        <v>128.203</v>
      </c>
      <c r="Y89" s="13">
        <f>IF(OR(N(W89)=0,X89=""),"",X89/W89)</f>
        <v>0.2584362753793804</v>
      </c>
      <c r="Z89" s="11" t="str">
        <f>IF(AA89="A","四季持續盈利",IF(AA89="B","最新季為正/波動",IF(AA89="C","虧損收窄",IF(AA89="D","虧損擴大或轉虧","數據不足"))))</f>
        <v>四季持續盈利</v>
      </c>
      <c r="AA89" s="9" t="str">
        <f>IF(COUNT(N89:Q89)&lt;4,"—",IF(MIN(N89:Q89)&gt;0,"A",IF(Q89&gt;0,"B",IF(Q89&gt;N89,"C","D"))))</f>
        <v>A</v>
      </c>
      <c r="AB89" s="9" t="inlineStr">
        <is>
          <t>2026-06-30</t>
        </is>
      </c>
    </row>
    <row r="90" ht="15" customHeight="1">
      <c r="A90" s="9" t="n">
        <v>89</v>
      </c>
      <c r="B90" s="10" t="inlineStr">
        <is>
          <t>CARR</t>
        </is>
      </c>
      <c r="C90" s="11" t="inlineStr">
        <is>
          <t>樓宇產品與HVAC</t>
        </is>
      </c>
      <c r="D90" s="11" t="inlineStr">
        <is>
          <t>Carrier Global Corporation</t>
        </is>
      </c>
      <c r="E90" s="11" t="inlineStr">
        <is>
          <t>Building Products &amp; Equipment</t>
        </is>
      </c>
      <c r="F90" s="9" t="inlineStr">
        <is>
          <t>USD</t>
        </is>
      </c>
      <c r="G90" s="11" t="inlineStr">
        <is>
          <t>25Q2 / 25Q3 / 25Q4 / 26Q1 / 26Q2</t>
        </is>
      </c>
      <c r="H90" s="12" t="n">
        <v>6113</v>
      </c>
      <c r="I90" s="12" t="n">
        <v>5579</v>
      </c>
      <c r="J90" s="12" t="n">
        <v>4837</v>
      </c>
      <c r="K90" s="12" t="n">
        <v>5341</v>
      </c>
      <c r="L90" s="12" t="n">
        <v>6351</v>
      </c>
      <c r="M90" s="13">
        <f>IF(OR(N(H90)=0,L90=""),"",L90/H90-1)</f>
        <v>0.03893342057909366</v>
      </c>
      <c r="N90" s="14" t="n">
        <v>495</v>
      </c>
      <c r="O90" s="14" t="n">
        <v>54</v>
      </c>
      <c r="P90" s="14" t="n">
        <v>240</v>
      </c>
      <c r="Q90" s="14" t="n">
        <v>770</v>
      </c>
      <c r="R90" s="13">
        <f>IF(OR(N(L90)=0,Q90=""),"",Q90/L90)</f>
        <v>0.12124074948826956</v>
      </c>
      <c r="S90" s="14" t="n">
        <v>1728</v>
      </c>
      <c r="T90" s="13">
        <f>IF(OR(N(L90)=0,S90=""),"",S90/L90)</f>
        <v>0.2720831365139348</v>
      </c>
      <c r="U90" s="14" t="n">
        <v>501</v>
      </c>
      <c r="V90" s="13">
        <f>IF(OR(N(L90)=0,U90=""),"",U90/L90)</f>
        <v>0.07888521492678319</v>
      </c>
      <c r="W90" s="14" t="n">
        <v>21747</v>
      </c>
      <c r="X90" s="14" t="n">
        <v>1907</v>
      </c>
      <c r="Y90" s="13">
        <f>IF(OR(N(W90)=0,X90=""),"",X90/W90)</f>
        <v>0.08769025612728193</v>
      </c>
      <c r="Z90" s="11" t="str">
        <f>IF(AA90="A","四季持續盈利",IF(AA90="B","最新季為正/波動",IF(AA90="C","虧損收窄",IF(AA90="D","虧損擴大或轉虧","數據不足"))))</f>
        <v>四季持續盈利</v>
      </c>
      <c r="AA90" s="9" t="str">
        <f>IF(COUNT(N90:Q90)&lt;4,"—",IF(MIN(N90:Q90)&gt;0,"A",IF(Q90&gt;0,"B",IF(Q90&gt;N90,"C","D"))))</f>
        <v>A</v>
      </c>
      <c r="AB90" s="9" t="inlineStr">
        <is>
          <t>2026-06-30</t>
        </is>
      </c>
    </row>
    <row r="91" ht="15" customHeight="1">
      <c r="A91" s="9" t="n">
        <v>90</v>
      </c>
      <c r="B91" s="10" t="inlineStr">
        <is>
          <t>CAT</t>
        </is>
      </c>
      <c r="C91" s="11" t="inlineStr">
        <is>
          <t>機械與重工</t>
        </is>
      </c>
      <c r="D91" s="11" t="inlineStr">
        <is>
          <t>Caterpillar Inc.</t>
        </is>
      </c>
      <c r="E91" s="11" t="inlineStr">
        <is>
          <t>Farm &amp; Heavy Construction Machinery</t>
        </is>
      </c>
      <c r="F91" s="9" t="inlineStr">
        <is>
          <t>USD</t>
        </is>
      </c>
      <c r="G91" s="11" t="inlineStr">
        <is>
          <t>25Q2 / 25Q3 / 25Q4 / 26Q1 / 26Q2</t>
        </is>
      </c>
      <c r="H91" s="12" t="n">
        <v>16569</v>
      </c>
      <c r="I91" s="12" t="n">
        <v>17638</v>
      </c>
      <c r="J91" s="12" t="n">
        <v>19133</v>
      </c>
      <c r="K91" s="12" t="n">
        <v>17415</v>
      </c>
      <c r="L91" s="12" t="n">
        <v>20543</v>
      </c>
      <c r="M91" s="13">
        <f>IF(OR(N(H91)=0,L91=""),"",L91/H91-1)</f>
        <v>0.23984549459834636</v>
      </c>
      <c r="N91" s="14" t="n">
        <v>3052</v>
      </c>
      <c r="O91" s="14" t="n">
        <v>2660</v>
      </c>
      <c r="P91" s="14" t="n">
        <v>3085</v>
      </c>
      <c r="Q91" s="14" t="n">
        <v>4295</v>
      </c>
      <c r="R91" s="13">
        <f>IF(OR(N(L91)=0,Q91=""),"",Q91/L91)</f>
        <v>0.209073650391861</v>
      </c>
      <c r="S91" s="14" t="n">
        <v>7400</v>
      </c>
      <c r="T91" s="13">
        <f>IF(OR(N(L91)=0,S91=""),"",S91/L91)</f>
        <v>0.36022002628632627</v>
      </c>
      <c r="U91" s="14" t="n">
        <v>3593</v>
      </c>
      <c r="V91" s="13">
        <f>IF(OR(N(L91)=0,U91=""),"",U91/L91)</f>
        <v>0.17490142627659055</v>
      </c>
      <c r="W91" s="14" t="n">
        <v>67589</v>
      </c>
      <c r="X91" s="14" t="n">
        <v>11151</v>
      </c>
      <c r="Y91" s="13">
        <f>IF(OR(N(W91)=0,X91=""),"",X91/W91)</f>
        <v>0.16498246756128956</v>
      </c>
      <c r="Z91" s="11" t="str">
        <f>IF(AA91="A","四季持續盈利",IF(AA91="B","最新季為正/波動",IF(AA91="C","虧損收窄",IF(AA91="D","虧損擴大或轉虧","數據不足"))))</f>
        <v>四季持續盈利</v>
      </c>
      <c r="AA91" s="9" t="str">
        <f>IF(COUNT(N91:Q91)&lt;4,"—",IF(MIN(N91:Q91)&gt;0,"A",IF(Q91&gt;0,"B",IF(Q91&gt;N91,"C","D"))))</f>
        <v>A</v>
      </c>
      <c r="AB91" s="9" t="inlineStr">
        <is>
          <t>2026-06-30</t>
        </is>
      </c>
    </row>
    <row r="92" ht="15" customHeight="1">
      <c r="A92" s="9" t="n">
        <v>91</v>
      </c>
      <c r="B92" s="10" t="inlineStr">
        <is>
          <t>CB</t>
        </is>
      </c>
      <c r="C92" s="11" t="inlineStr">
        <is>
          <t>產險與再保</t>
        </is>
      </c>
      <c r="D92" s="11" t="inlineStr">
        <is>
          <t>Chubb Limited</t>
        </is>
      </c>
      <c r="E92" s="11" t="inlineStr">
        <is>
          <t>Insurance - Property &amp; Casualty</t>
        </is>
      </c>
      <c r="F92" s="9" t="inlineStr">
        <is>
          <t>USD</t>
        </is>
      </c>
      <c r="G92" s="11" t="inlineStr">
        <is>
          <t>25Q2 / 25Q3 / 25Q4 / 26Q1 / 26Q2</t>
        </is>
      </c>
      <c r="H92" s="12" t="n">
        <v>14881</v>
      </c>
      <c r="I92" s="12" t="n">
        <v>16200</v>
      </c>
      <c r="J92" s="12" t="n">
        <v>15303</v>
      </c>
      <c r="K92" s="12" t="n">
        <v>14815</v>
      </c>
      <c r="L92" s="12" t="n">
        <v>15959</v>
      </c>
      <c r="M92" s="13">
        <f>IF(OR(N(H92)=0,L92=""),"",L92/H92-1)</f>
        <v>0.0724413681876217</v>
      </c>
      <c r="N92" s="14" t="n">
        <v>4091</v>
      </c>
      <c r="O92" s="14" t="n">
        <v>3975</v>
      </c>
      <c r="P92" s="14" t="n">
        <v>3191</v>
      </c>
      <c r="Q92" s="14" t="n">
        <v>3824</v>
      </c>
      <c r="R92" s="13">
        <f>IF(OR(N(L92)=0,Q92=""),"",Q92/L92)</f>
        <v>0.23961401090293877</v>
      </c>
      <c r="S92" s="14" t="n"/>
      <c r="T92" s="13" t="str">
        <f>IF(OR(N(L92)=0,S92=""),"",S92/L92)</f>
        <v/>
      </c>
      <c r="U92" s="14" t="n">
        <v>2854</v>
      </c>
      <c r="V92" s="13">
        <f>IF(OR(N(L92)=0,U92=""),"",U92/L92)</f>
        <v>0.17883326022933768</v>
      </c>
      <c r="W92" s="14" t="n">
        <v>59783</v>
      </c>
      <c r="X92" s="14" t="n">
        <v>13808</v>
      </c>
      <c r="Y92" s="13">
        <f>IF(OR(N(W92)=0,X92=""),"",X92/W92)</f>
        <v>0.23096867002325075</v>
      </c>
      <c r="Z92" s="11" t="str">
        <f>IF(AA92="A","四季持續盈利",IF(AA92="B","最新季為正/波動",IF(AA92="C","虧損收窄",IF(AA92="D","虧損擴大或轉虧","數據不足"))))</f>
        <v>四季持續盈利</v>
      </c>
      <c r="AA92" s="9" t="str">
        <f>IF(COUNT(N92:Q92)&lt;4,"—",IF(MIN(N92:Q92)&gt;0,"A",IF(Q92&gt;0,"B",IF(Q92&gt;N92,"C","D"))))</f>
        <v>A</v>
      </c>
      <c r="AB92" s="9" t="inlineStr">
        <is>
          <t>2026-06-30</t>
        </is>
      </c>
    </row>
    <row r="93" ht="15" customHeight="1">
      <c r="A93" s="9" t="n">
        <v>92</v>
      </c>
      <c r="B93" s="10" t="inlineStr">
        <is>
          <t>CBOE</t>
        </is>
      </c>
      <c r="C93" s="11" t="inlineStr">
        <is>
          <t>交易所與金融數據</t>
        </is>
      </c>
      <c r="D93" s="11" t="inlineStr">
        <is>
          <t>Cboe Global Markets, Inc.</t>
        </is>
      </c>
      <c r="E93" s="11" t="inlineStr">
        <is>
          <t>Financial Data &amp; Stock Exchanges</t>
        </is>
      </c>
      <c r="F93" s="9" t="inlineStr">
        <is>
          <t>USD</t>
        </is>
      </c>
      <c r="G93" s="11" t="inlineStr">
        <is>
          <t>25Q2 / 25Q3 / 25Q4 / 26Q1 / 26Q2</t>
        </is>
      </c>
      <c r="H93" s="12" t="n">
        <v>1173.5</v>
      </c>
      <c r="I93" s="12" t="n">
        <v>1141.7</v>
      </c>
      <c r="J93" s="12" t="n">
        <v>1204</v>
      </c>
      <c r="K93" s="12" t="n">
        <v>1272.8</v>
      </c>
      <c r="L93" s="12" t="n">
        <v>1442.8</v>
      </c>
      <c r="M93" s="13">
        <f>IF(OR(N(H93)=0,L93=""),"",L93/H93-1)</f>
        <v>0.22948444823178527</v>
      </c>
      <c r="N93" s="14" t="n">
        <v>375</v>
      </c>
      <c r="O93" s="14" t="n">
        <v>428.8</v>
      </c>
      <c r="P93" s="14" t="n">
        <v>505.6</v>
      </c>
      <c r="Q93" s="14" t="n">
        <v>476</v>
      </c>
      <c r="R93" s="13">
        <f>IF(OR(N(L93)=0,Q93=""),"",Q93/L93)</f>
        <v>0.3299140560022179</v>
      </c>
      <c r="S93" s="14" t="n">
        <v>576.9</v>
      </c>
      <c r="T93" s="13">
        <f>IF(OR(N(L93)=0,S93=""),"",S93/L93)</f>
        <v>0.3998475187136124</v>
      </c>
      <c r="U93" s="14" t="n">
        <v>353.1</v>
      </c>
      <c r="V93" s="13">
        <f>IF(OR(N(L93)=0,U93=""),"",U93/L93)</f>
        <v>0.24473246465206544</v>
      </c>
      <c r="W93" s="14" t="n">
        <v>4714.2</v>
      </c>
      <c r="X93" s="14" t="n">
        <v>1514.1</v>
      </c>
      <c r="Y93" s="13">
        <f>IF(OR(N(W93)=0,X93=""),"",X93/W93)</f>
        <v>0.32117856688303426</v>
      </c>
      <c r="Z93" s="11" t="str">
        <f>IF(AA93="A","四季持續盈利",IF(AA93="B","最新季為正/波動",IF(AA93="C","虧損收窄",IF(AA93="D","虧損擴大或轉虧","數據不足"))))</f>
        <v>四季持續盈利</v>
      </c>
      <c r="AA93" s="9" t="str">
        <f>IF(COUNT(N93:Q93)&lt;4,"—",IF(MIN(N93:Q93)&gt;0,"A",IF(Q93&gt;0,"B",IF(Q93&gt;N93,"C","D"))))</f>
        <v>A</v>
      </c>
      <c r="AB93" s="9" t="inlineStr">
        <is>
          <t>2026-06-30</t>
        </is>
      </c>
    </row>
    <row r="94" ht="15" customHeight="1">
      <c r="A94" s="9" t="n">
        <v>93</v>
      </c>
      <c r="B94" s="10" t="inlineStr">
        <is>
          <t>CBRE</t>
        </is>
      </c>
      <c r="C94" s="11" t="inlineStr">
        <is>
          <t>地產開發與服務</t>
        </is>
      </c>
      <c r="D94" s="11" t="inlineStr">
        <is>
          <t>CBRE Group, Inc.</t>
        </is>
      </c>
      <c r="E94" s="11" t="inlineStr">
        <is>
          <t>Real Estate Services</t>
        </is>
      </c>
      <c r="F94" s="9" t="inlineStr">
        <is>
          <t>USD</t>
        </is>
      </c>
      <c r="G94" s="11" t="inlineStr">
        <is>
          <t>25Q2 / 25Q3 / 25Q4 / 26Q1 / 26Q2</t>
        </is>
      </c>
      <c r="H94" s="12" t="n">
        <v>9717</v>
      </c>
      <c r="I94" s="12" t="n">
        <v>10258</v>
      </c>
      <c r="J94" s="12" t="n">
        <v>11629</v>
      </c>
      <c r="K94" s="12" t="n">
        <v>10527</v>
      </c>
      <c r="L94" s="12" t="n">
        <v>11226</v>
      </c>
      <c r="M94" s="13">
        <f>IF(OR(N(H94)=0,L94=""),"",L94/H94-1)</f>
        <v>0.15529484408768135</v>
      </c>
      <c r="N94" s="14" t="n">
        <v>445</v>
      </c>
      <c r="O94" s="14" t="n">
        <v>218</v>
      </c>
      <c r="P94" s="14" t="n">
        <v>210</v>
      </c>
      <c r="Q94" s="14" t="n">
        <v>360</v>
      </c>
      <c r="R94" s="13">
        <f>IF(OR(N(L94)=0,Q94=""),"",Q94/L94)</f>
        <v>0.032068412613575625</v>
      </c>
      <c r="S94" s="14" t="n">
        <v>2086</v>
      </c>
      <c r="T94" s="13">
        <f>IF(OR(N(L94)=0,S94=""),"",S94/L94)</f>
        <v>0.18581863531088544</v>
      </c>
      <c r="U94" s="14" t="n">
        <v>204</v>
      </c>
      <c r="V94" s="13">
        <f>IF(OR(N(L94)=0,U94=""),"",U94/L94)</f>
        <v>0.018172100481026188</v>
      </c>
      <c r="W94" s="14" t="n">
        <v>40550</v>
      </c>
      <c r="X94" s="14" t="n">
        <v>1294</v>
      </c>
      <c r="Y94" s="13">
        <f>IF(OR(N(W94)=0,X94=""),"",X94/W94)</f>
        <v>0.03191122071516646</v>
      </c>
      <c r="Z94" s="11" t="str">
        <f>IF(AA94="A","四季持續盈利",IF(AA94="B","最新季為正/波動",IF(AA94="C","虧損收窄",IF(AA94="D","虧損擴大或轉虧","數據不足"))))</f>
        <v>四季持續盈利</v>
      </c>
      <c r="AA94" s="9" t="str">
        <f>IF(COUNT(N94:Q94)&lt;4,"—",IF(MIN(N94:Q94)&gt;0,"A",IF(Q94&gt;0,"B",IF(Q94&gt;N94,"C","D"))))</f>
        <v>A</v>
      </c>
      <c r="AB94" s="9" t="inlineStr">
        <is>
          <t>2026-06-30</t>
        </is>
      </c>
    </row>
    <row r="95" ht="15" customHeight="1">
      <c r="A95" s="9" t="n">
        <v>94</v>
      </c>
      <c r="B95" s="10" t="inlineStr">
        <is>
          <t>CCI</t>
        </is>
      </c>
      <c r="C95" s="11" t="inlineStr">
        <is>
          <t>通訊塔REIT</t>
        </is>
      </c>
      <c r="D95" s="11" t="inlineStr">
        <is>
          <t>Crown Castle Inc.</t>
        </is>
      </c>
      <c r="E95" s="11" t="inlineStr">
        <is>
          <t>REIT - Specialty</t>
        </is>
      </c>
      <c r="F95" s="9" t="inlineStr">
        <is>
          <t>USD</t>
        </is>
      </c>
      <c r="G95" s="11" t="inlineStr">
        <is>
          <t>25Q2 / 25Q3 / 25Q4 / 26Q1 / 26Q2</t>
        </is>
      </c>
      <c r="H95" s="12" t="n">
        <v>1060</v>
      </c>
      <c r="I95" s="12" t="n">
        <v>1072</v>
      </c>
      <c r="J95" s="12" t="n">
        <v>1071</v>
      </c>
      <c r="K95" s="12" t="n">
        <v>1010</v>
      </c>
      <c r="L95" s="12" t="n">
        <v>1008</v>
      </c>
      <c r="M95" s="13">
        <f>IF(OR(N(H95)=0,L95=""),"",L95/H95-1)</f>
        <v>-0.049056603773584895</v>
      </c>
      <c r="N95" s="14" t="n">
        <v>528</v>
      </c>
      <c r="O95" s="14" t="n">
        <v>527</v>
      </c>
      <c r="P95" s="14" t="n">
        <v>482</v>
      </c>
      <c r="Q95" s="14" t="n">
        <v>472</v>
      </c>
      <c r="R95" s="13">
        <f>IF(OR(N(L95)=0,Q95=""),"",Q95/L95)</f>
        <v>0.46825396825396826</v>
      </c>
      <c r="S95" s="14" t="n">
        <v>740</v>
      </c>
      <c r="T95" s="13">
        <f>IF(OR(N(L95)=0,S95=""),"",S95/L95)</f>
        <v>0.7341269841269841</v>
      </c>
      <c r="U95" s="14" t="n">
        <v>94</v>
      </c>
      <c r="V95" s="13">
        <f>IF(OR(N(L95)=0,U95=""),"",U95/L95)</f>
        <v>0.09325396825396826</v>
      </c>
      <c r="W95" s="14" t="n">
        <v>4264</v>
      </c>
      <c r="X95" s="14" t="n">
        <v>2086</v>
      </c>
      <c r="Y95" s="13">
        <f>IF(OR(N(W95)=0,X95=""),"",X95/W95)</f>
        <v>0.4892120075046904</v>
      </c>
      <c r="Z95" s="11" t="str">
        <f>IF(AA95="A","四季持續盈利",IF(AA95="B","最新季為正/波動",IF(AA95="C","虧損收窄",IF(AA95="D","虧損擴大或轉虧","數據不足"))))</f>
        <v>四季持續盈利</v>
      </c>
      <c r="AA95" s="9" t="str">
        <f>IF(COUNT(N95:Q95)&lt;4,"—",IF(MIN(N95:Q95)&gt;0,"A",IF(Q95&gt;0,"B",IF(Q95&gt;N95,"C","D"))))</f>
        <v>A</v>
      </c>
      <c r="AB95" s="9" t="inlineStr">
        <is>
          <t>2026-06-30</t>
        </is>
      </c>
    </row>
    <row r="96" ht="15" customHeight="1">
      <c r="A96" s="9" t="n">
        <v>95</v>
      </c>
      <c r="B96" s="10" t="inlineStr">
        <is>
          <t>CCJ</t>
        </is>
      </c>
      <c r="C96" s="11" t="inlineStr">
        <is>
          <t>鈾與核燃料</t>
        </is>
      </c>
      <c r="D96" s="11" t="inlineStr">
        <is>
          <t>Cameco Corporation</t>
        </is>
      </c>
      <c r="E96" s="11" t="inlineStr">
        <is>
          <t>F3 能源</t>
        </is>
      </c>
      <c r="F96" s="9" t="inlineStr">
        <is>
          <t>CAD</t>
        </is>
      </c>
      <c r="G96" s="11" t="inlineStr">
        <is>
          <t>25Q1 / 25Q2 / 25Q3 / 25Q4 / 26Q1</t>
        </is>
      </c>
      <c r="H96" s="12" t="n">
        <v>789.432</v>
      </c>
      <c r="I96" s="12" t="n">
        <v>877.016</v>
      </c>
      <c r="J96" s="12" t="n">
        <v>614.5549999999999</v>
      </c>
      <c r="K96" s="12" t="n">
        <v>1200.93</v>
      </c>
      <c r="L96" s="12" t="n">
        <v>845.365</v>
      </c>
      <c r="M96" s="13">
        <f>IF(OR(N(H96)=0,L96=""),"",L96/H96-1)</f>
        <v>0.07085220766323119</v>
      </c>
      <c r="N96" s="14" t="n">
        <v>156.26</v>
      </c>
      <c r="O96" s="14" t="n">
        <v>82.511</v>
      </c>
      <c r="P96" s="14" t="n">
        <v>204.322</v>
      </c>
      <c r="Q96" s="14" t="n">
        <v>164.148</v>
      </c>
      <c r="R96" s="13">
        <f>IF(OR(N(L96)=0,Q96=""),"",Q96/L96)</f>
        <v>0.194174114140046</v>
      </c>
      <c r="S96" s="14" t="n">
        <v>301.584</v>
      </c>
      <c r="T96" s="13">
        <f>IF(OR(N(L96)=0,S96=""),"",S96/L96)</f>
        <v>0.3567500428808858</v>
      </c>
      <c r="U96" s="14" t="n">
        <v>130.751</v>
      </c>
      <c r="V96" s="13">
        <f>IF(OR(N(L96)=0,U96=""),"",U96/L96)</f>
        <v>0.15466810194413064</v>
      </c>
      <c r="W96" s="14" t="n">
        <v>3481.933</v>
      </c>
      <c r="X96" s="14" t="n">
        <v>621.259</v>
      </c>
      <c r="Y96" s="13">
        <f>IF(OR(N(W96)=0,X96=""),"",X96/W96)</f>
        <v>0.17842359402090735</v>
      </c>
      <c r="Z96" s="11" t="str">
        <f>IF(AA96="A","四季持續盈利",IF(AA96="B","最新季為正/波動",IF(AA96="C","虧損收窄",IF(AA96="D","虧損擴大或轉虧","數據不足"))))</f>
        <v>四季持續盈利</v>
      </c>
      <c r="AA96" s="9" t="str">
        <f>IF(COUNT(N96:Q96)&lt;4,"—",IF(MIN(N96:Q96)&gt;0,"A",IF(Q96&gt;0,"B",IF(Q96&gt;N96,"C","D"))))</f>
        <v>A</v>
      </c>
      <c r="AB96" s="9" t="inlineStr">
        <is>
          <t>2026-03-31</t>
        </is>
      </c>
    </row>
    <row r="97" ht="15" customHeight="1">
      <c r="A97" s="9" t="n">
        <v>96</v>
      </c>
      <c r="B97" s="10" t="inlineStr">
        <is>
          <t>CCL</t>
        </is>
      </c>
      <c r="C97" s="11" t="inlineStr">
        <is>
          <t>酒店與郵輪</t>
        </is>
      </c>
      <c r="D97" s="11" t="inlineStr">
        <is>
          <t>Carnival Corporation Ltd.</t>
        </is>
      </c>
      <c r="E97" s="11" t="inlineStr">
        <is>
          <t>Travel Services</t>
        </is>
      </c>
      <c r="F97" s="9" t="inlineStr">
        <is>
          <t>USD</t>
        </is>
      </c>
      <c r="G97" s="11" t="inlineStr">
        <is>
          <t>25Q2 / 25Q3 / 25Q4 / 26Q1 / 26Q2</t>
        </is>
      </c>
      <c r="H97" s="12" t="n">
        <v>6328</v>
      </c>
      <c r="I97" s="12" t="n">
        <v>8153</v>
      </c>
      <c r="J97" s="12" t="n">
        <v>6330</v>
      </c>
      <c r="K97" s="12" t="n">
        <v>6165</v>
      </c>
      <c r="L97" s="12" t="n">
        <v>6663</v>
      </c>
      <c r="M97" s="13">
        <f>IF(OR(N(H97)=0,L97=""),"",L97/H97-1)</f>
        <v>0.052939317319848245</v>
      </c>
      <c r="N97" s="14" t="n">
        <v>2272</v>
      </c>
      <c r="O97" s="14" t="n">
        <v>735</v>
      </c>
      <c r="P97" s="14" t="n">
        <v>606</v>
      </c>
      <c r="Q97" s="14" t="n">
        <v>852</v>
      </c>
      <c r="R97" s="13">
        <f>IF(OR(N(L97)=0,Q97=""),"",Q97/L97)</f>
        <v>0.12787032868077441</v>
      </c>
      <c r="S97" s="14" t="n">
        <v>2438</v>
      </c>
      <c r="T97" s="13">
        <f>IF(OR(N(L97)=0,S97=""),"",S97/L97)</f>
        <v>0.36590124568512683</v>
      </c>
      <c r="U97" s="14" t="n">
        <v>537</v>
      </c>
      <c r="V97" s="13">
        <f>IF(OR(N(L97)=0,U97=""),"",U97/L97)</f>
        <v>0.08059432687978388</v>
      </c>
      <c r="W97" s="14" t="n">
        <v>26621</v>
      </c>
      <c r="X97" s="14" t="n">
        <v>4482</v>
      </c>
      <c r="Y97" s="13">
        <f>IF(OR(N(W97)=0,X97=""),"",X97/W97)</f>
        <v>0.1683633221892491</v>
      </c>
      <c r="Z97" s="11" t="str">
        <f>IF(AA97="A","四季持續盈利",IF(AA97="B","最新季為正/波動",IF(AA97="C","虧損收窄",IF(AA97="D","虧損擴大或轉虧","數據不足"))))</f>
        <v>四季持續盈利</v>
      </c>
      <c r="AA97" s="9" t="str">
        <f>IF(COUNT(N97:Q97)&lt;4,"—",IF(MIN(N97:Q97)&gt;0,"A",IF(Q97&gt;0,"B",IF(Q97&gt;N97,"C","D"))))</f>
        <v>A</v>
      </c>
      <c r="AB97" s="9" t="inlineStr">
        <is>
          <t>2026-05-31</t>
        </is>
      </c>
    </row>
    <row r="98" ht="15" customHeight="1">
      <c r="A98" s="9" t="n">
        <v>97</v>
      </c>
      <c r="B98" s="10" t="inlineStr">
        <is>
          <t>CDE</t>
        </is>
      </c>
      <c r="C98" s="11" t="inlineStr">
        <is>
          <t>白銀礦</t>
        </is>
      </c>
      <c r="D98" s="11" t="inlineStr">
        <is>
          <t>Coeur Mining, Inc.</t>
        </is>
      </c>
      <c r="E98" s="11" t="inlineStr">
        <is>
          <t>Gold</t>
        </is>
      </c>
      <c r="F98" s="9" t="inlineStr">
        <is>
          <t>USD</t>
        </is>
      </c>
      <c r="G98" s="11" t="inlineStr">
        <is>
          <t>25Q2 / 25Q3 / 25Q4 / 26Q1 / 26Q2</t>
        </is>
      </c>
      <c r="H98" s="12" t="n">
        <v>480.65</v>
      </c>
      <c r="I98" s="12" t="n">
        <v>554.567</v>
      </c>
      <c r="J98" s="12" t="n">
        <v>674.847</v>
      </c>
      <c r="K98" s="12" t="n">
        <v>856.192</v>
      </c>
      <c r="L98" s="12" t="n">
        <v>1085.592</v>
      </c>
      <c r="M98" s="13">
        <f>IF(OR(N(H98)=0,L98=""),"",L98/H98-1)</f>
        <v>1.2585914906896916</v>
      </c>
      <c r="N98" s="14" t="n">
        <v>187.942</v>
      </c>
      <c r="O98" s="14" t="n">
        <v>366.113</v>
      </c>
      <c r="P98" s="14" t="n">
        <v>374.158</v>
      </c>
      <c r="Q98" s="14" t="n">
        <v>216.983</v>
      </c>
      <c r="R98" s="13">
        <f>IF(OR(N(L98)=0,Q98=""),"",Q98/L98)</f>
        <v>0.19987527542575848</v>
      </c>
      <c r="S98" s="14" t="n">
        <v>279.86</v>
      </c>
      <c r="T98" s="13">
        <f>IF(OR(N(L98)=0,S98=""),"",S98/L98)</f>
        <v>0.25779482531190356</v>
      </c>
      <c r="U98" s="14" t="n">
        <v>121.853</v>
      </c>
      <c r="V98" s="13">
        <f>IF(OR(N(L98)=0,U98=""),"",U98/L98)</f>
        <v>0.1122456687226877</v>
      </c>
      <c r="W98" s="14" t="n">
        <v>2070.126</v>
      </c>
      <c r="X98" s="14" t="n">
        <v>776.801</v>
      </c>
      <c r="Y98" s="13">
        <f>IF(OR(N(W98)=0,X98=""),"",X98/W98)</f>
        <v>0.3752433426757598</v>
      </c>
      <c r="Z98" s="11" t="str">
        <f>IF(AA98="A","四季持續盈利",IF(AA98="B","最新季為正/波動",IF(AA98="C","虧損收窄",IF(AA98="D","虧損擴大或轉虧","數據不足"))))</f>
        <v>四季持續盈利</v>
      </c>
      <c r="AA98" s="9" t="str">
        <f>IF(COUNT(N98:Q98)&lt;4,"—",IF(MIN(N98:Q98)&gt;0,"A",IF(Q98&gt;0,"B",IF(Q98&gt;N98,"C","D"))))</f>
        <v>A</v>
      </c>
      <c r="AB98" s="9" t="inlineStr">
        <is>
          <t>2026-06-30</t>
        </is>
      </c>
    </row>
    <row r="99" ht="15" customHeight="1">
      <c r="A99" s="9" t="n">
        <v>98</v>
      </c>
      <c r="B99" s="10" t="inlineStr">
        <is>
          <t>CDNS</t>
        </is>
      </c>
      <c r="C99" s="11" t="inlineStr">
        <is>
          <t>EDA與半導體IP</t>
        </is>
      </c>
      <c r="D99" s="11" t="inlineStr">
        <is>
          <t>Cadence Design Systems, Inc.</t>
        </is>
      </c>
      <c r="E99" s="11" t="inlineStr">
        <is>
          <t>B5 EDA</t>
        </is>
      </c>
      <c r="F99" s="9" t="inlineStr">
        <is>
          <t>USD</t>
        </is>
      </c>
      <c r="G99" s="11" t="inlineStr">
        <is>
          <t>25Q2 / 25Q3 / 25Q4 / 26Q1 / 26Q2</t>
        </is>
      </c>
      <c r="H99" s="12" t="n">
        <v>1275.441</v>
      </c>
      <c r="I99" s="12" t="n">
        <v>1338.838</v>
      </c>
      <c r="J99" s="12" t="n">
        <v>1440.114</v>
      </c>
      <c r="K99" s="12" t="n">
        <v>1474.22</v>
      </c>
      <c r="L99" s="12" t="n">
        <v>1584.451</v>
      </c>
      <c r="M99" s="13">
        <f>IF(OR(N(H99)=0,L99=""),"",L99/H99-1)</f>
        <v>0.24227698498009698</v>
      </c>
      <c r="N99" s="14" t="n">
        <v>452.786</v>
      </c>
      <c r="O99" s="14" t="n">
        <v>465.225</v>
      </c>
      <c r="P99" s="14" t="n">
        <v>431.336</v>
      </c>
      <c r="Q99" s="14" t="n">
        <v>449.963</v>
      </c>
      <c r="R99" s="13">
        <f>IF(OR(N(L99)=0,Q99=""),"",Q99/L99)</f>
        <v>0.283986693182686</v>
      </c>
      <c r="S99" s="14" t="n">
        <v>1345.133</v>
      </c>
      <c r="T99" s="13">
        <f>IF(OR(N(L99)=0,S99=""),"",S99/L99)</f>
        <v>0.8489584089378592</v>
      </c>
      <c r="U99" s="14" t="n">
        <v>367.076</v>
      </c>
      <c r="V99" s="13">
        <f>IF(OR(N(L99)=0,U99=""),"",U99/L99)</f>
        <v>0.2316739362719327</v>
      </c>
      <c r="W99" s="14" t="n">
        <v>5296.759</v>
      </c>
      <c r="X99" s="14" t="n">
        <v>1649.781</v>
      </c>
      <c r="Y99" s="13">
        <f>IF(OR(N(W99)=0,X99=""),"",X99/W99)</f>
        <v>0.311469900744965</v>
      </c>
      <c r="Z99" s="11" t="str">
        <f>IF(AA99="A","四季持續盈利",IF(AA99="B","最新季為正/波動",IF(AA99="C","虧損收窄",IF(AA99="D","虧損擴大或轉虧","數據不足"))))</f>
        <v>四季持續盈利</v>
      </c>
      <c r="AA99" s="9" t="str">
        <f>IF(COUNT(N99:Q99)&lt;4,"—",IF(MIN(N99:Q99)&gt;0,"A",IF(Q99&gt;0,"B",IF(Q99&gt;N99,"C","D"))))</f>
        <v>A</v>
      </c>
      <c r="AB99" s="9" t="inlineStr">
        <is>
          <t>2026-06-30</t>
        </is>
      </c>
    </row>
    <row r="100" ht="15" customHeight="1">
      <c r="A100" s="9" t="n">
        <v>99</v>
      </c>
      <c r="B100" s="10" t="inlineStr">
        <is>
          <t>CEG</t>
        </is>
      </c>
      <c r="C100" s="11" t="inlineStr">
        <is>
          <t>IPP與電力交易商</t>
        </is>
      </c>
      <c r="D100" s="11" t="inlineStr">
        <is>
          <t>Constellation Energy Corporation</t>
        </is>
      </c>
      <c r="E100" s="11" t="inlineStr">
        <is>
          <t>F3 能源</t>
        </is>
      </c>
      <c r="F100" s="9" t="inlineStr">
        <is>
          <t>USD</t>
        </is>
      </c>
      <c r="G100" s="11" t="inlineStr">
        <is>
          <t>25Q2 / 25Q3 / 25Q4 / 26Q1 / 26Q2</t>
        </is>
      </c>
      <c r="H100" s="12" t="n">
        <v>6101</v>
      </c>
      <c r="I100" s="12" t="n">
        <v>6570</v>
      </c>
      <c r="J100" s="12" t="n">
        <v>6074</v>
      </c>
      <c r="K100" s="12" t="n">
        <v>11122</v>
      </c>
      <c r="L100" s="12" t="n">
        <v>7504</v>
      </c>
      <c r="M100" s="13">
        <f>IF(OR(N(H100)=0,L100=""),"",L100/H100-1)</f>
        <v>0.22996230126208816</v>
      </c>
      <c r="N100" s="14" t="n">
        <v>1459</v>
      </c>
      <c r="O100" s="14" t="n">
        <v>806</v>
      </c>
      <c r="P100" s="14" t="n">
        <v>2266</v>
      </c>
      <c r="Q100" s="14" t="n">
        <v>-47</v>
      </c>
      <c r="R100" s="13">
        <f>IF(OR(N(L100)=0,Q100=""),"",Q100/L100)</f>
        <v>-0.006263326226012793</v>
      </c>
      <c r="S100" s="14" t="n">
        <v>1228</v>
      </c>
      <c r="T100" s="13">
        <f>IF(OR(N(L100)=0,S100=""),"",S100/L100)</f>
        <v>0.1636460554371002</v>
      </c>
      <c r="U100" s="14" t="n">
        <v>513</v>
      </c>
      <c r="V100" s="13">
        <f>IF(OR(N(L100)=0,U100=""),"",U100/L100)</f>
        <v>0.06836353944562899</v>
      </c>
      <c r="W100" s="14" t="n">
        <v>25533</v>
      </c>
      <c r="X100" s="14" t="n">
        <v>4198</v>
      </c>
      <c r="Y100" s="13">
        <f>IF(OR(N(W100)=0,X100=""),"",X100/W100)</f>
        <v>0.16441467904280735</v>
      </c>
      <c r="Z100" s="11" t="str">
        <f>IF(AA100="A","四季持續盈利",IF(AA100="B","最新季為正/波動",IF(AA100="C","虧損收窄",IF(AA100="D","虧損擴大或轉虧","數據不足"))))</f>
        <v>虧損擴大或轉虧</v>
      </c>
      <c r="AA100" s="9" t="str">
        <f>IF(COUNT(N100:Q100)&lt;4,"—",IF(MIN(N100:Q100)&gt;0,"A",IF(Q100&gt;0,"B",IF(Q100&gt;N100,"C","D"))))</f>
        <v>D</v>
      </c>
      <c r="AB100" s="9" t="inlineStr">
        <is>
          <t>2026-06-30</t>
        </is>
      </c>
    </row>
    <row r="101" ht="15" customHeight="1">
      <c r="A101" s="9" t="n">
        <v>100</v>
      </c>
      <c r="B101" s="10" t="inlineStr">
        <is>
          <t>CELH</t>
        </is>
      </c>
      <c r="C101" s="11" t="inlineStr">
        <is>
          <t>非酒精飲品</t>
        </is>
      </c>
      <c r="D101" s="11" t="inlineStr">
        <is>
          <t>Celsius Holdings, Inc.</t>
        </is>
      </c>
      <c r="E101" s="11" t="inlineStr">
        <is>
          <t>Beverages - Non-Alcoholic</t>
        </is>
      </c>
      <c r="F101" s="9" t="inlineStr">
        <is>
          <t>USD</t>
        </is>
      </c>
      <c r="G101" s="11" t="inlineStr">
        <is>
          <t>25Q2 / 25Q3 / 25Q4 / 26Q1 / 26Q2</t>
        </is>
      </c>
      <c r="H101" s="12" t="n">
        <v>739.259</v>
      </c>
      <c r="I101" s="12" t="n">
        <v>725.106</v>
      </c>
      <c r="J101" s="12" t="n">
        <v>721.628</v>
      </c>
      <c r="K101" s="12" t="n">
        <v>782.615</v>
      </c>
      <c r="L101" s="12" t="n">
        <v>817.925</v>
      </c>
      <c r="M101" s="13">
        <f>IF(OR(N(H101)=0,L101=""),"",L101/H101-1)</f>
        <v>0.1064119611665193</v>
      </c>
      <c r="N101" s="14" t="n">
        <v>166.708</v>
      </c>
      <c r="O101" s="14" t="n">
        <v>106.819</v>
      </c>
      <c r="P101" s="14" t="n">
        <v>143.42</v>
      </c>
      <c r="Q101" s="14" t="n">
        <v>156.115</v>
      </c>
      <c r="R101" s="13">
        <f>IF(OR(N(L101)=0,Q101=""),"",Q101/L101)</f>
        <v>0.1908671332946175</v>
      </c>
      <c r="S101" s="14" t="n">
        <v>393.688</v>
      </c>
      <c r="T101" s="13">
        <f>IF(OR(N(L101)=0,S101=""),"",S101/L101)</f>
        <v>0.4813253048873674</v>
      </c>
      <c r="U101" s="14" t="n">
        <v>55.293</v>
      </c>
      <c r="V101" s="13">
        <f>IF(OR(N(L101)=0,U101=""),"",U101/L101)</f>
        <v>0.06760155270960051</v>
      </c>
      <c r="W101" s="14" t="n">
        <v>2515.269</v>
      </c>
      <c r="X101" s="14" t="n">
        <v>468.523</v>
      </c>
      <c r="Y101" s="13">
        <f>IF(OR(N(W101)=0,X101=""),"",X101/W101)</f>
        <v>0.1862715280154926</v>
      </c>
      <c r="Z101" s="11" t="str">
        <f>IF(AA101="A","四季持續盈利",IF(AA101="B","最新季為正/波動",IF(AA101="C","虧損收窄",IF(AA101="D","虧損擴大或轉虧","數據不足"))))</f>
        <v>四季持續盈利</v>
      </c>
      <c r="AA101" s="9" t="str">
        <f>IF(COUNT(N101:Q101)&lt;4,"—",IF(MIN(N101:Q101)&gt;0,"A",IF(Q101&gt;0,"B",IF(Q101&gt;N101,"C","D"))))</f>
        <v>A</v>
      </c>
      <c r="AB101" s="9" t="inlineStr">
        <is>
          <t>2026-06-30</t>
        </is>
      </c>
    </row>
    <row r="102" ht="15" customHeight="1">
      <c r="A102" s="9" t="n">
        <v>101</v>
      </c>
      <c r="B102" s="10" t="inlineStr">
        <is>
          <t>CENX</t>
        </is>
      </c>
      <c r="C102" s="11" t="inlineStr">
        <is>
          <t>鋁業</t>
        </is>
      </c>
      <c r="D102" s="11" t="inlineStr">
        <is>
          <t>Century Aluminum Company</t>
        </is>
      </c>
      <c r="E102" s="11" t="inlineStr">
        <is>
          <t>Aluminum</t>
        </is>
      </c>
      <c r="F102" s="9" t="inlineStr">
        <is>
          <t>USD</t>
        </is>
      </c>
      <c r="G102" s="11" t="inlineStr">
        <is>
          <t>25Q2 / 25Q3 / 25Q4 / 26Q1 / 26Q2</t>
        </is>
      </c>
      <c r="H102" s="12" t="n">
        <v>628.1</v>
      </c>
      <c r="I102" s="12" t="n">
        <v>632.2</v>
      </c>
      <c r="J102" s="12" t="n">
        <v>633.7</v>
      </c>
      <c r="K102" s="12" t="n">
        <v>649.2</v>
      </c>
      <c r="L102" s="12" t="n">
        <v>752.1</v>
      </c>
      <c r="M102" s="13">
        <f>IF(OR(N(H102)=0,L102=""),"",L102/H102-1)</f>
        <v>0.1974207928673779</v>
      </c>
      <c r="N102" s="14" t="n">
        <v>58.3</v>
      </c>
      <c r="O102" s="14" t="n">
        <v>33</v>
      </c>
      <c r="P102" s="14" t="n">
        <v>86.09999999999999</v>
      </c>
      <c r="Q102" s="14" t="n">
        <v>211.6</v>
      </c>
      <c r="R102" s="13">
        <f>IF(OR(N(L102)=0,Q102=""),"",Q102/L102)</f>
        <v>0.28134556574923547</v>
      </c>
      <c r="S102" s="14" t="n">
        <v>227.9</v>
      </c>
      <c r="T102" s="13">
        <f>IF(OR(N(L102)=0,S102=""),"",S102/L102)</f>
        <v>0.3030182156628108</v>
      </c>
      <c r="U102" s="14" t="n">
        <v>249.3</v>
      </c>
      <c r="V102" s="13">
        <f>IF(OR(N(L102)=0,U102=""),"",U102/L102)</f>
        <v>0.3314718787395293</v>
      </c>
      <c r="W102" s="14" t="n">
        <v>2527.9</v>
      </c>
      <c r="X102" s="14" t="n">
        <v>158.1</v>
      </c>
      <c r="Y102" s="13">
        <f>IF(OR(N(W102)=0,X102=""),"",X102/W102)</f>
        <v>0.06254203093476798</v>
      </c>
      <c r="Z102" s="11" t="str">
        <f>IF(AA102="A","四季持續盈利",IF(AA102="B","最新季為正/波動",IF(AA102="C","虧損收窄",IF(AA102="D","虧損擴大或轉虧","數據不足"))))</f>
        <v>四季持續盈利</v>
      </c>
      <c r="AA102" s="9" t="str">
        <f>IF(COUNT(N102:Q102)&lt;4,"—",IF(MIN(N102:Q102)&gt;0,"A",IF(Q102&gt;0,"B",IF(Q102&gt;N102,"C","D"))))</f>
        <v>A</v>
      </c>
      <c r="AB102" s="9" t="inlineStr">
        <is>
          <t>2026-06-30</t>
        </is>
      </c>
    </row>
    <row r="103" ht="15" customHeight="1">
      <c r="A103" s="9" t="n">
        <v>102</v>
      </c>
      <c r="B103" s="10" t="inlineStr">
        <is>
          <t>CF</t>
        </is>
      </c>
      <c r="C103" s="11" t="inlineStr">
        <is>
          <t>基礎化工與化肥</t>
        </is>
      </c>
      <c r="D103" s="11" t="inlineStr">
        <is>
          <t>CF Industries Holdings, Inc.</t>
        </is>
      </c>
      <c r="E103" s="11" t="inlineStr">
        <is>
          <t>Agricultural Inputs</t>
        </is>
      </c>
      <c r="F103" s="9" t="inlineStr">
        <is>
          <t>USD</t>
        </is>
      </c>
      <c r="G103" s="11" t="inlineStr">
        <is>
          <t>25Q2 / 25Q3 / 25Q4 / 26Q1 / 26Q2</t>
        </is>
      </c>
      <c r="H103" s="12" t="n">
        <v>1890</v>
      </c>
      <c r="I103" s="12" t="n">
        <v>1659</v>
      </c>
      <c r="J103" s="12" t="n">
        <v>1872</v>
      </c>
      <c r="K103" s="12" t="n">
        <v>1986</v>
      </c>
      <c r="L103" s="12" t="n">
        <v>2222</v>
      </c>
      <c r="M103" s="13">
        <f>IF(OR(N(H103)=0,L103=""),"",L103/H103-1)</f>
        <v>0.17566137566137563</v>
      </c>
      <c r="N103" s="14" t="n">
        <v>574</v>
      </c>
      <c r="O103" s="14" t="n">
        <v>681</v>
      </c>
      <c r="P103" s="14" t="n">
        <v>687</v>
      </c>
      <c r="Q103" s="14" t="n">
        <v>1103</v>
      </c>
      <c r="R103" s="13">
        <f>IF(OR(N(L103)=0,Q103=""),"",Q103/L103)</f>
        <v>0.4963996399639964</v>
      </c>
      <c r="S103" s="14" t="n">
        <v>1145</v>
      </c>
      <c r="T103" s="13">
        <f>IF(OR(N(L103)=0,S103=""),"",S103/L103)</f>
        <v>0.5153015301530153</v>
      </c>
      <c r="U103" s="14" t="n">
        <v>727</v>
      </c>
      <c r="V103" s="13">
        <f>IF(OR(N(L103)=0,U103=""),"",U103/L103)</f>
        <v>0.32718271827182716</v>
      </c>
      <c r="W103" s="14" t="n">
        <v>7084</v>
      </c>
      <c r="X103" s="14" t="n">
        <v>2375</v>
      </c>
      <c r="Y103" s="13">
        <f>IF(OR(N(W103)=0,X103=""),"",X103/W103)</f>
        <v>0.3352625635234331</v>
      </c>
      <c r="Z103" s="11" t="str">
        <f>IF(AA103="A","四季持續盈利",IF(AA103="B","最新季為正/波動",IF(AA103="C","虧損收窄",IF(AA103="D","虧損擴大或轉虧","數據不足"))))</f>
        <v>四季持續盈利</v>
      </c>
      <c r="AA103" s="9" t="str">
        <f>IF(COUNT(N103:Q103)&lt;4,"—",IF(MIN(N103:Q103)&gt;0,"A",IF(Q103&gt;0,"B",IF(Q103&gt;N103,"C","D"))))</f>
        <v>A</v>
      </c>
      <c r="AB103" s="9" t="inlineStr">
        <is>
          <t>2026-06-30</t>
        </is>
      </c>
    </row>
    <row r="104" ht="15" customHeight="1">
      <c r="A104" s="9" t="n">
        <v>103</v>
      </c>
      <c r="B104" s="10" t="inlineStr">
        <is>
          <t>CHD</t>
        </is>
      </c>
      <c r="C104" s="11" t="inlineStr">
        <is>
          <t>家庭與個人護理</t>
        </is>
      </c>
      <c r="D104" s="11" t="inlineStr">
        <is>
          <t>Church &amp; Dwight Co., Inc.</t>
        </is>
      </c>
      <c r="E104" s="11" t="inlineStr">
        <is>
          <t>Household &amp; Personal Products</t>
        </is>
      </c>
      <c r="F104" s="9" t="inlineStr">
        <is>
          <t>USD</t>
        </is>
      </c>
      <c r="G104" s="11" t="inlineStr">
        <is>
          <t>25Q2 / 25Q3 / 25Q4 / 26Q1 / 26Q2</t>
        </is>
      </c>
      <c r="H104" s="12" t="n">
        <v>1506.3</v>
      </c>
      <c r="I104" s="12" t="n">
        <v>1585.6</v>
      </c>
      <c r="J104" s="12" t="n">
        <v>1644.2</v>
      </c>
      <c r="K104" s="12" t="n">
        <v>1469.3</v>
      </c>
      <c r="L104" s="12" t="n"/>
      <c r="M104" s="13" t="str">
        <f>IF(OR(N(H104)=0,L104=""),"",L104/H104-1)</f>
        <v/>
      </c>
      <c r="N104" s="14" t="n">
        <v>254.6</v>
      </c>
      <c r="O104" s="14" t="n">
        <v>266</v>
      </c>
      <c r="P104" s="14" t="n">
        <v>291</v>
      </c>
      <c r="Q104" s="14" t="n"/>
      <c r="R104" s="13" t="str">
        <f>IF(OR(N(L104)=0,Q104=""),"",Q104/L104)</f>
        <v/>
      </c>
      <c r="S104" s="14" t="n"/>
      <c r="T104" s="13" t="str">
        <f>IF(OR(N(L104)=0,S104=""),"",S104/L104)</f>
        <v/>
      </c>
      <c r="U104" s="14" t="n"/>
      <c r="V104" s="13" t="str">
        <f>IF(OR(N(L104)=0,U104=""),"",U104/L104)</f>
        <v/>
      </c>
      <c r="W104" s="14" t="n">
        <v>6203.2</v>
      </c>
      <c r="X104" s="14" t="n">
        <v>1077.6</v>
      </c>
      <c r="Y104" s="13">
        <f>IF(OR(N(W104)=0,X104=""),"",X104/W104)</f>
        <v>0.1737167913335053</v>
      </c>
      <c r="Z104" s="11" t="str">
        <f>IF(AA104="A","四季持續盈利",IF(AA104="B","最新季為正/波動",IF(AA104="C","虧損收窄",IF(AA104="D","虧損擴大或轉虧","數據不足"))))</f>
        <v>數據不足</v>
      </c>
      <c r="AA104" s="9" t="str">
        <f>IF(COUNT(N104:Q104)&lt;4,"—",IF(MIN(N104:Q104)&gt;0,"A",IF(Q104&gt;0,"B",IF(Q104&gt;N104,"C","D"))))</f>
        <v>—</v>
      </c>
      <c r="AB104" s="9" t="inlineStr">
        <is>
          <t>2026-06-30</t>
        </is>
      </c>
    </row>
    <row r="105" ht="15" customHeight="1">
      <c r="A105" s="9" t="n">
        <v>104</v>
      </c>
      <c r="B105" s="10" t="inlineStr">
        <is>
          <t>CHEF</t>
        </is>
      </c>
      <c r="C105" s="11" t="inlineStr">
        <is>
          <t>必需品分銷</t>
        </is>
      </c>
      <c r="D105" s="11" t="inlineStr">
        <is>
          <t>The Chefs' Warehouse, Inc.</t>
        </is>
      </c>
      <c r="E105" s="11" t="inlineStr">
        <is>
          <t>Food Distribution</t>
        </is>
      </c>
      <c r="F105" s="9" t="inlineStr">
        <is>
          <t>USD</t>
        </is>
      </c>
      <c r="G105" s="11" t="inlineStr">
        <is>
          <t>25Q2 / 25Q3 / 25Q4 / 26Q1 / 26Q2</t>
        </is>
      </c>
      <c r="H105" s="12" t="n">
        <v>1034.906</v>
      </c>
      <c r="I105" s="12" t="n">
        <v>1021.319</v>
      </c>
      <c r="J105" s="12" t="n">
        <v>1142.564</v>
      </c>
      <c r="K105" s="12" t="n">
        <v>1059.01</v>
      </c>
      <c r="L105" s="12" t="n">
        <v>1168.613</v>
      </c>
      <c r="M105" s="13">
        <f>IF(OR(N(H105)=0,L105=""),"",L105/H105-1)</f>
        <v>0.12919724110209052</v>
      </c>
      <c r="N105" s="14" t="n">
        <v>38.936</v>
      </c>
      <c r="O105" s="14" t="n">
        <v>51.219</v>
      </c>
      <c r="P105" s="14" t="n">
        <v>33.134</v>
      </c>
      <c r="Q105" s="14" t="n">
        <v>58.629</v>
      </c>
      <c r="R105" s="13">
        <f>IF(OR(N(L105)=0,Q105=""),"",Q105/L105)</f>
        <v>0.050169731125702006</v>
      </c>
      <c r="S105" s="14" t="n">
        <v>292.887</v>
      </c>
      <c r="T105" s="13">
        <f>IF(OR(N(L105)=0,S105=""),"",S105/L105)</f>
        <v>0.2506278810863819</v>
      </c>
      <c r="U105" s="14" t="n">
        <v>33.767</v>
      </c>
      <c r="V105" s="13">
        <f>IF(OR(N(L105)=0,U105=""),"",U105/L105)</f>
        <v>0.02889493784512067</v>
      </c>
      <c r="W105" s="14" t="n">
        <v>4149.537</v>
      </c>
      <c r="X105" s="14" t="n">
        <v>153.106</v>
      </c>
      <c r="Y105" s="13">
        <f>IF(OR(N(W105)=0,X105=""),"",X105/W105)</f>
        <v>0.03689712852301353</v>
      </c>
      <c r="Z105" s="11" t="str">
        <f>IF(AA105="A","四季持續盈利",IF(AA105="B","最新季為正/波動",IF(AA105="C","虧損收窄",IF(AA105="D","虧損擴大或轉虧","數據不足"))))</f>
        <v>四季持續盈利</v>
      </c>
      <c r="AA105" s="9" t="str">
        <f>IF(COUNT(N105:Q105)&lt;4,"—",IF(MIN(N105:Q105)&gt;0,"A",IF(Q105&gt;0,"B",IF(Q105&gt;N105,"C","D"))))</f>
        <v>A</v>
      </c>
      <c r="AB105" s="9" t="inlineStr">
        <is>
          <t>2026-06-30</t>
        </is>
      </c>
    </row>
    <row r="106" ht="15" customHeight="1">
      <c r="A106" s="9" t="n">
        <v>105</v>
      </c>
      <c r="B106" s="10" t="inlineStr">
        <is>
          <t>CHTR</t>
        </is>
      </c>
      <c r="C106" s="11" t="inlineStr">
        <is>
          <t>有線/寬頻/衛星</t>
        </is>
      </c>
      <c r="D106" s="11" t="inlineStr">
        <is>
          <t>Charter Communications, Inc.</t>
        </is>
      </c>
      <c r="E106" s="11" t="inlineStr">
        <is>
          <t>Telecom Services</t>
        </is>
      </c>
      <c r="F106" s="9" t="inlineStr">
        <is>
          <t>USD</t>
        </is>
      </c>
      <c r="G106" s="11" t="inlineStr">
        <is>
          <t>25Q2 / 25Q3 / 25Q4 / 26Q1 / 26Q2</t>
        </is>
      </c>
      <c r="H106" s="12" t="n">
        <v>13766</v>
      </c>
      <c r="I106" s="12" t="n">
        <v>13672</v>
      </c>
      <c r="J106" s="12" t="n">
        <v>13601</v>
      </c>
      <c r="K106" s="12" t="n">
        <v>13597</v>
      </c>
      <c r="L106" s="12" t="n">
        <v>13526</v>
      </c>
      <c r="M106" s="13">
        <f>IF(OR(N(H106)=0,L106=""),"",L106/H106-1)</f>
        <v>-0.017434258317594042</v>
      </c>
      <c r="N106" s="14" t="n">
        <v>3250</v>
      </c>
      <c r="O106" s="14" t="n">
        <v>3354</v>
      </c>
      <c r="P106" s="14" t="n">
        <v>3223</v>
      </c>
      <c r="Q106" s="14" t="n">
        <v>3114</v>
      </c>
      <c r="R106" s="13">
        <f>IF(OR(N(L106)=0,Q106=""),"",Q106/L106)</f>
        <v>0.23022327369510573</v>
      </c>
      <c r="S106" s="14" t="n">
        <v>7556</v>
      </c>
      <c r="T106" s="13">
        <f>IF(OR(N(L106)=0,S106=""),"",S106/L106)</f>
        <v>0.5586278278870324</v>
      </c>
      <c r="U106" s="14" t="n">
        <v>1292</v>
      </c>
      <c r="V106" s="13">
        <f>IF(OR(N(L106)=0,U106=""),"",U106/L106)</f>
        <v>0.09551973976046134</v>
      </c>
      <c r="W106" s="14" t="n">
        <v>54774</v>
      </c>
      <c r="X106" s="14" t="n">
        <v>13324</v>
      </c>
      <c r="Y106" s="13">
        <f>IF(OR(N(W106)=0,X106=""),"",X106/W106)</f>
        <v>0.24325409865994815</v>
      </c>
      <c r="Z106" s="11" t="str">
        <f>IF(AA106="A","四季持續盈利",IF(AA106="B","最新季為正/波動",IF(AA106="C","虧損收窄",IF(AA106="D","虧損擴大或轉虧","數據不足"))))</f>
        <v>四季持續盈利</v>
      </c>
      <c r="AA106" s="9" t="str">
        <f>IF(COUNT(N106:Q106)&lt;4,"—",IF(MIN(N106:Q106)&gt;0,"A",IF(Q106&gt;0,"B",IF(Q106&gt;N106,"C","D"))))</f>
        <v>A</v>
      </c>
      <c r="AB106" s="9" t="inlineStr">
        <is>
          <t>2026-06-30</t>
        </is>
      </c>
    </row>
    <row r="107" ht="15" customHeight="1">
      <c r="A107" s="9" t="n">
        <v>106</v>
      </c>
      <c r="B107" s="10" t="inlineStr">
        <is>
          <t>CHWY</t>
        </is>
      </c>
      <c r="C107" s="11" t="inlineStr">
        <is>
          <t>電商平台</t>
        </is>
      </c>
      <c r="D107" s="11" t="inlineStr">
        <is>
          <t>Chewy, Inc.</t>
        </is>
      </c>
      <c r="E107" s="11" t="inlineStr">
        <is>
          <t>Internet Retail</t>
        </is>
      </c>
      <c r="F107" s="9" t="inlineStr">
        <is>
          <t>USD</t>
        </is>
      </c>
      <c r="G107" s="11" t="inlineStr">
        <is>
          <t>25Q2 / 25Q3 / 25Q4 / 26Q1 / 26Q2</t>
        </is>
      </c>
      <c r="H107" s="12" t="n">
        <v>3116</v>
      </c>
      <c r="I107" s="12" t="n">
        <v>3104.2</v>
      </c>
      <c r="J107" s="12" t="n">
        <v>3116.6</v>
      </c>
      <c r="K107" s="12" t="n">
        <v>3264.7</v>
      </c>
      <c r="L107" s="12" t="n">
        <v>3357.2</v>
      </c>
      <c r="M107" s="13">
        <f>IF(OR(N(H107)=0,L107=""),"",L107/H107-1)</f>
        <v>0.07740693196405646</v>
      </c>
      <c r="N107" s="14" t="n">
        <v>69.7</v>
      </c>
      <c r="O107" s="14" t="n">
        <v>65.2</v>
      </c>
      <c r="P107" s="14" t="n">
        <v>42.5</v>
      </c>
      <c r="Q107" s="14" t="n">
        <v>128.5</v>
      </c>
      <c r="R107" s="13">
        <f>IF(OR(N(L107)=0,Q107=""),"",Q107/L107)</f>
        <v>0.038275944239246996</v>
      </c>
      <c r="S107" s="14" t="n">
        <v>1011.4</v>
      </c>
      <c r="T107" s="13">
        <f>IF(OR(N(L107)=0,S107=""),"",S107/L107)</f>
        <v>0.30126295722626</v>
      </c>
      <c r="U107" s="14" t="n">
        <v>94.8</v>
      </c>
      <c r="V107" s="13">
        <f>IF(OR(N(L107)=0,U107=""),"",U107/L107)</f>
        <v>0.02823781722864292</v>
      </c>
      <c r="W107" s="14" t="n">
        <v>12601.5</v>
      </c>
      <c r="X107" s="14" t="n">
        <v>254.3</v>
      </c>
      <c r="Y107" s="13">
        <f>IF(OR(N(W107)=0,X107=""),"",X107/W107)</f>
        <v>0.020180137285243822</v>
      </c>
      <c r="Z107" s="11" t="str">
        <f>IF(AA107="A","四季持續盈利",IF(AA107="B","最新季為正/波動",IF(AA107="C","虧損收窄",IF(AA107="D","虧損擴大或轉虧","數據不足"))))</f>
        <v>四季持續盈利</v>
      </c>
      <c r="AA107" s="9" t="str">
        <f>IF(COUNT(N107:Q107)&lt;4,"—",IF(MIN(N107:Q107)&gt;0,"A",IF(Q107&gt;0,"B",IF(Q107&gt;N107,"C","D"))))</f>
        <v>A</v>
      </c>
      <c r="AB107" s="9" t="inlineStr">
        <is>
          <t>2026-04-30</t>
        </is>
      </c>
    </row>
    <row r="108" ht="15" customHeight="1">
      <c r="A108" s="9" t="n">
        <v>107</v>
      </c>
      <c r="B108" s="10" t="inlineStr">
        <is>
          <t>CI</t>
        </is>
      </c>
      <c r="C108" s="11" t="inlineStr">
        <is>
          <t>醫療保險與管理式醫療</t>
        </is>
      </c>
      <c r="D108" s="11" t="inlineStr">
        <is>
          <t>The Cigna Group</t>
        </is>
      </c>
      <c r="E108" s="11" t="inlineStr">
        <is>
          <t>Healthcare Plans</t>
        </is>
      </c>
      <c r="F108" s="9" t="inlineStr">
        <is>
          <t>USD</t>
        </is>
      </c>
      <c r="G108" s="11" t="inlineStr">
        <is>
          <t>25Q2 / 25Q3 / 25Q4 / 26Q1 / 26Q2</t>
        </is>
      </c>
      <c r="H108" s="12" t="n">
        <v>66942</v>
      </c>
      <c r="I108" s="12" t="n">
        <v>69515</v>
      </c>
      <c r="J108" s="12" t="n">
        <v>72133</v>
      </c>
      <c r="K108" s="12" t="n">
        <v>68292</v>
      </c>
      <c r="L108" s="12" t="n">
        <v>71396</v>
      </c>
      <c r="M108" s="13">
        <f>IF(OR(N(H108)=0,L108=""),"",L108/H108-1)</f>
        <v>0.06653520958441628</v>
      </c>
      <c r="N108" s="14" t="n">
        <v>2345</v>
      </c>
      <c r="O108" s="14" t="n">
        <v>2006</v>
      </c>
      <c r="P108" s="14" t="n">
        <v>2156</v>
      </c>
      <c r="Q108" s="14" t="n">
        <v>2404</v>
      </c>
      <c r="R108" s="13">
        <f>IF(OR(N(L108)=0,Q108=""),"",Q108/L108)</f>
        <v>0.033671354137486696</v>
      </c>
      <c r="S108" s="14" t="n">
        <v>6263</v>
      </c>
      <c r="T108" s="13">
        <f>IF(OR(N(L108)=0,S108=""),"",S108/L108)</f>
        <v>0.08772200123256205</v>
      </c>
      <c r="U108" s="14" t="n">
        <v>1660</v>
      </c>
      <c r="V108" s="13">
        <f>IF(OR(N(L108)=0,U108=""),"",U108/L108)</f>
        <v>0.023250602274637235</v>
      </c>
      <c r="W108" s="14" t="n">
        <v>273854</v>
      </c>
      <c r="X108" s="14" t="n">
        <v>8154</v>
      </c>
      <c r="Y108" s="13">
        <f>IF(OR(N(W108)=0,X108=""),"",X108/W108)</f>
        <v>0.029774989592994808</v>
      </c>
      <c r="Z108" s="11" t="str">
        <f>IF(AA108="A","四季持續盈利",IF(AA108="B","最新季為正/波動",IF(AA108="C","虧損收窄",IF(AA108="D","虧損擴大或轉虧","數據不足"))))</f>
        <v>四季持續盈利</v>
      </c>
      <c r="AA108" s="9" t="str">
        <f>IF(COUNT(N108:Q108)&lt;4,"—",IF(MIN(N108:Q108)&gt;0,"A",IF(Q108&gt;0,"B",IF(Q108&gt;N108,"C","D"))))</f>
        <v>A</v>
      </c>
      <c r="AB108" s="9" t="inlineStr">
        <is>
          <t>2026-06-30</t>
        </is>
      </c>
    </row>
    <row r="109" ht="15" customHeight="1">
      <c r="A109" s="9" t="n">
        <v>108</v>
      </c>
      <c r="B109" s="10" t="inlineStr">
        <is>
          <t>CIEN</t>
        </is>
      </c>
      <c r="C109" s="11" t="inlineStr">
        <is>
          <t>AI資料中心建設</t>
        </is>
      </c>
      <c r="D109" s="11" t="inlineStr">
        <is>
          <t>Ciena Corporation</t>
        </is>
      </c>
      <c r="E109" s="11" t="inlineStr">
        <is>
          <t>D4 網絡交換</t>
        </is>
      </c>
      <c r="F109" s="9" t="inlineStr">
        <is>
          <t>USD</t>
        </is>
      </c>
      <c r="G109" s="11" t="inlineStr">
        <is>
          <t>25Q2 / 25Q3 / 25Q4 / 26Q1 / 26Q2</t>
        </is>
      </c>
      <c r="H109" s="12" t="n">
        <v>1125.878</v>
      </c>
      <c r="I109" s="12" t="n">
        <v>1219.385</v>
      </c>
      <c r="J109" s="12" t="n">
        <v>1351.984</v>
      </c>
      <c r="K109" s="12" t="n">
        <v>1427.042</v>
      </c>
      <c r="L109" s="12" t="n">
        <v>1570.739</v>
      </c>
      <c r="M109" s="13">
        <f>IF(OR(N(H109)=0,L109=""),"",L109/H109-1)</f>
        <v>0.39512362795969014</v>
      </c>
      <c r="N109" s="14" t="n">
        <v>75.30500000000001</v>
      </c>
      <c r="O109" s="14" t="n">
        <v>118.49</v>
      </c>
      <c r="P109" s="14" t="n">
        <v>191.216</v>
      </c>
      <c r="Q109" s="14" t="n">
        <v>238.676</v>
      </c>
      <c r="R109" s="13">
        <f>IF(OR(N(L109)=0,Q109=""),"",Q109/L109)</f>
        <v>0.15195140631257006</v>
      </c>
      <c r="S109" s="14" t="n">
        <v>691.554</v>
      </c>
      <c r="T109" s="13">
        <f>IF(OR(N(L109)=0,S109=""),"",S109/L109)</f>
        <v>0.44027301798707486</v>
      </c>
      <c r="U109" s="14" t="n">
        <v>218.22</v>
      </c>
      <c r="V109" s="13">
        <f>IF(OR(N(L109)=0,U109=""),"",U109/L109)</f>
        <v>0.1389282369636203</v>
      </c>
      <c r="W109" s="14" t="n">
        <v>4769.507</v>
      </c>
      <c r="X109" s="14" t="n">
        <v>310.792</v>
      </c>
      <c r="Y109" s="13">
        <f>IF(OR(N(W109)=0,X109=""),"",X109/W109)</f>
        <v>0.06516229035831167</v>
      </c>
      <c r="Z109" s="11" t="str">
        <f>IF(AA109="A","四季持續盈利",IF(AA109="B","最新季為正/波動",IF(AA109="C","虧損收窄",IF(AA109="D","虧損擴大或轉虧","數據不足"))))</f>
        <v>四季持續盈利</v>
      </c>
      <c r="AA109" s="9" t="str">
        <f>IF(COUNT(N109:Q109)&lt;4,"—",IF(MIN(N109:Q109)&gt;0,"A",IF(Q109&gt;0,"B",IF(Q109&gt;N109,"C","D"))))</f>
        <v>A</v>
      </c>
      <c r="AB109" s="9" t="inlineStr">
        <is>
          <t>2026-04-30</t>
        </is>
      </c>
    </row>
    <row r="110" ht="15" customHeight="1">
      <c r="A110" s="9" t="n">
        <v>109</v>
      </c>
      <c r="B110" s="10" t="inlineStr">
        <is>
          <t>CL</t>
        </is>
      </c>
      <c r="C110" s="11" t="inlineStr">
        <is>
          <t>家庭與個人護理</t>
        </is>
      </c>
      <c r="D110" s="11" t="inlineStr">
        <is>
          <t>Colgate-Palmolive Company</t>
        </is>
      </c>
      <c r="E110" s="11" t="inlineStr">
        <is>
          <t>Household &amp; Personal Products</t>
        </is>
      </c>
      <c r="F110" s="9" t="inlineStr">
        <is>
          <t>USD</t>
        </is>
      </c>
      <c r="G110" s="11" t="inlineStr">
        <is>
          <t>25Q2 / 25Q3 / 25Q4 / 26Q1 / 26Q2</t>
        </is>
      </c>
      <c r="H110" s="12" t="n">
        <v>5110</v>
      </c>
      <c r="I110" s="12" t="n">
        <v>5131</v>
      </c>
      <c r="J110" s="12" t="n">
        <v>5230</v>
      </c>
      <c r="K110" s="12" t="n">
        <v>5324</v>
      </c>
      <c r="L110" s="12" t="n">
        <v>5361</v>
      </c>
      <c r="M110" s="13">
        <f>IF(OR(N(H110)=0,L110=""),"",L110/H110-1)</f>
        <v>0.049119373776908004</v>
      </c>
      <c r="N110" s="14" t="n">
        <v>1059</v>
      </c>
      <c r="O110" s="14" t="n">
        <v>1019</v>
      </c>
      <c r="P110" s="14" t="n">
        <v>964</v>
      </c>
      <c r="Q110" s="14" t="n">
        <v>1016</v>
      </c>
      <c r="R110" s="13">
        <f>IF(OR(N(L110)=0,Q110=""),"",Q110/L110)</f>
        <v>0.18951688117888454</v>
      </c>
      <c r="S110" s="14" t="n">
        <v>3296</v>
      </c>
      <c r="T110" s="13">
        <f>IF(OR(N(L110)=0,S110=""),"",S110/L110)</f>
        <v>0.6148106696511845</v>
      </c>
      <c r="U110" s="14" t="n">
        <v>693</v>
      </c>
      <c r="V110" s="13">
        <f>IF(OR(N(L110)=0,U110=""),"",U110/L110)</f>
        <v>0.12926692781197538</v>
      </c>
      <c r="W110" s="14" t="n">
        <v>20382</v>
      </c>
      <c r="X110" s="14" t="n">
        <v>4233</v>
      </c>
      <c r="Y110" s="13">
        <f>IF(OR(N(W110)=0,X110=""),"",X110/W110)</f>
        <v>0.20768324992640566</v>
      </c>
      <c r="Z110" s="11" t="str">
        <f>IF(AA110="A","四季持續盈利",IF(AA110="B","最新季為正/波動",IF(AA110="C","虧損收窄",IF(AA110="D","虧損擴大或轉虧","數據不足"))))</f>
        <v>四季持續盈利</v>
      </c>
      <c r="AA110" s="9" t="str">
        <f>IF(COUNT(N110:Q110)&lt;4,"—",IF(MIN(N110:Q110)&gt;0,"A",IF(Q110&gt;0,"B",IF(Q110&gt;N110,"C","D"))))</f>
        <v>A</v>
      </c>
      <c r="AB110" s="9" t="inlineStr">
        <is>
          <t>2026-06-30</t>
        </is>
      </c>
    </row>
    <row r="111" ht="15" customHeight="1">
      <c r="A111" s="9" t="n">
        <v>110</v>
      </c>
      <c r="B111" s="10" t="inlineStr">
        <is>
          <t>CLF</t>
        </is>
      </c>
      <c r="C111" s="11" t="inlineStr">
        <is>
          <t>鋼鐵</t>
        </is>
      </c>
      <c r="D111" s="11" t="inlineStr">
        <is>
          <t>Cleveland-Cliffs Inc.</t>
        </is>
      </c>
      <c r="E111" s="11" t="inlineStr">
        <is>
          <t>Steel</t>
        </is>
      </c>
      <c r="F111" s="9" t="inlineStr">
        <is>
          <t>USD</t>
        </is>
      </c>
      <c r="G111" s="11" t="inlineStr">
        <is>
          <t>25Q2 / 25Q3 / 25Q4 / 26Q1 / 26Q2</t>
        </is>
      </c>
      <c r="H111" s="12" t="n">
        <v>4934</v>
      </c>
      <c r="I111" s="12" t="n">
        <v>4734</v>
      </c>
      <c r="J111" s="12" t="n">
        <v>4313</v>
      </c>
      <c r="K111" s="12" t="n">
        <v>4922</v>
      </c>
      <c r="L111" s="12" t="n">
        <v>5226</v>
      </c>
      <c r="M111" s="13">
        <f>IF(OR(N(H111)=0,L111=""),"",L111/H111-1)</f>
        <v>0.05918119173084713</v>
      </c>
      <c r="N111" s="14" t="n">
        <v>-201</v>
      </c>
      <c r="O111" s="14" t="n">
        <v>-337</v>
      </c>
      <c r="P111" s="14" t="n">
        <v>-213</v>
      </c>
      <c r="Q111" s="14" t="n">
        <v>-46</v>
      </c>
      <c r="R111" s="13">
        <f>IF(OR(N(L111)=0,Q111=""),"",Q111/L111)</f>
        <v>-0.008802143130501339</v>
      </c>
      <c r="S111" s="14" t="n">
        <v>132</v>
      </c>
      <c r="T111" s="13">
        <f>IF(OR(N(L111)=0,S111=""),"",S111/L111)</f>
        <v>0.02525832376578645</v>
      </c>
      <c r="U111" s="14" t="n">
        <v>-145</v>
      </c>
      <c r="V111" s="13">
        <f>IF(OR(N(L111)=0,U111=""),"",U111/L111)</f>
        <v>-0.02774588595484118</v>
      </c>
      <c r="W111" s="14" t="n">
        <v>18610</v>
      </c>
      <c r="X111" s="14" t="n">
        <v>-1453</v>
      </c>
      <c r="Y111" s="13">
        <f>IF(OR(N(W111)=0,X111=""),"",X111/W111)</f>
        <v>-0.07807630306286943</v>
      </c>
      <c r="Z111" s="11" t="str">
        <f>IF(AA111="A","四季持續盈利",IF(AA111="B","最新季為正/波動",IF(AA111="C","虧損收窄",IF(AA111="D","虧損擴大或轉虧","數據不足"))))</f>
        <v>虧損收窄</v>
      </c>
      <c r="AA111" s="9" t="str">
        <f>IF(COUNT(N111:Q111)&lt;4,"—",IF(MIN(N111:Q111)&gt;0,"A",IF(Q111&gt;0,"B",IF(Q111&gt;N111,"C","D"))))</f>
        <v>C</v>
      </c>
      <c r="AB111" s="9" t="inlineStr">
        <is>
          <t>2026-06-30</t>
        </is>
      </c>
    </row>
    <row r="112" ht="15" customHeight="1">
      <c r="A112" s="9" t="n">
        <v>111</v>
      </c>
      <c r="B112" s="10" t="inlineStr">
        <is>
          <t>CLH</t>
        </is>
      </c>
      <c r="C112" s="11" t="inlineStr">
        <is>
          <t>廢物管理與環境服務</t>
        </is>
      </c>
      <c r="D112" s="11" t="inlineStr">
        <is>
          <t>Clean Harbors, Inc.</t>
        </is>
      </c>
      <c r="E112" s="11" t="inlineStr">
        <is>
          <t>Waste Management</t>
        </is>
      </c>
      <c r="F112" s="9" t="inlineStr">
        <is>
          <t>USD</t>
        </is>
      </c>
      <c r="G112" s="11" t="inlineStr">
        <is>
          <t>25Q2 / 25Q3 / 25Q4 / 26Q1 / 26Q2</t>
        </is>
      </c>
      <c r="H112" s="12" t="n">
        <v>1549.854</v>
      </c>
      <c r="I112" s="12" t="n">
        <v>1549.337</v>
      </c>
      <c r="J112" s="12" t="n">
        <v>1499.696</v>
      </c>
      <c r="K112" s="12" t="n">
        <v>1459.537</v>
      </c>
      <c r="L112" s="12" t="n">
        <v>1735.005</v>
      </c>
      <c r="M112" s="13">
        <f>IF(OR(N(H112)=0,L112=""),"",L112/H112-1)</f>
        <v>0.1194635107564972</v>
      </c>
      <c r="N112" s="14" t="n">
        <v>193.009</v>
      </c>
      <c r="O112" s="14" t="n">
        <v>158.446</v>
      </c>
      <c r="P112" s="14" t="n">
        <v>118.935</v>
      </c>
      <c r="Q112" s="14" t="n">
        <v>268.897</v>
      </c>
      <c r="R112" s="13">
        <f>IF(OR(N(L112)=0,Q112=""),"",Q112/L112)</f>
        <v>0.15498341503338606</v>
      </c>
      <c r="S112" s="14" t="n">
        <v>608.78</v>
      </c>
      <c r="T112" s="13">
        <f>IF(OR(N(L112)=0,S112=""),"",S112/L112)</f>
        <v>0.3508808331964461</v>
      </c>
      <c r="U112" s="14" t="n">
        <v>170.464</v>
      </c>
      <c r="V112" s="13">
        <f>IF(OR(N(L112)=0,U112=""),"",U112/L112)</f>
        <v>0.09824986095140935</v>
      </c>
      <c r="W112" s="14" t="n">
        <v>6030.837</v>
      </c>
      <c r="X112" s="14" t="n">
        <v>673.372</v>
      </c>
      <c r="Y112" s="13">
        <f>IF(OR(N(W112)=0,X112=""),"",X112/W112)</f>
        <v>0.11165481673605171</v>
      </c>
      <c r="Z112" s="11" t="str">
        <f>IF(AA112="A","四季持續盈利",IF(AA112="B","最新季為正/波動",IF(AA112="C","虧損收窄",IF(AA112="D","虧損擴大或轉虧","數據不足"))))</f>
        <v>四季持續盈利</v>
      </c>
      <c r="AA112" s="9" t="str">
        <f>IF(COUNT(N112:Q112)&lt;4,"—",IF(MIN(N112:Q112)&gt;0,"A",IF(Q112&gt;0,"B",IF(Q112&gt;N112,"C","D"))))</f>
        <v>A</v>
      </c>
      <c r="AB112" s="9" t="inlineStr">
        <is>
          <t>2026-06-30</t>
        </is>
      </c>
    </row>
    <row r="113" ht="15" customHeight="1">
      <c r="A113" s="9" t="n">
        <v>112</v>
      </c>
      <c r="B113" s="10" t="inlineStr">
        <is>
          <t>CMCSA</t>
        </is>
      </c>
      <c r="C113" s="11" t="inlineStr">
        <is>
          <t>有線/寬頻/衛星</t>
        </is>
      </c>
      <c r="D113" s="11" t="inlineStr">
        <is>
          <t>Comcast Corporation</t>
        </is>
      </c>
      <c r="E113" s="11" t="inlineStr">
        <is>
          <t>Telecom Services</t>
        </is>
      </c>
      <c r="F113" s="9" t="inlineStr">
        <is>
          <t>USD</t>
        </is>
      </c>
      <c r="G113" s="11" t="inlineStr">
        <is>
          <t>25Q2 / 25Q3 / 25Q4 / 26Q1 / 26Q2</t>
        </is>
      </c>
      <c r="H113" s="12" t="n">
        <v>30313</v>
      </c>
      <c r="I113" s="12" t="n">
        <v>31198</v>
      </c>
      <c r="J113" s="12" t="n">
        <v>32310</v>
      </c>
      <c r="K113" s="12" t="n">
        <v>31457</v>
      </c>
      <c r="L113" s="12" t="n">
        <v>29940</v>
      </c>
      <c r="M113" s="13">
        <f>IF(OR(N(H113)=0,L113=""),"",L113/H113-1)</f>
        <v>-0.012304951670900288</v>
      </c>
      <c r="N113" s="14" t="n">
        <v>5533</v>
      </c>
      <c r="O113" s="14" t="n">
        <v>3486</v>
      </c>
      <c r="P113" s="14" t="n">
        <v>4135</v>
      </c>
      <c r="Q113" s="14" t="n">
        <v>5160</v>
      </c>
      <c r="R113" s="13">
        <f>IF(OR(N(L113)=0,Q113=""),"",Q113/L113)</f>
        <v>0.17234468937875752</v>
      </c>
      <c r="S113" s="14" t="n">
        <v>21551</v>
      </c>
      <c r="T113" s="13">
        <f>IF(OR(N(L113)=0,S113=""),"",S113/L113)</f>
        <v>0.7198062792251169</v>
      </c>
      <c r="U113" s="14" t="n">
        <v>3526</v>
      </c>
      <c r="V113" s="13">
        <f>IF(OR(N(L113)=0,U113=""),"",U113/L113)</f>
        <v>0.1177688710754843</v>
      </c>
      <c r="W113" s="14" t="n">
        <v>123707</v>
      </c>
      <c r="X113" s="14" t="n">
        <v>20670</v>
      </c>
      <c r="Y113" s="13">
        <f>IF(OR(N(W113)=0,X113=""),"",X113/W113)</f>
        <v>0.16708836201670074</v>
      </c>
      <c r="Z113" s="11" t="str">
        <f>IF(AA113="A","四季持續盈利",IF(AA113="B","最新季為正/波動",IF(AA113="C","虧損收窄",IF(AA113="D","虧損擴大或轉虧","數據不足"))))</f>
        <v>四季持續盈利</v>
      </c>
      <c r="AA113" s="9" t="str">
        <f>IF(COUNT(N113:Q113)&lt;4,"—",IF(MIN(N113:Q113)&gt;0,"A",IF(Q113&gt;0,"B",IF(Q113&gt;N113,"C","D"))))</f>
        <v>A</v>
      </c>
      <c r="AB113" s="9" t="inlineStr">
        <is>
          <t>2026-06-30</t>
        </is>
      </c>
    </row>
    <row r="114" ht="15" customHeight="1">
      <c r="A114" s="9" t="n">
        <v>113</v>
      </c>
      <c r="B114" s="10" t="inlineStr">
        <is>
          <t>CME</t>
        </is>
      </c>
      <c r="C114" s="11" t="inlineStr">
        <is>
          <t>交易所與金融數據</t>
        </is>
      </c>
      <c r="D114" s="11" t="inlineStr">
        <is>
          <t>CME Group Inc.</t>
        </is>
      </c>
      <c r="E114" s="11" t="inlineStr">
        <is>
          <t>Financial Data &amp; Stock Exchanges</t>
        </is>
      </c>
      <c r="F114" s="9" t="inlineStr">
        <is>
          <t>USD</t>
        </is>
      </c>
      <c r="G114" s="11" t="inlineStr">
        <is>
          <t>25Q2 / 25Q3 / 25Q4 / 26Q1 / 26Q2</t>
        </is>
      </c>
      <c r="H114" s="12" t="n">
        <v>1692</v>
      </c>
      <c r="I114" s="12" t="n">
        <v>1537.6</v>
      </c>
      <c r="J114" s="12" t="n">
        <v>1648.7</v>
      </c>
      <c r="K114" s="12" t="n">
        <v>1880.1</v>
      </c>
      <c r="L114" s="12" t="n">
        <v>1706.2</v>
      </c>
      <c r="M114" s="13">
        <f>IF(OR(N(H114)=0,L114=""),"",L114/H114-1)</f>
        <v>0.008392434988179653</v>
      </c>
      <c r="N114" s="14" t="n">
        <v>972.6</v>
      </c>
      <c r="O114" s="14" t="n">
        <v>1019.6</v>
      </c>
      <c r="P114" s="14" t="n">
        <v>1309.7</v>
      </c>
      <c r="Q114" s="14" t="n">
        <v>1107.1</v>
      </c>
      <c r="R114" s="13">
        <f>IF(OR(N(L114)=0,Q114=""),"",Q114/L114)</f>
        <v>0.6488688313210643</v>
      </c>
      <c r="S114" s="14" t="n">
        <v>1472.7</v>
      </c>
      <c r="T114" s="13">
        <f>IF(OR(N(L114)=0,S114=""),"",S114/L114)</f>
        <v>0.86314617278162</v>
      </c>
      <c r="U114" s="14" t="n">
        <v>1041.8</v>
      </c>
      <c r="V114" s="13">
        <f>IF(OR(N(L114)=0,U114=""),"",U114/L114)</f>
        <v>0.6105966475208064</v>
      </c>
      <c r="W114" s="14" t="n">
        <v>6520.6</v>
      </c>
      <c r="X114" s="14" t="n">
        <v>4229.5</v>
      </c>
      <c r="Y114" s="13">
        <f>IF(OR(N(W114)=0,X114=""),"",X114/W114)</f>
        <v>0.6486366285311167</v>
      </c>
      <c r="Z114" s="11" t="str">
        <f>IF(AA114="A","四季持續盈利",IF(AA114="B","最新季為正/波動",IF(AA114="C","虧損收窄",IF(AA114="D","虧損擴大或轉虧","數據不足"))))</f>
        <v>四季持續盈利</v>
      </c>
      <c r="AA114" s="9" t="str">
        <f>IF(COUNT(N114:Q114)&lt;4,"—",IF(MIN(N114:Q114)&gt;0,"A",IF(Q114&gt;0,"B",IF(Q114&gt;N114,"C","D"))))</f>
        <v>A</v>
      </c>
      <c r="AB114" s="9" t="inlineStr">
        <is>
          <t>2026-06-30</t>
        </is>
      </c>
    </row>
    <row r="115" ht="15" customHeight="1">
      <c r="A115" s="9" t="n">
        <v>114</v>
      </c>
      <c r="B115" s="10" t="inlineStr">
        <is>
          <t>CMG</t>
        </is>
      </c>
      <c r="C115" s="11" t="inlineStr">
        <is>
          <t>餐飲連鎖</t>
        </is>
      </c>
      <c r="D115" s="11" t="inlineStr">
        <is>
          <t>Chipotle Mexican Grill, Inc.</t>
        </is>
      </c>
      <c r="E115" s="11" t="inlineStr">
        <is>
          <t>Restaurants</t>
        </is>
      </c>
      <c r="F115" s="9" t="inlineStr">
        <is>
          <t>USD</t>
        </is>
      </c>
      <c r="G115" s="11" t="inlineStr">
        <is>
          <t>25Q2 / 25Q3 / 25Q4 / 26Q1 / 26Q2</t>
        </is>
      </c>
      <c r="H115" s="12" t="n">
        <v>3063.393</v>
      </c>
      <c r="I115" s="12" t="n">
        <v>3003.444</v>
      </c>
      <c r="J115" s="12" t="n">
        <v>2983.511</v>
      </c>
      <c r="K115" s="12" t="n">
        <v>3088.242</v>
      </c>
      <c r="L115" s="12" t="n">
        <v>3348.562</v>
      </c>
      <c r="M115" s="13">
        <f>IF(OR(N(H115)=0,L115=""),"",L115/H115-1)</f>
        <v>0.09308926409376794</v>
      </c>
      <c r="N115" s="14" t="n">
        <v>498.317</v>
      </c>
      <c r="O115" s="14" t="n">
        <v>445.729</v>
      </c>
      <c r="P115" s="14" t="n">
        <v>418.523</v>
      </c>
      <c r="Q115" s="14" t="n">
        <v>555.7670000000001</v>
      </c>
      <c r="R115" s="13">
        <f>IF(OR(N(L115)=0,Q115=""),"",Q115/L115)</f>
        <v>0.16597184104699272</v>
      </c>
      <c r="S115" s="14" t="n">
        <v>844.5650000000001</v>
      </c>
      <c r="T115" s="13">
        <f>IF(OR(N(L115)=0,S115=""),"",S115/L115)</f>
        <v>0.2522172204068493</v>
      </c>
      <c r="U115" s="14" t="n">
        <v>403.547</v>
      </c>
      <c r="V115" s="13">
        <f>IF(OR(N(L115)=0,U115=""),"",U115/L115)</f>
        <v>0.12051352192373922</v>
      </c>
      <c r="W115" s="14" t="n">
        <v>11925.601</v>
      </c>
      <c r="X115" s="14" t="n">
        <v>2012.808</v>
      </c>
      <c r="Y115" s="13">
        <f>IF(OR(N(W115)=0,X115=""),"",X115/W115)</f>
        <v>0.16878042456728176</v>
      </c>
      <c r="Z115" s="11" t="str">
        <f>IF(AA115="A","四季持續盈利",IF(AA115="B","最新季為正/波動",IF(AA115="C","虧損收窄",IF(AA115="D","虧損擴大或轉虧","數據不足"))))</f>
        <v>四季持續盈利</v>
      </c>
      <c r="AA115" s="9" t="str">
        <f>IF(COUNT(N115:Q115)&lt;4,"—",IF(MIN(N115:Q115)&gt;0,"A",IF(Q115&gt;0,"B",IF(Q115&gt;N115,"C","D"))))</f>
        <v>A</v>
      </c>
      <c r="AB115" s="9" t="inlineStr">
        <is>
          <t>2026-06-30</t>
        </is>
      </c>
    </row>
    <row r="116" ht="15" customHeight="1">
      <c r="A116" s="9" t="n">
        <v>115</v>
      </c>
      <c r="B116" s="10" t="inlineStr">
        <is>
          <t>CMI</t>
        </is>
      </c>
      <c r="C116" s="11" t="inlineStr">
        <is>
          <t>機械與重工</t>
        </is>
      </c>
      <c r="D116" s="11" t="inlineStr">
        <is>
          <t>Cummins Inc.</t>
        </is>
      </c>
      <c r="E116" s="11" t="inlineStr">
        <is>
          <t>F1 電源</t>
        </is>
      </c>
      <c r="F116" s="9" t="inlineStr">
        <is>
          <t>USD</t>
        </is>
      </c>
      <c r="G116" s="11" t="inlineStr">
        <is>
          <t>25Q1 / 25Q2 / 25Q3 / 25Q4 / 26Q1</t>
        </is>
      </c>
      <c r="H116" s="12" t="n">
        <v>8174</v>
      </c>
      <c r="I116" s="12" t="n">
        <v>8643</v>
      </c>
      <c r="J116" s="12" t="n">
        <v>8317</v>
      </c>
      <c r="K116" s="12" t="n">
        <v>8536</v>
      </c>
      <c r="L116" s="12" t="n">
        <v>8398</v>
      </c>
      <c r="M116" s="13">
        <f>IF(OR(N(H116)=0,L116=""),"",L116/H116-1)</f>
        <v>0.027403963787619334</v>
      </c>
      <c r="N116" s="14" t="n">
        <v>1108</v>
      </c>
      <c r="O116" s="14" t="n">
        <v>962</v>
      </c>
      <c r="P116" s="14" t="n">
        <v>781</v>
      </c>
      <c r="Q116" s="14" t="n">
        <v>1000</v>
      </c>
      <c r="R116" s="13">
        <f>IF(OR(N(L116)=0,Q116=""),"",Q116/L116)</f>
        <v>0.11907597046915933</v>
      </c>
      <c r="S116" s="14" t="n">
        <v>2243</v>
      </c>
      <c r="T116" s="13">
        <f>IF(OR(N(L116)=0,S116=""),"",S116/L116)</f>
        <v>0.2670874017623244</v>
      </c>
      <c r="U116" s="14" t="n">
        <v>654</v>
      </c>
      <c r="V116" s="13">
        <f>IF(OR(N(L116)=0,U116=""),"",U116/L116)</f>
        <v>0.0778756846868302</v>
      </c>
      <c r="W116" s="14" t="n">
        <v>33670</v>
      </c>
      <c r="X116" s="14" t="n">
        <v>3865</v>
      </c>
      <c r="Y116" s="13">
        <f>IF(OR(N(W116)=0,X116=""),"",X116/W116)</f>
        <v>0.1147906147906148</v>
      </c>
      <c r="Z116" s="11" t="str">
        <f>IF(AA116="A","四季持續盈利",IF(AA116="B","最新季為正/波動",IF(AA116="C","虧損收窄",IF(AA116="D","虧損擴大或轉虧","數據不足"))))</f>
        <v>四季持續盈利</v>
      </c>
      <c r="AA116" s="9" t="str">
        <f>IF(COUNT(N116:Q116)&lt;4,"—",IF(MIN(N116:Q116)&gt;0,"A",IF(Q116&gt;0,"B",IF(Q116&gt;N116,"C","D"))))</f>
        <v>A</v>
      </c>
      <c r="AB116" s="9" t="inlineStr">
        <is>
          <t>2026-03-31</t>
        </is>
      </c>
    </row>
    <row r="117" ht="15" customHeight="1">
      <c r="A117" s="9" t="n">
        <v>116</v>
      </c>
      <c r="B117" s="10" t="inlineStr">
        <is>
          <t>CNC</t>
        </is>
      </c>
      <c r="C117" s="11" t="inlineStr">
        <is>
          <t>醫療保險與管理式醫療</t>
        </is>
      </c>
      <c r="D117" s="11" t="inlineStr">
        <is>
          <t>Centene Corporation</t>
        </is>
      </c>
      <c r="E117" s="11" t="inlineStr">
        <is>
          <t>Healthcare Plans</t>
        </is>
      </c>
      <c r="F117" s="9" t="inlineStr">
        <is>
          <t>USD</t>
        </is>
      </c>
      <c r="G117" s="11" t="inlineStr">
        <is>
          <t>25Q2 / 25Q3 / 25Q4 / 26Q1 / 26Q2</t>
        </is>
      </c>
      <c r="H117" s="12" t="n">
        <v>48742</v>
      </c>
      <c r="I117" s="12" t="n">
        <v>49690</v>
      </c>
      <c r="J117" s="12" t="n">
        <v>49725</v>
      </c>
      <c r="K117" s="12" t="n">
        <v>49944</v>
      </c>
      <c r="L117" s="12" t="n">
        <v>53579</v>
      </c>
      <c r="M117" s="13">
        <f>IF(OR(N(H117)=0,L117=""),"",L117/H117-1)</f>
        <v>0.09923679783349071</v>
      </c>
      <c r="N117" s="14" t="n">
        <v>-211</v>
      </c>
      <c r="O117" s="14" t="n">
        <v>-1232</v>
      </c>
      <c r="P117" s="14" t="n">
        <v>1861</v>
      </c>
      <c r="Q117" s="14" t="n">
        <v>1198</v>
      </c>
      <c r="R117" s="13">
        <f>IF(OR(N(L117)=0,Q117=""),"",Q117/L117)</f>
        <v>0.02235950652307807</v>
      </c>
      <c r="S117" s="14" t="n">
        <v>4601</v>
      </c>
      <c r="T117" s="13">
        <f>IF(OR(N(L117)=0,S117=""),"",S117/L117)</f>
        <v>0.08587319658821553</v>
      </c>
      <c r="U117" s="14" t="n">
        <v>1091</v>
      </c>
      <c r="V117" s="13">
        <f>IF(OR(N(L117)=0,U117=""),"",U117/L117)</f>
        <v>0.020362455439631198</v>
      </c>
      <c r="W117" s="14" t="n">
        <v>194777</v>
      </c>
      <c r="X117" s="14" t="n">
        <v>-312</v>
      </c>
      <c r="Y117" s="13">
        <f>IF(OR(N(W117)=0,X117=""),"",X117/W117)</f>
        <v>-0.00160183183846142</v>
      </c>
      <c r="Z117" s="11" t="str">
        <f>IF(AA117="A","四季持續盈利",IF(AA117="B","最新季為正/波動",IF(AA117="C","虧損收窄",IF(AA117="D","虧損擴大或轉虧","數據不足"))))</f>
        <v>最新季為正/波動</v>
      </c>
      <c r="AA117" s="9" t="str">
        <f>IF(COUNT(N117:Q117)&lt;4,"—",IF(MIN(N117:Q117)&gt;0,"A",IF(Q117&gt;0,"B",IF(Q117&gt;N117,"C","D"))))</f>
        <v>B</v>
      </c>
      <c r="AB117" s="9" t="inlineStr">
        <is>
          <t>2026-06-30</t>
        </is>
      </c>
    </row>
    <row r="118" ht="15" customHeight="1">
      <c r="A118" s="9" t="n">
        <v>117</v>
      </c>
      <c r="B118" s="10" t="inlineStr">
        <is>
          <t>CNR</t>
        </is>
      </c>
      <c r="C118" s="11" t="inlineStr">
        <is>
          <t>煤炭</t>
        </is>
      </c>
      <c r="D118" s="11" t="inlineStr">
        <is>
          <t>Core Natural Resources, Inc.</t>
        </is>
      </c>
      <c r="E118" s="11" t="inlineStr">
        <is>
          <t>Thermal Coal</t>
        </is>
      </c>
      <c r="F118" s="9" t="inlineStr">
        <is>
          <t>USD</t>
        </is>
      </c>
      <c r="G118" s="11" t="inlineStr">
        <is>
          <t>25Q2 / 25Q3 / 25Q4 / 26Q1 / 26Q2</t>
        </is>
      </c>
      <c r="H118" s="12" t="n">
        <v>1102.361</v>
      </c>
      <c r="I118" s="12" t="n">
        <v>1002.543</v>
      </c>
      <c r="J118" s="12" t="n">
        <v>1042.465</v>
      </c>
      <c r="K118" s="12" t="n">
        <v>1084.278</v>
      </c>
      <c r="L118" s="12" t="n">
        <v>1141.014</v>
      </c>
      <c r="M118" s="13">
        <f>IF(OR(N(H118)=0,L118=""),"",L118/H118-1)</f>
        <v>0.03506383117690093</v>
      </c>
      <c r="N118" s="14" t="n">
        <v>-11.81</v>
      </c>
      <c r="O118" s="14" t="n">
        <v>-130.992</v>
      </c>
      <c r="P118" s="14" t="n">
        <v>22.719</v>
      </c>
      <c r="Q118" s="14" t="n">
        <v>155.758</v>
      </c>
      <c r="R118" s="13">
        <f>IF(OR(N(L118)=0,Q118=""),"",Q118/L118)</f>
        <v>0.1365084039284356</v>
      </c>
      <c r="S118" s="14" t="n">
        <v>85.26300000000001</v>
      </c>
      <c r="T118" s="13">
        <f>IF(OR(N(L118)=0,S118=""),"",S118/L118)</f>
        <v>0.07472563877393266</v>
      </c>
      <c r="U118" s="14" t="n">
        <v>126.467</v>
      </c>
      <c r="V118" s="13">
        <f>IF(OR(N(L118)=0,U118=""),"",U118/L118)</f>
        <v>0.11083737798133941</v>
      </c>
      <c r="W118" s="14" t="n">
        <v>4164.775</v>
      </c>
      <c r="X118" s="14" t="n">
        <v>-215.965</v>
      </c>
      <c r="Y118" s="13">
        <f>IF(OR(N(W118)=0,X118=""),"",X118/W118)</f>
        <v>-0.051855142234574506</v>
      </c>
      <c r="Z118" s="11" t="str">
        <f>IF(AA118="A","四季持續盈利",IF(AA118="B","最新季為正/波動",IF(AA118="C","虧損收窄",IF(AA118="D","虧損擴大或轉虧","數據不足"))))</f>
        <v>最新季為正/波動</v>
      </c>
      <c r="AA118" s="9" t="str">
        <f>IF(COUNT(N118:Q118)&lt;4,"—",IF(MIN(N118:Q118)&gt;0,"A",IF(Q118&gt;0,"B",IF(Q118&gt;N118,"C","D"))))</f>
        <v>B</v>
      </c>
      <c r="AB118" s="9" t="inlineStr">
        <is>
          <t>2026-06-30</t>
        </is>
      </c>
    </row>
    <row r="119" ht="15" customHeight="1">
      <c r="A119" s="9" t="n">
        <v>118</v>
      </c>
      <c r="B119" s="10" t="inlineStr">
        <is>
          <t>COF</t>
        </is>
      </c>
      <c r="C119" s="11" t="inlineStr">
        <is>
          <t>消費金融與BNPL</t>
        </is>
      </c>
      <c r="D119" s="11" t="inlineStr">
        <is>
          <t>Capital One Financial Corporation</t>
        </is>
      </c>
      <c r="E119" s="11" t="inlineStr">
        <is>
          <t>Credit Services</t>
        </is>
      </c>
      <c r="F119" s="9" t="inlineStr">
        <is>
          <t>USD</t>
        </is>
      </c>
      <c r="G119" s="11" t="inlineStr">
        <is>
          <t>25Q2 / 25Q3 / 25Q4 / 26Q1 / 26Q2</t>
        </is>
      </c>
      <c r="H119" s="12" t="n">
        <v>12492</v>
      </c>
      <c r="I119" s="12" t="n">
        <v>15464</v>
      </c>
      <c r="J119" s="12" t="n">
        <v>15393</v>
      </c>
      <c r="K119" s="12" t="n">
        <v>15231</v>
      </c>
      <c r="L119" s="12" t="n">
        <v>15850</v>
      </c>
      <c r="M119" s="13">
        <f>IF(OR(N(H119)=0,L119=""),"",L119/H119-1)</f>
        <v>0.26881203970541145</v>
      </c>
      <c r="N119" s="14" t="n"/>
      <c r="O119" s="14" t="n"/>
      <c r="P119" s="14" t="n"/>
      <c r="Q119" s="14" t="n"/>
      <c r="R119" s="13" t="str">
        <f>IF(OR(N(L119)=0,Q119=""),"",Q119/L119)</f>
        <v/>
      </c>
      <c r="S119" s="14" t="n"/>
      <c r="T119" s="13" t="str">
        <f>IF(OR(N(L119)=0,S119=""),"",S119/L119)</f>
        <v/>
      </c>
      <c r="U119" s="14" t="n">
        <v>3020</v>
      </c>
      <c r="V119" s="13">
        <f>IF(OR(N(L119)=0,U119=""),"",U119/L119)</f>
        <v>0.19053627760252365</v>
      </c>
      <c r="W119" s="14" t="n">
        <v>53434</v>
      </c>
      <c r="X119" s="14" t="n"/>
      <c r="Y119" s="13" t="str">
        <f>IF(OR(N(W119)=0,X119=""),"",X119/W119)</f>
        <v/>
      </c>
      <c r="Z119" s="11" t="str">
        <f>IF(AA119="A","四季持續盈利",IF(AA119="B","最新季為正/波動",IF(AA119="C","虧損收窄",IF(AA119="D","虧損擴大或轉虧","數據不足"))))</f>
        <v>數據不足</v>
      </c>
      <c r="AA119" s="9" t="str">
        <f>IF(COUNT(N119:Q119)&lt;4,"—",IF(MIN(N119:Q119)&gt;0,"A",IF(Q119&gt;0,"B",IF(Q119&gt;N119,"C","D"))))</f>
        <v>—</v>
      </c>
      <c r="AB119" s="9" t="inlineStr">
        <is>
          <t>2026-06-30</t>
        </is>
      </c>
    </row>
    <row r="120" ht="15" customHeight="1">
      <c r="A120" s="9" t="n">
        <v>119</v>
      </c>
      <c r="B120" s="10" t="inlineStr">
        <is>
          <t>COHR</t>
        </is>
      </c>
      <c r="C120" s="11" t="inlineStr">
        <is>
          <t>光通訊/CPO</t>
        </is>
      </c>
      <c r="D120" s="11" t="inlineStr">
        <is>
          <t>Coherent Corp.</t>
        </is>
      </c>
      <c r="E120" s="11" t="inlineStr">
        <is>
          <t>D1 光模塊</t>
        </is>
      </c>
      <c r="F120" s="9" t="inlineStr">
        <is>
          <t>USD</t>
        </is>
      </c>
      <c r="G120" s="11" t="inlineStr">
        <is>
          <t>25Q2 / 25Q3 / 25Q4 / 26Q1 / 26Q2</t>
        </is>
      </c>
      <c r="H120" s="12" t="n">
        <v>1529.436</v>
      </c>
      <c r="I120" s="12" t="n">
        <v>1581.378</v>
      </c>
      <c r="J120" s="12" t="n">
        <v>1685.629</v>
      </c>
      <c r="K120" s="12" t="n">
        <v>1805.641</v>
      </c>
      <c r="L120" s="12" t="n">
        <v>2045.533</v>
      </c>
      <c r="M120" s="13">
        <f>IF(OR(N(H120)=0,L120=""),"",L120/H120-1)</f>
        <v>0.33744269129273796</v>
      </c>
      <c r="N120" s="14" t="n">
        <v>172.239</v>
      </c>
      <c r="O120" s="14" t="n">
        <v>198.624</v>
      </c>
      <c r="P120" s="14" t="n">
        <v>226.321</v>
      </c>
      <c r="Q120" s="14" t="n">
        <v>304.338</v>
      </c>
      <c r="R120" s="13">
        <f>IF(OR(N(L120)=0,Q120=""),"",Q120/L120)</f>
        <v>0.14878176005960306</v>
      </c>
      <c r="S120" s="14" t="n">
        <v>787.075</v>
      </c>
      <c r="T120" s="13">
        <f>IF(OR(N(L120)=0,S120=""),"",S120/L120)</f>
        <v>0.3847774638688303</v>
      </c>
      <c r="U120" s="14" t="n">
        <v>240.53</v>
      </c>
      <c r="V120" s="13">
        <f>IF(OR(N(L120)=0,U120=""),"",U120/L120)</f>
        <v>0.11758793429389798</v>
      </c>
      <c r="W120" s="14" t="n">
        <v>7118.181</v>
      </c>
      <c r="X120" s="14" t="n">
        <v>901.522</v>
      </c>
      <c r="Y120" s="13">
        <f>IF(OR(N(W120)=0,X120=""),"",X120/W120)</f>
        <v>0.1266506148129698</v>
      </c>
      <c r="Z120" s="11" t="str">
        <f>IF(AA120="A","四季持續盈利",IF(AA120="B","最新季為正/波動",IF(AA120="C","虧損收窄",IF(AA120="D","虧損擴大或轉虧","數據不足"))))</f>
        <v>四季持續盈利</v>
      </c>
      <c r="AA120" s="9" t="str">
        <f>IF(COUNT(N120:Q120)&lt;4,"—",IF(MIN(N120:Q120)&gt;0,"A",IF(Q120&gt;0,"B",IF(Q120&gt;N120,"C","D"))))</f>
        <v>A</v>
      </c>
      <c r="AB120" s="9" t="inlineStr">
        <is>
          <t>2026-06-30</t>
        </is>
      </c>
    </row>
    <row r="121" ht="15" customHeight="1">
      <c r="A121" s="9" t="n">
        <v>120</v>
      </c>
      <c r="B121" s="10" t="inlineStr">
        <is>
          <t>COIN</t>
        </is>
      </c>
      <c r="C121" s="11" t="inlineStr">
        <is>
          <t>數位資產金融與礦業轉HPC</t>
        </is>
      </c>
      <c r="D121" s="11" t="inlineStr">
        <is>
          <t>Coinbase Global, Inc.</t>
        </is>
      </c>
      <c r="E121" s="11" t="inlineStr">
        <is>
          <t>Financial Data &amp; Stock Exchanges</t>
        </is>
      </c>
      <c r="F121" s="9" t="inlineStr">
        <is>
          <t>USD</t>
        </is>
      </c>
      <c r="G121" s="11" t="inlineStr">
        <is>
          <t>25Q2 / 25Q3 / 25Q4 / 26Q1 / 26Q2</t>
        </is>
      </c>
      <c r="H121" s="12" t="n">
        <v>1497.208</v>
      </c>
      <c r="I121" s="12" t="n">
        <v>1868.693</v>
      </c>
      <c r="J121" s="12" t="n">
        <v>1781.129</v>
      </c>
      <c r="K121" s="12" t="n">
        <v>1412.982</v>
      </c>
      <c r="L121" s="12" t="n">
        <v>1220.068</v>
      </c>
      <c r="M121" s="13">
        <f>IF(OR(N(H121)=0,L121=""),"",L121/H121-1)</f>
        <v>-0.1851045412527852</v>
      </c>
      <c r="N121" s="14" t="n">
        <v>444.792</v>
      </c>
      <c r="O121" s="14" t="n">
        <v>304.534</v>
      </c>
      <c r="P121" s="14" t="n">
        <v>13.73</v>
      </c>
      <c r="Q121" s="14" t="n">
        <v>-29.361</v>
      </c>
      <c r="R121" s="13">
        <f>IF(OR(N(L121)=0,Q121=""),"",Q121/L121)</f>
        <v>-0.024065052111849505</v>
      </c>
      <c r="S121" s="14" t="n">
        <v>828.615</v>
      </c>
      <c r="T121" s="13">
        <f>IF(OR(N(L121)=0,S121=""),"",S121/L121)</f>
        <v>0.6791547684227437</v>
      </c>
      <c r="U121" s="14" t="n">
        <v>-359.468</v>
      </c>
      <c r="V121" s="13">
        <f>IF(OR(N(L121)=0,U121=""),"",U121/L121)</f>
        <v>-0.29462947966834635</v>
      </c>
      <c r="W121" s="14" t="n">
        <v>7181.325</v>
      </c>
      <c r="X121" s="14" t="n">
        <v>1456.145</v>
      </c>
      <c r="Y121" s="13">
        <f>IF(OR(N(W121)=0,X121=""),"",X121/W121)</f>
        <v>0.20276829136684388</v>
      </c>
      <c r="Z121" s="11" t="str">
        <f>IF(AA121="A","四季持續盈利",IF(AA121="B","最新季為正/波動",IF(AA121="C","虧損收窄",IF(AA121="D","虧損擴大或轉虧","數據不足"))))</f>
        <v>虧損擴大或轉虧</v>
      </c>
      <c r="AA121" s="9" t="str">
        <f>IF(COUNT(N121:Q121)&lt;4,"—",IF(MIN(N121:Q121)&gt;0,"A",IF(Q121&gt;0,"B",IF(Q121&gt;N121,"C","D"))))</f>
        <v>D</v>
      </c>
      <c r="AB121" s="9" t="inlineStr">
        <is>
          <t>2026-06-30</t>
        </is>
      </c>
    </row>
    <row r="122" ht="15" customHeight="1">
      <c r="A122" s="9" t="n">
        <v>121</v>
      </c>
      <c r="B122" s="10" t="inlineStr">
        <is>
          <t>COMP</t>
        </is>
      </c>
      <c r="C122" s="11" t="inlineStr">
        <is>
          <t>地產開發與服務</t>
        </is>
      </c>
      <c r="D122" s="11" t="inlineStr">
        <is>
          <t>Compass, Inc.</t>
        </is>
      </c>
      <c r="E122" s="11" t="inlineStr">
        <is>
          <t>Real Estate Services</t>
        </is>
      </c>
      <c r="F122" s="9" t="inlineStr">
        <is>
          <t>USD</t>
        </is>
      </c>
      <c r="G122" s="11" t="inlineStr">
        <is>
          <t>25Q2 / 25Q3 / 25Q4 / 26Q1 / 26Q2</t>
        </is>
      </c>
      <c r="H122" s="12" t="n">
        <v>2060</v>
      </c>
      <c r="I122" s="12" t="n">
        <v>1846</v>
      </c>
      <c r="J122" s="12" t="n">
        <v>1699.8</v>
      </c>
      <c r="K122" s="12" t="n">
        <v>2704</v>
      </c>
      <c r="L122" s="12" t="n">
        <v>4306</v>
      </c>
      <c r="M122" s="13">
        <f>IF(OR(N(H122)=0,L122=""),"",L122/H122-1)</f>
        <v>1.0902912621359224</v>
      </c>
      <c r="N122" s="14" t="n">
        <v>2.6</v>
      </c>
      <c r="O122" s="14" t="n">
        <v>-28.4</v>
      </c>
      <c r="P122" s="14" t="n">
        <v>-162</v>
      </c>
      <c r="Q122" s="14" t="n">
        <v>160</v>
      </c>
      <c r="R122" s="13">
        <f>IF(OR(N(L122)=0,Q122=""),"",Q122/L122)</f>
        <v>0.03715745471435207</v>
      </c>
      <c r="S122" s="14" t="n">
        <v>1052</v>
      </c>
      <c r="T122" s="13">
        <f>IF(OR(N(L122)=0,S122=""),"",S122/L122)</f>
        <v>0.24431026474686485</v>
      </c>
      <c r="U122" s="14" t="n">
        <v>92</v>
      </c>
      <c r="V122" s="13">
        <f>IF(OR(N(L122)=0,U122=""),"",U122/L122)</f>
        <v>0.021365536460752437</v>
      </c>
      <c r="W122" s="14" t="n">
        <v>6961.6</v>
      </c>
      <c r="X122" s="14" t="n">
        <v>-28.2</v>
      </c>
      <c r="Y122" s="13">
        <f>IF(OR(N(W122)=0,X122=""),"",X122/W122)</f>
        <v>-0.004050792921167548</v>
      </c>
      <c r="Z122" s="11" t="str">
        <f>IF(AA122="A","四季持續盈利",IF(AA122="B","最新季為正/波動",IF(AA122="C","虧損收窄",IF(AA122="D","虧損擴大或轉虧","數據不足"))))</f>
        <v>最新季為正/波動</v>
      </c>
      <c r="AA122" s="9" t="str">
        <f>IF(COUNT(N122:Q122)&lt;4,"—",IF(MIN(N122:Q122)&gt;0,"A",IF(Q122&gt;0,"B",IF(Q122&gt;N122,"C","D"))))</f>
        <v>B</v>
      </c>
      <c r="AB122" s="9" t="inlineStr">
        <is>
          <t>2026-06-30</t>
        </is>
      </c>
    </row>
    <row r="123" ht="15" customHeight="1">
      <c r="A123" s="9" t="n">
        <v>122</v>
      </c>
      <c r="B123" s="10" t="inlineStr">
        <is>
          <t>COP</t>
        </is>
      </c>
      <c r="C123" s="11" t="inlineStr">
        <is>
          <t>頁岩E&amp;P勘探生產</t>
        </is>
      </c>
      <c r="D123" s="11" t="inlineStr">
        <is>
          <t>ConocoPhillips</t>
        </is>
      </c>
      <c r="E123" s="11" t="inlineStr">
        <is>
          <t>Oil &amp; Gas E&amp;P</t>
        </is>
      </c>
      <c r="F123" s="9" t="inlineStr">
        <is>
          <t>USD</t>
        </is>
      </c>
      <c r="G123" s="11" t="inlineStr">
        <is>
          <t>25Q2 / 25Q3 / 25Q4 / 26Q1 / 26Q2</t>
        </is>
      </c>
      <c r="H123" s="12" t="n">
        <v>14004</v>
      </c>
      <c r="I123" s="12" t="n">
        <v>15031</v>
      </c>
      <c r="J123" s="12" t="n">
        <v>13392</v>
      </c>
      <c r="K123" s="12" t="n">
        <v>15761</v>
      </c>
      <c r="L123" s="12" t="n">
        <v>19161</v>
      </c>
      <c r="M123" s="13">
        <f>IF(OR(N(H123)=0,L123=""),"",L123/H123-1)</f>
        <v>0.3682519280205656</v>
      </c>
      <c r="N123" s="14" t="n">
        <v>2758</v>
      </c>
      <c r="O123" s="14" t="n">
        <v>1760</v>
      </c>
      <c r="P123" s="14" t="n">
        <v>3387</v>
      </c>
      <c r="Q123" s="14" t="n">
        <v>5979</v>
      </c>
      <c r="R123" s="13">
        <f>IF(OR(N(L123)=0,Q123=""),"",Q123/L123)</f>
        <v>0.312040081415375</v>
      </c>
      <c r="S123" s="14" t="n">
        <v>7035</v>
      </c>
      <c r="T123" s="13">
        <f>IF(OR(N(L123)=0,S123=""),"",S123/L123)</f>
        <v>0.3671520275559731</v>
      </c>
      <c r="U123" s="14" t="n">
        <v>3931</v>
      </c>
      <c r="V123" s="13">
        <f>IF(OR(N(L123)=0,U123=""),"",U123/L123)</f>
        <v>0.20515630708209384</v>
      </c>
      <c r="W123" s="14" t="n">
        <v>58944</v>
      </c>
      <c r="X123" s="14" t="n">
        <v>11342</v>
      </c>
      <c r="Y123" s="13">
        <f>IF(OR(N(W123)=0,X123=""),"",X123/W123)</f>
        <v>0.19241992399565688</v>
      </c>
      <c r="Z123" s="11" t="str">
        <f>IF(AA123="A","四季持續盈利",IF(AA123="B","最新季為正/波動",IF(AA123="C","虧損收窄",IF(AA123="D","虧損擴大或轉虧","數據不足"))))</f>
        <v>四季持續盈利</v>
      </c>
      <c r="AA123" s="9" t="str">
        <f>IF(COUNT(N123:Q123)&lt;4,"—",IF(MIN(N123:Q123)&gt;0,"A",IF(Q123&gt;0,"B",IF(Q123&gt;N123,"C","D"))))</f>
        <v>A</v>
      </c>
      <c r="AB123" s="9" t="inlineStr">
        <is>
          <t>2026-06-30</t>
        </is>
      </c>
    </row>
    <row r="124" ht="15" customHeight="1">
      <c r="A124" s="9" t="n">
        <v>123</v>
      </c>
      <c r="B124" s="10" t="inlineStr">
        <is>
          <t>COR</t>
        </is>
      </c>
      <c r="C124" s="11" t="inlineStr">
        <is>
          <t>藥品分銷與藥房</t>
        </is>
      </c>
      <c r="D124" s="11" t="inlineStr">
        <is>
          <t>Cencora, Inc.</t>
        </is>
      </c>
      <c r="E124" s="11" t="inlineStr">
        <is>
          <t>Medical Distribution</t>
        </is>
      </c>
      <c r="F124" s="9" t="inlineStr">
        <is>
          <t>USD</t>
        </is>
      </c>
      <c r="G124" s="11" t="inlineStr">
        <is>
          <t>25Q2 / 25Q3 / 25Q4 / 26Q1 / 26Q2</t>
        </is>
      </c>
      <c r="H124" s="12" t="n">
        <v>80663.53200000001</v>
      </c>
      <c r="I124" s="12" t="n">
        <v>83728.554</v>
      </c>
      <c r="J124" s="12" t="n">
        <v>85932.016</v>
      </c>
      <c r="K124" s="12" t="n">
        <v>78355.916</v>
      </c>
      <c r="L124" s="12" t="n">
        <v>84754.837</v>
      </c>
      <c r="M124" s="13">
        <f>IF(OR(N(H124)=0,L124=""),"",L124/H124-1)</f>
        <v>0.05072062800324684</v>
      </c>
      <c r="N124" s="14" t="n">
        <v>945.941</v>
      </c>
      <c r="O124" s="14" t="n">
        <v>1016.381</v>
      </c>
      <c r="P124" s="14" t="n">
        <v>1361.488</v>
      </c>
      <c r="Q124" s="14" t="n">
        <v>1205.271</v>
      </c>
      <c r="R124" s="13">
        <f>IF(OR(N(L124)=0,Q124=""),"",Q124/L124)</f>
        <v>0.014220675098460752</v>
      </c>
      <c r="S124" s="14" t="n">
        <v>3607.235</v>
      </c>
      <c r="T124" s="13">
        <f>IF(OR(N(L124)=0,S124=""),"",S124/L124)</f>
        <v>0.042560815732558134</v>
      </c>
      <c r="U124" s="14" t="n">
        <v>763.518</v>
      </c>
      <c r="V124" s="13">
        <f>IF(OR(N(L124)=0,U124=""),"",U124/L124)</f>
        <v>0.009008547795331138</v>
      </c>
      <c r="W124" s="14" t="n">
        <v>321332.819</v>
      </c>
      <c r="X124" s="14" t="n">
        <v>3933.622</v>
      </c>
      <c r="Y124" s="13">
        <f>IF(OR(N(W124)=0,X124=""),"",X124/W124)</f>
        <v>0.012241581834814077</v>
      </c>
      <c r="Z124" s="11" t="str">
        <f>IF(AA124="A","四季持續盈利",IF(AA124="B","最新季為正/波動",IF(AA124="C","虧損收窄",IF(AA124="D","虧損擴大或轉虧","數據不足"))))</f>
        <v>四季持續盈利</v>
      </c>
      <c r="AA124" s="9" t="str">
        <f>IF(COUNT(N124:Q124)&lt;4,"—",IF(MIN(N124:Q124)&gt;0,"A",IF(Q124&gt;0,"B",IF(Q124&gt;N124,"C","D"))))</f>
        <v>A</v>
      </c>
      <c r="AB124" s="9" t="inlineStr">
        <is>
          <t>2026-06-30</t>
        </is>
      </c>
    </row>
    <row r="125" ht="15" customHeight="1">
      <c r="A125" s="9" t="n">
        <v>124</v>
      </c>
      <c r="B125" s="10" t="inlineStr">
        <is>
          <t>COST</t>
        </is>
      </c>
      <c r="C125" s="11" t="inlineStr">
        <is>
          <t>大賣場與超巿</t>
        </is>
      </c>
      <c r="D125" s="11" t="inlineStr">
        <is>
          <t>Costco Wholesale Corporation</t>
        </is>
      </c>
      <c r="E125" s="11" t="inlineStr">
        <is>
          <t>Discount Stores</t>
        </is>
      </c>
      <c r="F125" s="9" t="inlineStr">
        <is>
          <t>USD</t>
        </is>
      </c>
      <c r="G125" s="11" t="inlineStr">
        <is>
          <t>25Q2 / 25Q3 / 25Q4 / 26Q1 / 26Q2</t>
        </is>
      </c>
      <c r="H125" s="12" t="n">
        <v>63205</v>
      </c>
      <c r="I125" s="12" t="n">
        <v>86156</v>
      </c>
      <c r="J125" s="12" t="n">
        <v>67307</v>
      </c>
      <c r="K125" s="12" t="n">
        <v>69597</v>
      </c>
      <c r="L125" s="12" t="n">
        <v>70527</v>
      </c>
      <c r="M125" s="13">
        <f>IF(OR(N(H125)=0,L125=""),"",L125/H125-1)</f>
        <v>0.11584526540621787</v>
      </c>
      <c r="N125" s="14" t="n">
        <v>3341</v>
      </c>
      <c r="O125" s="14" t="n">
        <v>2463</v>
      </c>
      <c r="P125" s="14" t="n">
        <v>2606</v>
      </c>
      <c r="Q125" s="14" t="n">
        <v>2815</v>
      </c>
      <c r="R125" s="13">
        <f>IF(OR(N(L125)=0,Q125=""),"",Q125/L125)</f>
        <v>0.03991379188112354</v>
      </c>
      <c r="S125" s="14" t="n">
        <v>9008</v>
      </c>
      <c r="T125" s="13">
        <f>IF(OR(N(L125)=0,S125=""),"",S125/L125)</f>
        <v>0.12772413401959534</v>
      </c>
      <c r="U125" s="14" t="n">
        <v>2192</v>
      </c>
      <c r="V125" s="13">
        <f>IF(OR(N(L125)=0,U125=""),"",U125/L125)</f>
        <v>0.031080295489670624</v>
      </c>
      <c r="W125" s="14" t="n">
        <v>275235</v>
      </c>
      <c r="X125" s="14" t="n">
        <v>10383</v>
      </c>
      <c r="Y125" s="13">
        <f>IF(OR(N(W125)=0,X125=""),"",X125/W125)</f>
        <v>0.03772412665540356</v>
      </c>
      <c r="Z125" s="11" t="str">
        <f>IF(AA125="A","四季持續盈利",IF(AA125="B","最新季為正/波動",IF(AA125="C","虧損收窄",IF(AA125="D","虧損擴大或轉虧","數據不足"))))</f>
        <v>四季持續盈利</v>
      </c>
      <c r="AA125" s="9" t="str">
        <f>IF(COUNT(N125:Q125)&lt;4,"—",IF(MIN(N125:Q125)&gt;0,"A",IF(Q125&gt;0,"B",IF(Q125&gt;N125,"C","D"))))</f>
        <v>A</v>
      </c>
      <c r="AB125" s="9" t="inlineStr">
        <is>
          <t>2026-05-31</t>
        </is>
      </c>
    </row>
    <row r="126" ht="15" customHeight="1">
      <c r="A126" s="9" t="n">
        <v>125</v>
      </c>
      <c r="B126" s="10" t="inlineStr">
        <is>
          <t>CRCL</t>
        </is>
      </c>
      <c r="C126" s="11" t="inlineStr">
        <is>
          <t>數位資產金融與礦業轉HPC</t>
        </is>
      </c>
      <c r="D126" s="11" t="inlineStr">
        <is>
          <t>Circle Internet Group</t>
        </is>
      </c>
      <c r="E126" s="11" t="inlineStr">
        <is>
          <t>Capital Markets</t>
        </is>
      </c>
      <c r="F126" s="9" t="inlineStr">
        <is>
          <t>USD</t>
        </is>
      </c>
      <c r="G126" s="11" t="inlineStr">
        <is>
          <t>25Q2 / 25Q3 / 25Q4 / 26Q1 / 26Q2</t>
        </is>
      </c>
      <c r="H126" s="12" t="n">
        <v>658.078</v>
      </c>
      <c r="I126" s="12" t="n">
        <v>739.759</v>
      </c>
      <c r="J126" s="12" t="n">
        <v>770.232</v>
      </c>
      <c r="K126" s="12" t="n">
        <v>694.133</v>
      </c>
      <c r="L126" s="12" t="n">
        <v>701.3150000000001</v>
      </c>
      <c r="M126" s="13">
        <f>IF(OR(N(H126)=0,L126=""),"",L126/H126-1)</f>
        <v>0.06570193806813185</v>
      </c>
      <c r="N126" s="14" t="n">
        <v>79.349</v>
      </c>
      <c r="O126" s="14" t="n">
        <v>56.574</v>
      </c>
      <c r="P126" s="14" t="n">
        <v>45.858</v>
      </c>
      <c r="Q126" s="14" t="n">
        <v>33.661</v>
      </c>
      <c r="R126" s="13">
        <f>IF(OR(N(L126)=0,Q126=""),"",Q126/L126)</f>
        <v>0.047996977107291304</v>
      </c>
      <c r="S126" s="14" t="n">
        <v>154.846</v>
      </c>
      <c r="T126" s="13">
        <f>IF(OR(N(L126)=0,S126=""),"",S126/L126)</f>
        <v>0.22079379451459044</v>
      </c>
      <c r="U126" s="14" t="n">
        <v>48.221</v>
      </c>
      <c r="V126" s="13">
        <f>IF(OR(N(L126)=0,U126=""),"",U126/L126)</f>
        <v>0.06875797608777795</v>
      </c>
      <c r="W126" s="14" t="n">
        <v>2746.642</v>
      </c>
      <c r="X126" s="14" t="n">
        <v>-91.142</v>
      </c>
      <c r="Y126" s="13">
        <f>IF(OR(N(W126)=0,X126=""),"",X126/W126)</f>
        <v>-0.03318306499354485</v>
      </c>
      <c r="Z126" s="11" t="str">
        <f>IF(AA126="A","四季持續盈利",IF(AA126="B","最新季為正/波動",IF(AA126="C","虧損收窄",IF(AA126="D","虧損擴大或轉虧","數據不足"))))</f>
        <v>四季持續盈利</v>
      </c>
      <c r="AA126" s="9" t="str">
        <f>IF(COUNT(N126:Q126)&lt;4,"—",IF(MIN(N126:Q126)&gt;0,"A",IF(Q126&gt;0,"B",IF(Q126&gt;N126,"C","D"))))</f>
        <v>A</v>
      </c>
      <c r="AB126" s="9" t="inlineStr">
        <is>
          <t>2026-06-30</t>
        </is>
      </c>
    </row>
    <row r="127" ht="15" customHeight="1">
      <c r="A127" s="9" t="n">
        <v>126</v>
      </c>
      <c r="B127" s="10" t="inlineStr">
        <is>
          <t>CRDO</t>
        </is>
      </c>
      <c r="C127" s="11" t="inlineStr">
        <is>
          <t>光通訊/CPO</t>
        </is>
      </c>
      <c r="D127" s="11" t="inlineStr">
        <is>
          <t>Credo Technology Group Holding Ltd</t>
        </is>
      </c>
      <c r="E127" s="11" t="inlineStr">
        <is>
          <t>D3 高速互連</t>
        </is>
      </c>
      <c r="F127" s="9" t="inlineStr">
        <is>
          <t>USD</t>
        </is>
      </c>
      <c r="G127" s="11" t="inlineStr">
        <is>
          <t>25Q2 / 25Q3 / 25Q4 / 26Q1 / 26Q2</t>
        </is>
      </c>
      <c r="H127" s="12" t="n">
        <v>170.025</v>
      </c>
      <c r="I127" s="12" t="n">
        <v>223.074</v>
      </c>
      <c r="J127" s="12" t="n">
        <v>268.027</v>
      </c>
      <c r="K127" s="12" t="n">
        <v>407.012</v>
      </c>
      <c r="L127" s="12" t="n">
        <v>437.003</v>
      </c>
      <c r="M127" s="13">
        <f>IF(OR(N(H127)=0,L127=""),"",L127/H127-1)</f>
        <v>1.5702279076606378</v>
      </c>
      <c r="N127" s="14" t="n">
        <v>60.742</v>
      </c>
      <c r="O127" s="14" t="n">
        <v>78.79600000000001</v>
      </c>
      <c r="P127" s="14" t="n">
        <v>149.622</v>
      </c>
      <c r="Q127" s="14" t="n">
        <v>155.845</v>
      </c>
      <c r="R127" s="13">
        <f>IF(OR(N(L127)=0,Q127=""),"",Q127/L127)</f>
        <v>0.35662226575103606</v>
      </c>
      <c r="S127" s="14" t="n">
        <v>298.067</v>
      </c>
      <c r="T127" s="13">
        <f>IF(OR(N(L127)=0,S127=""),"",S127/L127)</f>
        <v>0.682070832465681</v>
      </c>
      <c r="U127" s="14" t="n">
        <v>169.102</v>
      </c>
      <c r="V127" s="13">
        <f>IF(OR(N(L127)=0,U127=""),"",U127/L127)</f>
        <v>0.3869584419328929</v>
      </c>
      <c r="W127" s="14" t="n">
        <v>1335.116</v>
      </c>
      <c r="X127" s="14" t="n">
        <v>445.005</v>
      </c>
      <c r="Y127" s="13">
        <f>IF(OR(N(W127)=0,X127=""),"",X127/W127)</f>
        <v>0.33330811704750746</v>
      </c>
      <c r="Z127" s="11" t="str">
        <f>IF(AA127="A","四季持續盈利",IF(AA127="B","最新季為正/波動",IF(AA127="C","虧損收窄",IF(AA127="D","虧損擴大或轉虧","數據不足"))))</f>
        <v>四季持續盈利</v>
      </c>
      <c r="AA127" s="9" t="str">
        <f>IF(COUNT(N127:Q127)&lt;4,"—",IF(MIN(N127:Q127)&gt;0,"A",IF(Q127&gt;0,"B",IF(Q127&gt;N127,"C","D"))))</f>
        <v>A</v>
      </c>
      <c r="AB127" s="9" t="inlineStr">
        <is>
          <t>2026-04-30</t>
        </is>
      </c>
    </row>
    <row r="128" ht="15" customHeight="1">
      <c r="A128" s="9" t="n">
        <v>127</v>
      </c>
      <c r="B128" s="10" t="inlineStr">
        <is>
          <t>CRH</t>
        </is>
      </c>
      <c r="C128" s="11" t="inlineStr">
        <is>
          <t>包裝與建材</t>
        </is>
      </c>
      <c r="D128" s="11" t="inlineStr">
        <is>
          <t>CRH plc</t>
        </is>
      </c>
      <c r="E128" s="11" t="inlineStr">
        <is>
          <t>Building Materials</t>
        </is>
      </c>
      <c r="F128" s="9" t="inlineStr">
        <is>
          <t>USD</t>
        </is>
      </c>
      <c r="G128" s="11" t="inlineStr">
        <is>
          <t>25Q2 / 25Q3 / 25Q4 / 26Q1 / 26Q2</t>
        </is>
      </c>
      <c r="H128" s="12" t="n">
        <v>10206</v>
      </c>
      <c r="I128" s="12" t="n">
        <v>11069</v>
      </c>
      <c r="J128" s="12" t="n">
        <v>9416</v>
      </c>
      <c r="K128" s="12" t="n">
        <v>7370</v>
      </c>
      <c r="L128" s="12" t="n">
        <v>10777</v>
      </c>
      <c r="M128" s="13">
        <f>IF(OR(N(H128)=0,L128=""),"",L128/H128-1)</f>
        <v>0.05594748187340781</v>
      </c>
      <c r="N128" s="14" t="n">
        <v>1971</v>
      </c>
      <c r="O128" s="14" t="n">
        <v>1442</v>
      </c>
      <c r="P128" s="14" t="n">
        <v>-12</v>
      </c>
      <c r="Q128" s="14" t="n">
        <v>2027</v>
      </c>
      <c r="R128" s="13">
        <f>IF(OR(N(L128)=0,Q128=""),"",Q128/L128)</f>
        <v>0.18808573814605178</v>
      </c>
      <c r="S128" s="14" t="n">
        <v>4294</v>
      </c>
      <c r="T128" s="13">
        <f>IF(OR(N(L128)=0,S128=""),"",S128/L128)</f>
        <v>0.3984411246172404</v>
      </c>
      <c r="U128" s="14" t="n">
        <v>1479</v>
      </c>
      <c r="V128" s="13">
        <f>IF(OR(N(L128)=0,U128=""),"",U128/L128)</f>
        <v>0.13723670780365593</v>
      </c>
      <c r="W128" s="14" t="n">
        <v>37447</v>
      </c>
      <c r="X128" s="14" t="n">
        <v>5323</v>
      </c>
      <c r="Y128" s="13">
        <f>IF(OR(N(W128)=0,X128=""),"",X128/W128)</f>
        <v>0.14214756856356983</v>
      </c>
      <c r="Z128" s="11" t="str">
        <f>IF(AA128="A","四季持續盈利",IF(AA128="B","最新季為正/波動",IF(AA128="C","虧損收窄",IF(AA128="D","虧損擴大或轉虧","數據不足"))))</f>
        <v>最新季為正/波動</v>
      </c>
      <c r="AA128" s="9" t="str">
        <f>IF(COUNT(N128:Q128)&lt;4,"—",IF(MIN(N128:Q128)&gt;0,"A",IF(Q128&gt;0,"B",IF(Q128&gt;N128,"C","D"))))</f>
        <v>B</v>
      </c>
      <c r="AB128" s="9" t="inlineStr">
        <is>
          <t>2026-06-30</t>
        </is>
      </c>
    </row>
    <row r="129" ht="15" customHeight="1">
      <c r="A129" s="9" t="n">
        <v>128</v>
      </c>
      <c r="B129" s="10" t="inlineStr">
        <is>
          <t>CRM</t>
        </is>
      </c>
      <c r="C129" s="11" t="inlineStr">
        <is>
          <t>企業軟體/SaaS</t>
        </is>
      </c>
      <c r="D129" s="11" t="inlineStr">
        <is>
          <t>Salesforce, Inc.</t>
        </is>
      </c>
      <c r="E129" s="11" t="inlineStr">
        <is>
          <t>G3 AI</t>
        </is>
      </c>
      <c r="F129" s="9" t="inlineStr">
        <is>
          <t>USD</t>
        </is>
      </c>
      <c r="G129" s="11" t="inlineStr">
        <is>
          <t>25Q3 / 25Q4 / 26Q1 / 26Q2 / 26Q3</t>
        </is>
      </c>
      <c r="H129" s="12" t="n">
        <v>10236</v>
      </c>
      <c r="I129" s="12" t="n">
        <v>10259</v>
      </c>
      <c r="J129" s="12" t="n">
        <v>11201</v>
      </c>
      <c r="K129" s="12" t="n">
        <v>11133</v>
      </c>
      <c r="L129" s="12" t="n">
        <v>11345</v>
      </c>
      <c r="M129" s="13">
        <f>IF(OR(N(H129)=0,L129=""),"",L129/H129-1)</f>
        <v>0.1083431027745212</v>
      </c>
      <c r="N129" s="14" t="n">
        <v>2448</v>
      </c>
      <c r="O129" s="14" t="n">
        <v>2155</v>
      </c>
      <c r="P129" s="14" t="n">
        <v>2427</v>
      </c>
      <c r="Q129" s="14" t="n">
        <v>2425</v>
      </c>
      <c r="R129" s="13">
        <f>IF(OR(N(L129)=0,Q129=""),"",Q129/L129)</f>
        <v>0.21375055090348172</v>
      </c>
      <c r="S129" s="14" t="n">
        <v>8696</v>
      </c>
      <c r="T129" s="13">
        <f>IF(OR(N(L129)=0,S129=""),"",S129/L129)</f>
        <v>0.7665050683120317</v>
      </c>
      <c r="U129" s="14" t="n">
        <v>3526</v>
      </c>
      <c r="V129" s="13">
        <f>IF(OR(N(L129)=0,U129=""),"",U129/L129)</f>
        <v>0.3107977082415161</v>
      </c>
      <c r="W129" s="14" t="n">
        <v>41525</v>
      </c>
      <c r="X129" s="14" t="n">
        <v>8917</v>
      </c>
      <c r="Y129" s="13">
        <f>IF(OR(N(W129)=0,X129=""),"",X129/W129)</f>
        <v>0.21473810957254666</v>
      </c>
      <c r="Z129" s="11" t="str">
        <f>IF(AA129="A","四季持續盈利",IF(AA129="B","最新季為正/波動",IF(AA129="C","虧損收窄",IF(AA129="D","虧損擴大或轉虧","數據不足"))))</f>
        <v>四季持續盈利</v>
      </c>
      <c r="AA129" s="9" t="str">
        <f>IF(COUNT(N129:Q129)&lt;4,"—",IF(MIN(N129:Q129)&gt;0,"A",IF(Q129&gt;0,"B",IF(Q129&gt;N129,"C","D"))))</f>
        <v>A</v>
      </c>
      <c r="AB129" s="9" t="inlineStr">
        <is>
          <t>2026-07-31</t>
        </is>
      </c>
    </row>
    <row r="130" ht="15" customHeight="1">
      <c r="A130" s="9" t="n">
        <v>129</v>
      </c>
      <c r="B130" s="10" t="inlineStr">
        <is>
          <t>CRSP</t>
        </is>
      </c>
      <c r="C130" s="11" t="inlineStr">
        <is>
          <t>基因治療與基因編輯</t>
        </is>
      </c>
      <c r="D130" s="11" t="inlineStr">
        <is>
          <t>CRISPR Therapeutics AG</t>
        </is>
      </c>
      <c r="E130" s="11" t="inlineStr">
        <is>
          <t>Biotechnology</t>
        </is>
      </c>
      <c r="F130" s="9" t="inlineStr">
        <is>
          <t>USD</t>
        </is>
      </c>
      <c r="G130" s="11" t="inlineStr">
        <is>
          <t>25Q2 / 25Q3 / 25Q4 / 26Q1 / 26Q2</t>
        </is>
      </c>
      <c r="H130" s="12" t="n">
        <v>0</v>
      </c>
      <c r="I130" s="12" t="n">
        <v>0</v>
      </c>
      <c r="J130" s="12" t="n">
        <v>0</v>
      </c>
      <c r="K130" s="12" t="n">
        <v>1</v>
      </c>
      <c r="L130" s="12" t="n">
        <v>10</v>
      </c>
      <c r="M130" s="13" t="str">
        <f>IF(OR(N(H130)=0,L130=""),"",L130/H130-1)</f>
        <v/>
      </c>
      <c r="N130" s="14" t="n">
        <v>-132.059</v>
      </c>
      <c r="O130" s="14" t="n">
        <v>-154.764</v>
      </c>
      <c r="P130" s="14" t="n">
        <v>-130.248</v>
      </c>
      <c r="Q130" s="14" t="n">
        <v>-117.269</v>
      </c>
      <c r="R130" s="13">
        <f>IF(OR(N(L130)=0,Q130=""),"",Q130/L130)</f>
        <v>-11.7269</v>
      </c>
      <c r="S130" s="14" t="n">
        <v>-30.272</v>
      </c>
      <c r="T130" s="13">
        <f>IF(OR(N(L130)=0,S130=""),"",S130/L130)</f>
        <v>-3.0271999999999997</v>
      </c>
      <c r="U130" s="14" t="n">
        <v>-91.154</v>
      </c>
      <c r="V130" s="13">
        <f>IF(OR(N(L130)=0,U130=""),"",U130/L130)</f>
        <v>-9.1154</v>
      </c>
      <c r="W130" s="14" t="n">
        <v>0</v>
      </c>
      <c r="X130" s="14" t="n">
        <v>-664.571</v>
      </c>
      <c r="Y130" s="13" t="str">
        <f>IF(OR(N(W130)=0,X130=""),"",X130/W130)</f>
        <v/>
      </c>
      <c r="Z130" s="11" t="str">
        <f>IF(AA130="A","四季持續盈利",IF(AA130="B","最新季為正/波動",IF(AA130="C","虧損收窄",IF(AA130="D","虧損擴大或轉虧","數據不足"))))</f>
        <v>虧損收窄</v>
      </c>
      <c r="AA130" s="9" t="str">
        <f>IF(COUNT(N130:Q130)&lt;4,"—",IF(MIN(N130:Q130)&gt;0,"A",IF(Q130&gt;0,"B",IF(Q130&gt;N130,"C","D"))))</f>
        <v>C</v>
      </c>
      <c r="AB130" s="9" t="inlineStr">
        <is>
          <t>2026-06-30</t>
        </is>
      </c>
    </row>
    <row r="131" ht="15" customHeight="1">
      <c r="A131" s="9" t="n">
        <v>130</v>
      </c>
      <c r="B131" s="10" t="inlineStr">
        <is>
          <t>CRVS</t>
        </is>
      </c>
      <c r="C131" s="11" t="inlineStr">
        <is>
          <t>腫瘤與細胞治療</t>
        </is>
      </c>
      <c r="D131" s="11" t="inlineStr">
        <is>
          <t>Corvus Pharmaceuticals, Inc.</t>
        </is>
      </c>
      <c r="E131" s="11" t="inlineStr">
        <is>
          <t>Biotechnology</t>
        </is>
      </c>
      <c r="F131" s="9" t="inlineStr">
        <is>
          <t>USD</t>
        </is>
      </c>
      <c r="G131" s="11" t="inlineStr">
        <is>
          <t>25Q2 / 25Q3 / 25Q4 / 26Q1 / 26Q2</t>
        </is>
      </c>
      <c r="H131" s="12" t="n">
        <v>0</v>
      </c>
      <c r="I131" s="12" t="n">
        <v>0</v>
      </c>
      <c r="J131" s="12" t="n">
        <v>0</v>
      </c>
      <c r="K131" s="12" t="n">
        <v>0</v>
      </c>
      <c r="L131" s="12" t="n">
        <v>0</v>
      </c>
      <c r="M131" s="13" t="str">
        <f>IF(OR(N(H131)=0,L131=""),"",L131/H131-1)</f>
        <v/>
      </c>
      <c r="N131" s="14" t="n">
        <v>-10.572</v>
      </c>
      <c r="O131" s="14" t="n">
        <v>-12.217</v>
      </c>
      <c r="P131" s="14" t="n">
        <v>-14.877</v>
      </c>
      <c r="Q131" s="14" t="n">
        <v>-19.297</v>
      </c>
      <c r="R131" s="13" t="str">
        <f>IF(OR(N(L131)=0,Q131=""),"",Q131/L131)</f>
        <v/>
      </c>
      <c r="S131" s="14" t="n"/>
      <c r="T131" s="13" t="str">
        <f>IF(OR(N(L131)=0,S131=""),"",S131/L131)</f>
        <v/>
      </c>
      <c r="U131" s="14" t="n">
        <v>-17.959</v>
      </c>
      <c r="V131" s="13" t="str">
        <f>IF(OR(N(L131)=0,U131=""),"",U131/L131)</f>
        <v/>
      </c>
      <c r="W131" s="14" t="n">
        <v>0</v>
      </c>
      <c r="X131" s="14" t="n">
        <v>-42.971</v>
      </c>
      <c r="Y131" s="13" t="str">
        <f>IF(OR(N(W131)=0,X131=""),"",X131/W131)</f>
        <v/>
      </c>
      <c r="Z131" s="11" t="str">
        <f>IF(AA131="A","四季持續盈利",IF(AA131="B","最新季為正/波動",IF(AA131="C","虧損收窄",IF(AA131="D","虧損擴大或轉虧","數據不足"))))</f>
        <v>虧損擴大或轉虧</v>
      </c>
      <c r="AA131" s="9" t="str">
        <f>IF(COUNT(N131:Q131)&lt;4,"—",IF(MIN(N131:Q131)&gt;0,"A",IF(Q131&gt;0,"B",IF(Q131&gt;N131,"C","D"))))</f>
        <v>D</v>
      </c>
      <c r="AB131" s="9" t="inlineStr">
        <is>
          <t>2026-06-30</t>
        </is>
      </c>
    </row>
    <row r="132" ht="15" customHeight="1">
      <c r="A132" s="9" t="n">
        <v>131</v>
      </c>
      <c r="B132" s="10" t="inlineStr">
        <is>
          <t>CRWD</t>
        </is>
      </c>
      <c r="C132" s="11" t="inlineStr">
        <is>
          <t>網絡安全</t>
        </is>
      </c>
      <c r="D132" s="11" t="inlineStr">
        <is>
          <t>CrowdStrike Holdings, Inc.</t>
        </is>
      </c>
      <c r="E132" s="11" t="inlineStr">
        <is>
          <t>D8 安全</t>
        </is>
      </c>
      <c r="F132" s="9" t="inlineStr">
        <is>
          <t>USD</t>
        </is>
      </c>
      <c r="G132" s="11" t="inlineStr">
        <is>
          <t>25Q3 / 25Q4 / 26Q1 / 26Q2 / 26Q3</t>
        </is>
      </c>
      <c r="H132" s="12" t="n">
        <v>1168.952</v>
      </c>
      <c r="I132" s="12" t="n">
        <v>1234.244</v>
      </c>
      <c r="J132" s="12" t="n">
        <v>1305.375</v>
      </c>
      <c r="K132" s="12" t="n">
        <v>1385.629</v>
      </c>
      <c r="L132" s="12" t="n">
        <v>1470.897</v>
      </c>
      <c r="M132" s="13">
        <f>IF(OR(N(H132)=0,L132=""),"",L132/H132-1)</f>
        <v>0.2583040193267132</v>
      </c>
      <c r="N132" s="14" t="n">
        <v>-69.443</v>
      </c>
      <c r="O132" s="14" t="n">
        <v>13.786</v>
      </c>
      <c r="P132" s="14" t="n">
        <v>-30.6</v>
      </c>
      <c r="Q132" s="14" t="n">
        <v>-33.232</v>
      </c>
      <c r="R132" s="13">
        <f>IF(OR(N(L132)=0,Q132=""),"",Q132/L132)</f>
        <v>-0.022593016370282895</v>
      </c>
      <c r="S132" s="14" t="n">
        <v>1096.895</v>
      </c>
      <c r="T132" s="13">
        <f>IF(OR(N(L132)=0,S132=""),"",S132/L132)</f>
        <v>0.7457320261037993</v>
      </c>
      <c r="U132" s="14" t="n">
        <v>5.306</v>
      </c>
      <c r="V132" s="13">
        <f>IF(OR(N(L132)=0,U132=""),"",U132/L132)</f>
        <v>0.00360732260654553</v>
      </c>
      <c r="W132" s="14" t="n">
        <v>4812.005</v>
      </c>
      <c r="X132" s="14" t="n">
        <v>-293.292</v>
      </c>
      <c r="Y132" s="13">
        <f>IF(OR(N(W132)=0,X132=""),"",X132/W132)</f>
        <v>-0.06095006135696034</v>
      </c>
      <c r="Z132" s="11" t="str">
        <f>IF(AA132="A","四季持續盈利",IF(AA132="B","最新季為正/波動",IF(AA132="C","虧損收窄",IF(AA132="D","虧損擴大或轉虧","數據不足"))))</f>
        <v>虧損收窄</v>
      </c>
      <c r="AA132" s="9" t="str">
        <f>IF(COUNT(N132:Q132)&lt;4,"—",IF(MIN(N132:Q132)&gt;0,"A",IF(Q132&gt;0,"B",IF(Q132&gt;N132,"C","D"))))</f>
        <v>C</v>
      </c>
      <c r="AB132" s="9" t="inlineStr">
        <is>
          <t>2026-07-31</t>
        </is>
      </c>
    </row>
    <row r="133" ht="15" customHeight="1">
      <c r="A133" s="9" t="n">
        <v>132</v>
      </c>
      <c r="B133" s="10" t="inlineStr">
        <is>
          <t>CRWV</t>
        </is>
      </c>
      <c r="C133" s="11" t="inlineStr">
        <is>
          <t>雲端基建/IaaS/Neocloud</t>
        </is>
      </c>
      <c r="D133" s="11" t="inlineStr">
        <is>
          <t>CoreWeave, Inc.</t>
        </is>
      </c>
      <c r="E133" s="11" t="inlineStr">
        <is>
          <t>AA1 Neo</t>
        </is>
      </c>
      <c r="F133" s="9" t="inlineStr">
        <is>
          <t>USD</t>
        </is>
      </c>
      <c r="G133" s="11" t="inlineStr">
        <is>
          <t>25Q2 / 25Q3 / 25Q4 / 26Q1 / 26Q2</t>
        </is>
      </c>
      <c r="H133" s="12" t="n">
        <v>1212</v>
      </c>
      <c r="I133" s="12" t="n">
        <v>1364.676</v>
      </c>
      <c r="J133" s="12" t="n">
        <v>1571.904</v>
      </c>
      <c r="K133" s="12" t="n">
        <v>2078</v>
      </c>
      <c r="L133" s="12" t="n">
        <v>2575</v>
      </c>
      <c r="M133" s="13">
        <f>IF(OR(N(H133)=0,L133=""),"",L133/H133-1)</f>
        <v>1.1245874587458746</v>
      </c>
      <c r="N133" s="14" t="n">
        <v>51.85</v>
      </c>
      <c r="O133" s="14" t="n">
        <v>-89.589</v>
      </c>
      <c r="P133" s="14" t="n">
        <v>-144</v>
      </c>
      <c r="Q133" s="14" t="n">
        <v>-49</v>
      </c>
      <c r="R133" s="13">
        <f>IF(OR(N(L133)=0,Q133=""),"",Q133/L133)</f>
        <v>-0.019029126213592235</v>
      </c>
      <c r="S133" s="14" t="n">
        <v>1696</v>
      </c>
      <c r="T133" s="13">
        <f>IF(OR(N(L133)=0,S133=""),"",S133/L133)</f>
        <v>0.6586407766990291</v>
      </c>
      <c r="U133" s="14" t="n">
        <v>-626</v>
      </c>
      <c r="V133" s="13">
        <f>IF(OR(N(L133)=0,U133=""),"",U133/L133)</f>
        <v>-0.24310679611650485</v>
      </c>
      <c r="W133" s="14" t="n">
        <v>5131</v>
      </c>
      <c r="X133" s="14" t="n">
        <v>-46</v>
      </c>
      <c r="Y133" s="13">
        <f>IF(OR(N(W133)=0,X133=""),"",X133/W133)</f>
        <v>-0.00896511401286299</v>
      </c>
      <c r="Z133" s="11" t="str">
        <f>IF(AA133="A","四季持續盈利",IF(AA133="B","最新季為正/波動",IF(AA133="C","虧損收窄",IF(AA133="D","虧損擴大或轉虧","數據不足"))))</f>
        <v>虧損擴大或轉虧</v>
      </c>
      <c r="AA133" s="9" t="str">
        <f>IF(COUNT(N133:Q133)&lt;4,"—",IF(MIN(N133:Q133)&gt;0,"A",IF(Q133&gt;0,"B",IF(Q133&gt;N133,"C","D"))))</f>
        <v>D</v>
      </c>
      <c r="AB133" s="9" t="inlineStr">
        <is>
          <t>2026-06-30</t>
        </is>
      </c>
    </row>
    <row r="134" ht="15" customHeight="1">
      <c r="A134" s="9" t="n">
        <v>133</v>
      </c>
      <c r="B134" s="10" t="inlineStr">
        <is>
          <t>CSCO</t>
        </is>
      </c>
      <c r="C134" s="11" t="inlineStr">
        <is>
          <t>—</t>
        </is>
      </c>
      <c r="D134" s="11" t="inlineStr">
        <is>
          <t>Cisco Systems, Inc.</t>
        </is>
      </c>
      <c r="E134" s="11" t="inlineStr">
        <is>
          <t>D4 網絡交換</t>
        </is>
      </c>
      <c r="F134" s="9" t="inlineStr">
        <is>
          <t>USD</t>
        </is>
      </c>
      <c r="G134" s="11" t="inlineStr">
        <is>
          <t>25Q3 / 25Q4 / 26Q1 / 26Q2 / 26Q3</t>
        </is>
      </c>
      <c r="H134" s="12" t="n">
        <v>14673</v>
      </c>
      <c r="I134" s="12" t="n">
        <v>14883</v>
      </c>
      <c r="J134" s="12" t="n">
        <v>15349</v>
      </c>
      <c r="K134" s="12" t="n">
        <v>15841</v>
      </c>
      <c r="L134" s="12" t="n">
        <v>17252</v>
      </c>
      <c r="M134" s="13">
        <f>IF(OR(N(H134)=0,L134=""),"",L134/H134-1)</f>
        <v>0.17576501056362015</v>
      </c>
      <c r="N134" s="14" t="n">
        <v>3510</v>
      </c>
      <c r="O134" s="14" t="n">
        <v>3817</v>
      </c>
      <c r="P134" s="14" t="n">
        <v>3959</v>
      </c>
      <c r="Q134" s="14" t="n">
        <v>4775</v>
      </c>
      <c r="R134" s="13">
        <f>IF(OR(N(L134)=0,Q134=""),"",Q134/L134)</f>
        <v>0.2767795038256434</v>
      </c>
      <c r="S134" s="14" t="n">
        <v>11063</v>
      </c>
      <c r="T134" s="13">
        <f>IF(OR(N(L134)=0,S134=""),"",S134/L134)</f>
        <v>0.6412589844655692</v>
      </c>
      <c r="U134" s="14" t="n">
        <v>3859</v>
      </c>
      <c r="V134" s="13">
        <f>IF(OR(N(L134)=0,U134=""),"",U134/L134)</f>
        <v>0.2236842105263158</v>
      </c>
      <c r="W134" s="14" t="n">
        <v>63325</v>
      </c>
      <c r="X134" s="14" t="n">
        <v>16061</v>
      </c>
      <c r="Y134" s="13">
        <f>IF(OR(N(W134)=0,X134=""),"",X134/W134)</f>
        <v>0.2536281089617055</v>
      </c>
      <c r="Z134" s="11" t="str">
        <f>IF(AA134="A","四季持續盈利",IF(AA134="B","最新季為正/波動",IF(AA134="C","虧損收窄",IF(AA134="D","虧損擴大或轉虧","數據不足"))))</f>
        <v>四季持續盈利</v>
      </c>
      <c r="AA134" s="9" t="str">
        <f>IF(COUNT(N134:Q134)&lt;4,"—",IF(MIN(N134:Q134)&gt;0,"A",IF(Q134&gt;0,"B",IF(Q134&gt;N134,"C","D"))))</f>
        <v>A</v>
      </c>
      <c r="AB134" s="9" t="inlineStr">
        <is>
          <t>2026-07-31</t>
        </is>
      </c>
    </row>
    <row r="135" ht="15" customHeight="1">
      <c r="A135" s="9" t="n">
        <v>134</v>
      </c>
      <c r="B135" s="10" t="inlineStr">
        <is>
          <t>CSX</t>
        </is>
      </c>
      <c r="C135" s="11" t="inlineStr">
        <is>
          <t>鐵路運輸</t>
        </is>
      </c>
      <c r="D135" s="11" t="inlineStr">
        <is>
          <t>CSX Corporation</t>
        </is>
      </c>
      <c r="E135" s="11" t="inlineStr">
        <is>
          <t>Railroads</t>
        </is>
      </c>
      <c r="F135" s="9" t="inlineStr">
        <is>
          <t>USD</t>
        </is>
      </c>
      <c r="G135" s="11" t="inlineStr">
        <is>
          <t>25Q2 / 25Q3 / 25Q4 / 26Q1 / 26Q2</t>
        </is>
      </c>
      <c r="H135" s="12" t="n">
        <v>3574</v>
      </c>
      <c r="I135" s="12" t="n">
        <v>3587</v>
      </c>
      <c r="J135" s="12" t="n">
        <v>3508</v>
      </c>
      <c r="K135" s="12" t="n">
        <v>3482</v>
      </c>
      <c r="L135" s="12" t="n">
        <v>3935</v>
      </c>
      <c r="M135" s="13">
        <f>IF(OR(N(H135)=0,L135=""),"",L135/H135-1)</f>
        <v>0.1010072747621713</v>
      </c>
      <c r="N135" s="14" t="n">
        <v>1251</v>
      </c>
      <c r="O135" s="14" t="n">
        <v>1143</v>
      </c>
      <c r="P135" s="14" t="n">
        <v>1253</v>
      </c>
      <c r="Q135" s="14" t="n">
        <v>1506</v>
      </c>
      <c r="R135" s="13">
        <f>IF(OR(N(L135)=0,Q135=""),"",Q135/L135)</f>
        <v>0.38271918678526046</v>
      </c>
      <c r="S135" s="14" t="n">
        <v>1506</v>
      </c>
      <c r="T135" s="13">
        <f>IF(OR(N(L135)=0,S135=""),"",S135/L135)</f>
        <v>0.38271918678526046</v>
      </c>
      <c r="U135" s="14" t="n">
        <v>1002</v>
      </c>
      <c r="V135" s="13">
        <f>IF(OR(N(L135)=0,U135=""),"",U135/L135)</f>
        <v>0.2546378653113088</v>
      </c>
      <c r="W135" s="14" t="n">
        <v>14092</v>
      </c>
      <c r="X135" s="14" t="n">
        <v>4718</v>
      </c>
      <c r="Y135" s="13">
        <f>IF(OR(N(W135)=0,X135=""),"",X135/W135)</f>
        <v>0.33479988646040304</v>
      </c>
      <c r="Z135" s="11" t="str">
        <f>IF(AA135="A","四季持續盈利",IF(AA135="B","最新季為正/波動",IF(AA135="C","虧損收窄",IF(AA135="D","虧損擴大或轉虧","數據不足"))))</f>
        <v>四季持續盈利</v>
      </c>
      <c r="AA135" s="9" t="str">
        <f>IF(COUNT(N135:Q135)&lt;4,"—",IF(MIN(N135:Q135)&gt;0,"A",IF(Q135&gt;0,"B",IF(Q135&gt;N135,"C","D"))))</f>
        <v>A</v>
      </c>
      <c r="AB135" s="9" t="inlineStr">
        <is>
          <t>2026-06-30</t>
        </is>
      </c>
    </row>
    <row r="136" ht="15" customHeight="1">
      <c r="A136" s="9" t="n">
        <v>135</v>
      </c>
      <c r="B136" s="10" t="inlineStr">
        <is>
          <t>CTAS</t>
        </is>
      </c>
      <c r="C136" s="11" t="inlineStr">
        <is>
          <t>人力與商業服務</t>
        </is>
      </c>
      <c r="D136" s="11" t="inlineStr">
        <is>
          <t>Cintas Corporation</t>
        </is>
      </c>
      <c r="E136" s="11" t="inlineStr">
        <is>
          <t>Specialty Business Services</t>
        </is>
      </c>
      <c r="F136" s="9" t="inlineStr">
        <is>
          <t>USD</t>
        </is>
      </c>
      <c r="G136" s="11" t="inlineStr">
        <is>
          <t>25Q2 / 25Q3 / 25Q4 / 26Q1 / 26Q2</t>
        </is>
      </c>
      <c r="H136" s="12" t="n">
        <v>2667.652</v>
      </c>
      <c r="I136" s="12" t="n">
        <v>2718.122</v>
      </c>
      <c r="J136" s="12" t="n">
        <v>2799.992</v>
      </c>
      <c r="K136" s="12" t="n">
        <v>2841.444</v>
      </c>
      <c r="L136" s="12" t="n">
        <v>2905.203</v>
      </c>
      <c r="M136" s="13">
        <f>IF(OR(N(H136)=0,L136=""),"",L136/H136-1)</f>
        <v>0.08904872149740672</v>
      </c>
      <c r="N136" s="14" t="n">
        <v>617.859</v>
      </c>
      <c r="O136" s="14" t="n">
        <v>655.7140000000001</v>
      </c>
      <c r="P136" s="14" t="n">
        <v>659.904</v>
      </c>
      <c r="Q136" s="14" t="n">
        <v>688.171</v>
      </c>
      <c r="R136" s="13">
        <f>IF(OR(N(L136)=0,Q136=""),"",Q136/L136)</f>
        <v>0.23687535776329574</v>
      </c>
      <c r="S136" s="14" t="n">
        <v>1480.291</v>
      </c>
      <c r="T136" s="13">
        <f>IF(OR(N(L136)=0,S136=""),"",S136/L136)</f>
        <v>0.5095310035133517</v>
      </c>
      <c r="U136" s="14" t="n">
        <v>510.989</v>
      </c>
      <c r="V136" s="13">
        <f>IF(OR(N(L136)=0,U136=""),"",U136/L136)</f>
        <v>0.17588753694664366</v>
      </c>
      <c r="W136" s="14" t="n">
        <v>11264.761</v>
      </c>
      <c r="X136" s="14" t="n">
        <v>2621.648</v>
      </c>
      <c r="Y136" s="13">
        <f>IF(OR(N(W136)=0,X136=""),"",X136/W136)</f>
        <v>0.23273001531057783</v>
      </c>
      <c r="Z136" s="11" t="str">
        <f>IF(AA136="A","四季持續盈利",IF(AA136="B","最新季為正/波動",IF(AA136="C","虧損收窄",IF(AA136="D","虧損擴大或轉虧","數據不足"))))</f>
        <v>四季持續盈利</v>
      </c>
      <c r="AA136" s="9" t="str">
        <f>IF(COUNT(N136:Q136)&lt;4,"—",IF(MIN(N136:Q136)&gt;0,"A",IF(Q136&gt;0,"B",IF(Q136&gt;N136,"C","D"))))</f>
        <v>A</v>
      </c>
      <c r="AB136" s="9" t="inlineStr">
        <is>
          <t>2026-05-31</t>
        </is>
      </c>
    </row>
    <row r="137" ht="15" customHeight="1">
      <c r="A137" s="9" t="n">
        <v>136</v>
      </c>
      <c r="B137" s="10" t="inlineStr">
        <is>
          <t>CTSH</t>
        </is>
      </c>
      <c r="C137" s="11" t="inlineStr">
        <is>
          <t>IT服務與系統整合</t>
        </is>
      </c>
      <c r="D137" s="11" t="inlineStr">
        <is>
          <t>Cognizant Technology Solutions Corporation</t>
        </is>
      </c>
      <c r="E137" s="11" t="inlineStr">
        <is>
          <t>Information Technology Services</t>
        </is>
      </c>
      <c r="F137" s="9" t="inlineStr">
        <is>
          <t>USD</t>
        </is>
      </c>
      <c r="G137" s="11" t="inlineStr">
        <is>
          <t>25Q2 / 25Q3 / 25Q4 / 26Q1 / 26Q2</t>
        </is>
      </c>
      <c r="H137" s="12" t="n">
        <v>5245</v>
      </c>
      <c r="I137" s="12" t="n">
        <v>5415</v>
      </c>
      <c r="J137" s="12" t="n">
        <v>5333</v>
      </c>
      <c r="K137" s="12" t="n">
        <v>5413</v>
      </c>
      <c r="L137" s="12" t="n">
        <v>5481</v>
      </c>
      <c r="M137" s="13">
        <f>IF(OR(N(H137)=0,L137=""),"",L137/H137-1)</f>
        <v>0.04499523355576729</v>
      </c>
      <c r="N137" s="14" t="n">
        <v>866</v>
      </c>
      <c r="O137" s="14" t="n">
        <v>853</v>
      </c>
      <c r="P137" s="14" t="n">
        <v>843</v>
      </c>
      <c r="Q137" s="14" t="n">
        <v>958</v>
      </c>
      <c r="R137" s="13">
        <f>IF(OR(N(L137)=0,Q137=""),"",Q137/L137)</f>
        <v>0.17478562306148512</v>
      </c>
      <c r="S137" s="14" t="n">
        <v>1829</v>
      </c>
      <c r="T137" s="13">
        <f>IF(OR(N(L137)=0,S137=""),"",S137/L137)</f>
        <v>0.3336982302499544</v>
      </c>
      <c r="U137" s="14" t="n">
        <v>636</v>
      </c>
      <c r="V137" s="13">
        <f>IF(OR(N(L137)=0,U137=""),"",U137/L137)</f>
        <v>0.11603721948549535</v>
      </c>
      <c r="W137" s="14" t="n">
        <v>21108</v>
      </c>
      <c r="X137" s="14" t="n">
        <v>3327</v>
      </c>
      <c r="Y137" s="13">
        <f>IF(OR(N(W137)=0,X137=""),"",X137/W137)</f>
        <v>0.1576179647527004</v>
      </c>
      <c r="Z137" s="11" t="str">
        <f>IF(AA137="A","四季持續盈利",IF(AA137="B","最新季為正/波動",IF(AA137="C","虧損收窄",IF(AA137="D","虧損擴大或轉虧","數據不足"))))</f>
        <v>四季持續盈利</v>
      </c>
      <c r="AA137" s="9" t="str">
        <f>IF(COUNT(N137:Q137)&lt;4,"—",IF(MIN(N137:Q137)&gt;0,"A",IF(Q137&gt;0,"B",IF(Q137&gt;N137,"C","D"))))</f>
        <v>A</v>
      </c>
      <c r="AB137" s="9" t="inlineStr">
        <is>
          <t>2026-06-30</t>
        </is>
      </c>
    </row>
    <row r="138" ht="15" customHeight="1">
      <c r="A138" s="9" t="n">
        <v>137</v>
      </c>
      <c r="B138" s="10" t="inlineStr">
        <is>
          <t>CTVA</t>
        </is>
      </c>
      <c r="C138" s="11" t="inlineStr">
        <is>
          <t>農產品與農業投入</t>
        </is>
      </c>
      <c r="D138" s="11" t="inlineStr">
        <is>
          <t>Corteva, Inc.</t>
        </is>
      </c>
      <c r="E138" s="11" t="inlineStr">
        <is>
          <t>Agricultural Inputs</t>
        </is>
      </c>
      <c r="F138" s="9" t="inlineStr">
        <is>
          <t>USD</t>
        </is>
      </c>
      <c r="G138" s="11" t="inlineStr">
        <is>
          <t>25Q2 / 25Q3 / 25Q4 / 26Q1 / 26Q2</t>
        </is>
      </c>
      <c r="H138" s="12" t="n">
        <v>6456</v>
      </c>
      <c r="I138" s="12" t="n">
        <v>2618</v>
      </c>
      <c r="J138" s="12" t="n">
        <v>3910</v>
      </c>
      <c r="K138" s="12" t="n">
        <v>4905</v>
      </c>
      <c r="L138" s="12" t="n"/>
      <c r="M138" s="13" t="str">
        <f>IF(OR(N(H138)=0,L138=""),"",L138/H138-1)</f>
        <v/>
      </c>
      <c r="N138" s="14" t="n">
        <v>-270</v>
      </c>
      <c r="O138" s="14" t="n">
        <v>242</v>
      </c>
      <c r="P138" s="14" t="n">
        <v>1155</v>
      </c>
      <c r="Q138" s="14" t="n"/>
      <c r="R138" s="13" t="str">
        <f>IF(OR(N(L138)=0,Q138=""),"",Q138/L138)</f>
        <v/>
      </c>
      <c r="S138" s="14" t="n"/>
      <c r="T138" s="13" t="str">
        <f>IF(OR(N(L138)=0,S138=""),"",S138/L138)</f>
        <v/>
      </c>
      <c r="U138" s="14" t="n"/>
      <c r="V138" s="13" t="str">
        <f>IF(OR(N(L138)=0,U138=""),"",U138/L138)</f>
        <v/>
      </c>
      <c r="W138" s="14" t="n">
        <v>17401</v>
      </c>
      <c r="X138" s="14" t="n">
        <v>2619</v>
      </c>
      <c r="Y138" s="13">
        <f>IF(OR(N(W138)=0,X138=""),"",X138/W138)</f>
        <v>0.1505085914602609</v>
      </c>
      <c r="Z138" s="11" t="str">
        <f>IF(AA138="A","四季持續盈利",IF(AA138="B","最新季為正/波動",IF(AA138="C","虧損收窄",IF(AA138="D","虧損擴大或轉虧","數據不足"))))</f>
        <v>數據不足</v>
      </c>
      <c r="AA138" s="9" t="str">
        <f>IF(COUNT(N138:Q138)&lt;4,"—",IF(MIN(N138:Q138)&gt;0,"A",IF(Q138&gt;0,"B",IF(Q138&gt;N138,"C","D"))))</f>
        <v>—</v>
      </c>
      <c r="AB138" s="9" t="inlineStr">
        <is>
          <t>2026-06-30</t>
        </is>
      </c>
    </row>
    <row r="139" ht="15" customHeight="1">
      <c r="A139" s="9" t="n">
        <v>138</v>
      </c>
      <c r="B139" s="10" t="inlineStr">
        <is>
          <t>CVS</t>
        </is>
      </c>
      <c r="C139" s="11" t="inlineStr">
        <is>
          <t>藥品分銷與藥房</t>
        </is>
      </c>
      <c r="D139" s="11" t="inlineStr">
        <is>
          <t>CVS Health Corporation</t>
        </is>
      </c>
      <c r="E139" s="11" t="inlineStr">
        <is>
          <t>Healthcare Plans</t>
        </is>
      </c>
      <c r="F139" s="9" t="inlineStr">
        <is>
          <t>USD</t>
        </is>
      </c>
      <c r="G139" s="11" t="inlineStr">
        <is>
          <t>25Q2 / 25Q3 / 25Q4 / 26Q1 / 26Q2</t>
        </is>
      </c>
      <c r="H139" s="12" t="n">
        <v>98915</v>
      </c>
      <c r="I139" s="12" t="n">
        <v>102871</v>
      </c>
      <c r="J139" s="12" t="n">
        <v>105693</v>
      </c>
      <c r="K139" s="12" t="n">
        <v>100426</v>
      </c>
      <c r="L139" s="12" t="n">
        <v>106096</v>
      </c>
      <c r="M139" s="13">
        <f>IF(OR(N(H139)=0,L139=""),"",L139/H139-1)</f>
        <v>0.07259768488095841</v>
      </c>
      <c r="N139" s="14" t="n">
        <v>2518</v>
      </c>
      <c r="O139" s="14" t="n">
        <v>2112</v>
      </c>
      <c r="P139" s="14" t="n">
        <v>4680</v>
      </c>
      <c r="Q139" s="14" t="n">
        <v>4703</v>
      </c>
      <c r="R139" s="13">
        <f>IF(OR(N(L139)=0,Q139=""),"",Q139/L139)</f>
        <v>0.04432777861559342</v>
      </c>
      <c r="S139" s="14" t="n">
        <v>15749</v>
      </c>
      <c r="T139" s="13">
        <f>IF(OR(N(L139)=0,S139=""),"",S139/L139)</f>
        <v>0.14844103453476098</v>
      </c>
      <c r="U139" s="14" t="n">
        <v>2979</v>
      </c>
      <c r="V139" s="13">
        <f>IF(OR(N(L139)=0,U139=""),"",U139/L139)</f>
        <v>0.02807834414115518</v>
      </c>
      <c r="W139" s="14" t="n">
        <v>402067</v>
      </c>
      <c r="X139" s="14" t="n">
        <v>10385</v>
      </c>
      <c r="Y139" s="13">
        <f>IF(OR(N(W139)=0,X139=""),"",X139/W139)</f>
        <v>0.025829028495250792</v>
      </c>
      <c r="Z139" s="11" t="str">
        <f>IF(AA139="A","四季持續盈利",IF(AA139="B","最新季為正/波動",IF(AA139="C","虧損收窄",IF(AA139="D","虧損擴大或轉虧","數據不足"))))</f>
        <v>四季持續盈利</v>
      </c>
      <c r="AA139" s="9" t="str">
        <f>IF(COUNT(N139:Q139)&lt;4,"—",IF(MIN(N139:Q139)&gt;0,"A",IF(Q139&gt;0,"B",IF(Q139&gt;N139,"C","D"))))</f>
        <v>A</v>
      </c>
      <c r="AB139" s="9" t="inlineStr">
        <is>
          <t>2026-06-30</t>
        </is>
      </c>
    </row>
    <row r="140" ht="15" customHeight="1">
      <c r="A140" s="9" t="n">
        <v>139</v>
      </c>
      <c r="B140" s="10" t="inlineStr">
        <is>
          <t>CVX</t>
        </is>
      </c>
      <c r="C140" s="11" t="inlineStr">
        <is>
          <t>綜合油氣巨頭</t>
        </is>
      </c>
      <c r="D140" s="11" t="inlineStr">
        <is>
          <t>Chevron Corporation</t>
        </is>
      </c>
      <c r="E140" s="11" t="inlineStr">
        <is>
          <t>Oil &amp; Gas Integrated</t>
        </is>
      </c>
      <c r="F140" s="9" t="inlineStr">
        <is>
          <t>USD</t>
        </is>
      </c>
      <c r="G140" s="11" t="inlineStr">
        <is>
          <t>25Q2 / 25Q3 / 25Q4 / 26Q1 / 26Q2</t>
        </is>
      </c>
      <c r="H140" s="12" t="n">
        <v>44375</v>
      </c>
      <c r="I140" s="12" t="n">
        <v>48169</v>
      </c>
      <c r="J140" s="12" t="n">
        <v>45787</v>
      </c>
      <c r="K140" s="12" t="n">
        <v>47556</v>
      </c>
      <c r="L140" s="12" t="n">
        <v>67199</v>
      </c>
      <c r="M140" s="13">
        <f>IF(OR(N(H140)=0,L140=""),"",L140/H140-1)</f>
        <v>0.5143436619718309</v>
      </c>
      <c r="N140" s="14" t="n">
        <v>4297</v>
      </c>
      <c r="O140" s="14" t="n">
        <v>4023</v>
      </c>
      <c r="P140" s="14" t="n">
        <v>3222</v>
      </c>
      <c r="Q140" s="14" t="n">
        <v>14276</v>
      </c>
      <c r="R140" s="13">
        <f>IF(OR(N(L140)=0,Q140=""),"",Q140/L140)</f>
        <v>0.21244363755413026</v>
      </c>
      <c r="S140" s="14" t="n">
        <v>24510</v>
      </c>
      <c r="T140" s="13">
        <f>IF(OR(N(L140)=0,S140=""),"",S140/L140)</f>
        <v>0.364737570499561</v>
      </c>
      <c r="U140" s="14" t="n">
        <v>12072</v>
      </c>
      <c r="V140" s="13">
        <f>IF(OR(N(L140)=0,U140=""),"",U140/L140)</f>
        <v>0.17964553043944106</v>
      </c>
      <c r="W140" s="14" t="n">
        <v>184432</v>
      </c>
      <c r="X140" s="14" t="n">
        <v>16674</v>
      </c>
      <c r="Y140" s="13">
        <f>IF(OR(N(W140)=0,X140=""),"",X140/W140)</f>
        <v>0.0904073045892253</v>
      </c>
      <c r="Z140" s="11" t="str">
        <f>IF(AA140="A","四季持續盈利",IF(AA140="B","最新季為正/波動",IF(AA140="C","虧損收窄",IF(AA140="D","虧損擴大或轉虧","數據不足"))))</f>
        <v>四季持續盈利</v>
      </c>
      <c r="AA140" s="9" t="str">
        <f>IF(COUNT(N140:Q140)&lt;4,"—",IF(MIN(N140:Q140)&gt;0,"A",IF(Q140&gt;0,"B",IF(Q140&gt;N140,"C","D"))))</f>
        <v>A</v>
      </c>
      <c r="AB140" s="9" t="inlineStr">
        <is>
          <t>2026-06-30</t>
        </is>
      </c>
    </row>
    <row r="141" ht="15" customHeight="1">
      <c r="A141" s="9" t="n">
        <v>140</v>
      </c>
      <c r="B141" s="10" t="inlineStr">
        <is>
          <t>CWST</t>
        </is>
      </c>
      <c r="C141" s="11" t="inlineStr">
        <is>
          <t>廢物管理與環境服務</t>
        </is>
      </c>
      <c r="D141" s="11" t="inlineStr">
        <is>
          <t>Casella Waste Systems, Inc.</t>
        </is>
      </c>
      <c r="E141" s="11" t="inlineStr">
        <is>
          <t>Waste Management</t>
        </is>
      </c>
      <c r="F141" s="9" t="inlineStr">
        <is>
          <t>USD</t>
        </is>
      </c>
      <c r="G141" s="11" t="inlineStr">
        <is>
          <t>25Q2 / 25Q3 / 25Q4 / 26Q1 / 26Q2</t>
        </is>
      </c>
      <c r="H141" s="12" t="n">
        <v>465.334</v>
      </c>
      <c r="I141" s="12" t="n">
        <v>485.351</v>
      </c>
      <c r="J141" s="12" t="n">
        <v>469.055</v>
      </c>
      <c r="K141" s="12" t="n">
        <v>457.328</v>
      </c>
      <c r="L141" s="12" t="n">
        <v>543.748</v>
      </c>
      <c r="M141" s="13">
        <f>IF(OR(N(H141)=0,L141=""),"",L141/H141-1)</f>
        <v>0.1685112198979659</v>
      </c>
      <c r="N141" s="14" t="n">
        <v>33.951</v>
      </c>
      <c r="O141" s="14" t="n">
        <v>20.796</v>
      </c>
      <c r="P141" s="14" t="n">
        <v>12.328</v>
      </c>
      <c r="Q141" s="14" t="n">
        <v>27.148</v>
      </c>
      <c r="R141" s="13">
        <f>IF(OR(N(L141)=0,Q141=""),"",Q141/L141)</f>
        <v>0.04992753996336538</v>
      </c>
      <c r="S141" s="14" t="n">
        <v>178.848</v>
      </c>
      <c r="T141" s="13">
        <f>IF(OR(N(L141)=0,S141=""),"",S141/L141)</f>
        <v>0.3289170718788851</v>
      </c>
      <c r="U141" s="14" t="n">
        <v>3.77</v>
      </c>
      <c r="V141" s="13">
        <f>IF(OR(N(L141)=0,U141=""),"",U141/L141)</f>
        <v>0.006933358835342842</v>
      </c>
      <c r="W141" s="14" t="n">
        <v>1836.841</v>
      </c>
      <c r="X141" s="14" t="n">
        <v>89.182</v>
      </c>
      <c r="Y141" s="13">
        <f>IF(OR(N(W141)=0,X141=""),"",X141/W141)</f>
        <v>0.048551834372163954</v>
      </c>
      <c r="Z141" s="11" t="str">
        <f>IF(AA141="A","四季持續盈利",IF(AA141="B","最新季為正/波動",IF(AA141="C","虧損收窄",IF(AA141="D","虧損擴大或轉虧","數據不足"))))</f>
        <v>四季持續盈利</v>
      </c>
      <c r="AA141" s="9" t="str">
        <f>IF(COUNT(N141:Q141)&lt;4,"—",IF(MIN(N141:Q141)&gt;0,"A",IF(Q141&gt;0,"B",IF(Q141&gt;N141,"C","D"))))</f>
        <v>A</v>
      </c>
      <c r="AB141" s="9" t="inlineStr">
        <is>
          <t>2026-06-30</t>
        </is>
      </c>
    </row>
    <row r="142" ht="15" customHeight="1">
      <c r="A142" s="9" t="n">
        <v>141</v>
      </c>
      <c r="B142" s="10" t="inlineStr">
        <is>
          <t>CWT</t>
        </is>
      </c>
      <c r="C142" s="11" t="inlineStr">
        <is>
          <t>水務公用</t>
        </is>
      </c>
      <c r="D142" s="11" t="inlineStr">
        <is>
          <t>California Water Service Group</t>
        </is>
      </c>
      <c r="E142" s="11" t="inlineStr">
        <is>
          <t>Utilities - Regulated Water</t>
        </is>
      </c>
      <c r="F142" s="9" t="inlineStr">
        <is>
          <t>USD</t>
        </is>
      </c>
      <c r="G142" s="11" t="inlineStr">
        <is>
          <t>25Q2 / 25Q3 / 25Q4 / 26Q1 / 26Q2</t>
        </is>
      </c>
      <c r="H142" s="12" t="n">
        <v>264.954</v>
      </c>
      <c r="I142" s="12" t="n">
        <v>311.235</v>
      </c>
      <c r="J142" s="12" t="n">
        <v>219.978</v>
      </c>
      <c r="K142" s="12" t="n">
        <v>214.573</v>
      </c>
      <c r="L142" s="12" t="n">
        <v>308.596</v>
      </c>
      <c r="M142" s="13">
        <f>IF(OR(N(H142)=0,L142=""),"",L142/H142-1)</f>
        <v>0.16471538455731927</v>
      </c>
      <c r="N142" s="14" t="n">
        <v>84.8</v>
      </c>
      <c r="O142" s="14" t="n">
        <v>9.682</v>
      </c>
      <c r="P142" s="14" t="n">
        <v>21.549</v>
      </c>
      <c r="Q142" s="14" t="n">
        <v>88.229</v>
      </c>
      <c r="R142" s="13">
        <f>IF(OR(N(L142)=0,Q142=""),"",Q142/L142)</f>
        <v>0.28590454834152096</v>
      </c>
      <c r="S142" s="14" t="n">
        <v>207.603</v>
      </c>
      <c r="T142" s="13">
        <f>IF(OR(N(L142)=0,S142=""),"",S142/L142)</f>
        <v>0.6727339304462793</v>
      </c>
      <c r="U142" s="14" t="n">
        <v>56.465</v>
      </c>
      <c r="V142" s="13">
        <f>IF(OR(N(L142)=0,U142=""),"",U142/L142)</f>
        <v>0.18297385578555783</v>
      </c>
      <c r="W142" s="14" t="n">
        <v>1000.14</v>
      </c>
      <c r="X142" s="14" t="n">
        <v>183.092</v>
      </c>
      <c r="Y142" s="13">
        <f>IF(OR(N(W142)=0,X142=""),"",X142/W142)</f>
        <v>0.1830663707081009</v>
      </c>
      <c r="Z142" s="11" t="str">
        <f>IF(AA142="A","四季持續盈利",IF(AA142="B","最新季為正/波動",IF(AA142="C","虧損收窄",IF(AA142="D","虧損擴大或轉虧","數據不足"))))</f>
        <v>四季持續盈利</v>
      </c>
      <c r="AA142" s="9" t="str">
        <f>IF(COUNT(N142:Q142)&lt;4,"—",IF(MIN(N142:Q142)&gt;0,"A",IF(Q142&gt;0,"B",IF(Q142&gt;N142,"C","D"))))</f>
        <v>A</v>
      </c>
      <c r="AB142" s="9" t="inlineStr">
        <is>
          <t>2026-06-30</t>
        </is>
      </c>
    </row>
    <row r="143" ht="15" customHeight="1">
      <c r="A143" s="9" t="n">
        <v>142</v>
      </c>
      <c r="B143" s="10" t="inlineStr">
        <is>
          <t>D</t>
        </is>
      </c>
      <c r="C143" s="11" t="inlineStr">
        <is>
          <t>受監管電力公用</t>
        </is>
      </c>
      <c r="D143" s="11" t="inlineStr">
        <is>
          <t>Dominion Energy, Inc.</t>
        </is>
      </c>
      <c r="E143" s="11" t="inlineStr">
        <is>
          <t>Utilities - Regulated Electric</t>
        </is>
      </c>
      <c r="F143" s="9" t="inlineStr">
        <is>
          <t>USD</t>
        </is>
      </c>
      <c r="G143" s="11" t="inlineStr">
        <is>
          <t>25Q2 / 25Q3 / 25Q4 / 26Q1 / 26Q2</t>
        </is>
      </c>
      <c r="H143" s="12" t="n">
        <v>3810</v>
      </c>
      <c r="I143" s="12" t="n">
        <v>4527</v>
      </c>
      <c r="J143" s="12" t="n">
        <v>4093</v>
      </c>
      <c r="K143" s="12" t="n">
        <v>5019</v>
      </c>
      <c r="L143" s="12" t="n"/>
      <c r="M143" s="13" t="str">
        <f>IF(OR(N(H143)=0,L143=""),"",L143/H143-1)</f>
        <v/>
      </c>
      <c r="N143" s="14" t="n">
        <v>1469</v>
      </c>
      <c r="O143" s="14" t="n">
        <v>1047</v>
      </c>
      <c r="P143" s="14" t="n">
        <v>1357</v>
      </c>
      <c r="Q143" s="14" t="n"/>
      <c r="R143" s="13" t="str">
        <f>IF(OR(N(L143)=0,Q143=""),"",Q143/L143)</f>
        <v/>
      </c>
      <c r="S143" s="14" t="n"/>
      <c r="T143" s="13" t="str">
        <f>IF(OR(N(L143)=0,S143=""),"",S143/L143)</f>
        <v/>
      </c>
      <c r="U143" s="14" t="n"/>
      <c r="V143" s="13" t="str">
        <f>IF(OR(N(L143)=0,U143=""),"",U143/L143)</f>
        <v/>
      </c>
      <c r="W143" s="14" t="n">
        <v>16506</v>
      </c>
      <c r="X143" s="14" t="n">
        <v>4931</v>
      </c>
      <c r="Y143" s="13">
        <f>IF(OR(N(W143)=0,X143=""),"",X143/W143)</f>
        <v>0.2987398521749667</v>
      </c>
      <c r="Z143" s="11" t="str">
        <f>IF(AA143="A","四季持續盈利",IF(AA143="B","最新季為正/波動",IF(AA143="C","虧損收窄",IF(AA143="D","虧損擴大或轉虧","數據不足"))))</f>
        <v>數據不足</v>
      </c>
      <c r="AA143" s="9" t="str">
        <f>IF(COUNT(N143:Q143)&lt;4,"—",IF(MIN(N143:Q143)&gt;0,"A",IF(Q143&gt;0,"B",IF(Q143&gt;N143,"C","D"))))</f>
        <v>—</v>
      </c>
      <c r="AB143" s="9" t="inlineStr">
        <is>
          <t>2026-06-30</t>
        </is>
      </c>
    </row>
    <row r="144" ht="15" customHeight="1">
      <c r="A144" s="9" t="n">
        <v>143</v>
      </c>
      <c r="B144" s="10" t="inlineStr">
        <is>
          <t>DAL</t>
        </is>
      </c>
      <c r="C144" s="11" t="inlineStr">
        <is>
          <t>航空公司</t>
        </is>
      </c>
      <c r="D144" s="11" t="inlineStr">
        <is>
          <t>Delta Air Lines, Inc.</t>
        </is>
      </c>
      <c r="E144" s="11" t="inlineStr">
        <is>
          <t>Airlines</t>
        </is>
      </c>
      <c r="F144" s="9" t="inlineStr">
        <is>
          <t>USD</t>
        </is>
      </c>
      <c r="G144" s="11" t="inlineStr">
        <is>
          <t>25Q2 / 25Q3 / 25Q4 / 26Q1 / 26Q2</t>
        </is>
      </c>
      <c r="H144" s="12" t="n">
        <v>16648</v>
      </c>
      <c r="I144" s="12" t="n">
        <v>16673</v>
      </c>
      <c r="J144" s="12" t="n">
        <v>16003</v>
      </c>
      <c r="K144" s="12" t="n">
        <v>15854</v>
      </c>
      <c r="L144" s="12" t="n">
        <v>19757</v>
      </c>
      <c r="M144" s="13">
        <f>IF(OR(N(H144)=0,L144=""),"",L144/H144-1)</f>
        <v>0.18674915905814515</v>
      </c>
      <c r="N144" s="14" t="n">
        <v>1684</v>
      </c>
      <c r="O144" s="14" t="n">
        <v>1467</v>
      </c>
      <c r="P144" s="14" t="n">
        <v>501</v>
      </c>
      <c r="Q144" s="14" t="n">
        <v>1864</v>
      </c>
      <c r="R144" s="13">
        <f>IF(OR(N(L144)=0,Q144=""),"",Q144/L144)</f>
        <v>0.09434630763779926</v>
      </c>
      <c r="S144" s="14" t="n">
        <v>4541</v>
      </c>
      <c r="T144" s="13">
        <f>IF(OR(N(L144)=0,S144=""),"",S144/L144)</f>
        <v>0.22984258743736397</v>
      </c>
      <c r="U144" s="14" t="n">
        <v>1604</v>
      </c>
      <c r="V144" s="13">
        <f>IF(OR(N(L144)=0,U144=""),"",U144/L144)</f>
        <v>0.0811864149415397</v>
      </c>
      <c r="W144" s="14" t="n">
        <v>63364</v>
      </c>
      <c r="X144" s="14" t="n">
        <v>5822</v>
      </c>
      <c r="Y144" s="13">
        <f>IF(OR(N(W144)=0,X144=""),"",X144/W144)</f>
        <v>0.09188182564232056</v>
      </c>
      <c r="Z144" s="11" t="str">
        <f>IF(AA144="A","四季持續盈利",IF(AA144="B","最新季為正/波動",IF(AA144="C","虧損收窄",IF(AA144="D","虧損擴大或轉虧","數據不足"))))</f>
        <v>四季持續盈利</v>
      </c>
      <c r="AA144" s="9" t="str">
        <f>IF(COUNT(N144:Q144)&lt;4,"—",IF(MIN(N144:Q144)&gt;0,"A",IF(Q144&gt;0,"B",IF(Q144&gt;N144,"C","D"))))</f>
        <v>A</v>
      </c>
      <c r="AB144" s="9" t="inlineStr">
        <is>
          <t>2026-06-30</t>
        </is>
      </c>
    </row>
    <row r="145" ht="15" customHeight="1">
      <c r="A145" s="9" t="n">
        <v>144</v>
      </c>
      <c r="B145" s="10" t="inlineStr">
        <is>
          <t>DDOG</t>
        </is>
      </c>
      <c r="C145" s="11" t="inlineStr">
        <is>
          <t>資料/分析平台</t>
        </is>
      </c>
      <c r="D145" s="11" t="inlineStr">
        <is>
          <t>Datadog, Inc.</t>
        </is>
      </c>
      <c r="E145" s="11" t="inlineStr">
        <is>
          <t>Software - Application</t>
        </is>
      </c>
      <c r="F145" s="9" t="inlineStr">
        <is>
          <t>USD</t>
        </is>
      </c>
      <c r="G145" s="11" t="inlineStr">
        <is>
          <t>25Q2 / 25Q3 / 25Q4 / 26Q1 / 26Q2</t>
        </is>
      </c>
      <c r="H145" s="12" t="n">
        <v>826.76</v>
      </c>
      <c r="I145" s="12" t="n">
        <v>885.651</v>
      </c>
      <c r="J145" s="12" t="n">
        <v>953.194</v>
      </c>
      <c r="K145" s="12" t="n">
        <v>1006.426</v>
      </c>
      <c r="L145" s="12" t="n">
        <v>1121.454</v>
      </c>
      <c r="M145" s="13">
        <f>IF(OR(N(H145)=0,L145=""),"",L145/H145-1)</f>
        <v>0.3564444336929702</v>
      </c>
      <c r="N145" s="14" t="n">
        <v>-5.809</v>
      </c>
      <c r="O145" s="14" t="n">
        <v>7.983</v>
      </c>
      <c r="P145" s="14" t="n">
        <v>7.327</v>
      </c>
      <c r="Q145" s="14" t="n">
        <v>7.465</v>
      </c>
      <c r="R145" s="13">
        <f>IF(OR(N(L145)=0,Q145=""),"",Q145/L145)</f>
        <v>0.0066565369600536444</v>
      </c>
      <c r="S145" s="14" t="n">
        <v>881.341</v>
      </c>
      <c r="T145" s="13">
        <f>IF(OR(N(L145)=0,S145=""),"",S145/L145)</f>
        <v>0.7858913517629792</v>
      </c>
      <c r="U145" s="14" t="n">
        <v>44.558</v>
      </c>
      <c r="V145" s="13">
        <f>IF(OR(N(L145)=0,U145=""),"",U145/L145)</f>
        <v>0.03973234747033762</v>
      </c>
      <c r="W145" s="14" t="n">
        <v>3427.158</v>
      </c>
      <c r="X145" s="14" t="n">
        <v>-44.373</v>
      </c>
      <c r="Y145" s="13">
        <f>IF(OR(N(W145)=0,X145=""),"",X145/W145)</f>
        <v>-0.012947462591453327</v>
      </c>
      <c r="Z145" s="11" t="str">
        <f>IF(AA145="A","四季持續盈利",IF(AA145="B","最新季為正/波動",IF(AA145="C","虧損收窄",IF(AA145="D","虧損擴大或轉虧","數據不足"))))</f>
        <v>最新季為正/波動</v>
      </c>
      <c r="AA145" s="9" t="str">
        <f>IF(COUNT(N145:Q145)&lt;4,"—",IF(MIN(N145:Q145)&gt;0,"A",IF(Q145&gt;0,"B",IF(Q145&gt;N145,"C","D"))))</f>
        <v>B</v>
      </c>
      <c r="AB145" s="9" t="inlineStr">
        <is>
          <t>2026-06-30</t>
        </is>
      </c>
    </row>
    <row r="146" ht="15" customHeight="1">
      <c r="A146" s="9" t="n">
        <v>145</v>
      </c>
      <c r="B146" s="10" t="inlineStr">
        <is>
          <t>DE</t>
        </is>
      </c>
      <c r="C146" s="11" t="inlineStr">
        <is>
          <t>機械與重工</t>
        </is>
      </c>
      <c r="D146" s="11" t="inlineStr">
        <is>
          <t>Deere &amp; Company</t>
        </is>
      </c>
      <c r="E146" s="11" t="inlineStr">
        <is>
          <t>Farm &amp; Heavy Construction Machinery</t>
        </is>
      </c>
      <c r="F146" s="9" t="inlineStr">
        <is>
          <t>USD</t>
        </is>
      </c>
      <c r="G146" s="11" t="inlineStr">
        <is>
          <t>25Q3 / 25Q4 / 26Q1 / 26Q2 / 26Q3</t>
        </is>
      </c>
      <c r="H146" s="12" t="n">
        <v>11783</v>
      </c>
      <c r="I146" s="12" t="n">
        <v>12094</v>
      </c>
      <c r="J146" s="12" t="n">
        <v>9344</v>
      </c>
      <c r="K146" s="12" t="n">
        <v>13092</v>
      </c>
      <c r="L146" s="12" t="n">
        <v>12352</v>
      </c>
      <c r="M146" s="13">
        <f>IF(OR(N(H146)=0,L146=""),"",L146/H146-1)</f>
        <v>0.04828990919120768</v>
      </c>
      <c r="N146" s="14" t="n">
        <v>1895</v>
      </c>
      <c r="O146" s="14" t="n">
        <v>1288</v>
      </c>
      <c r="P146" s="14" t="n">
        <v>2728</v>
      </c>
      <c r="Q146" s="14" t="n">
        <v>2336</v>
      </c>
      <c r="R146" s="13">
        <f>IF(OR(N(L146)=0,Q146=""),"",Q146/L146)</f>
        <v>0.18911917098445596</v>
      </c>
      <c r="S146" s="14" t="n">
        <v>4413</v>
      </c>
      <c r="T146" s="13">
        <f>IF(OR(N(L146)=0,S146=""),"",S146/L146)</f>
        <v>0.35727007772020725</v>
      </c>
      <c r="U146" s="14" t="n">
        <v>1379</v>
      </c>
      <c r="V146" s="13">
        <f>IF(OR(N(L146)=0,U146=""),"",U146/L146)</f>
        <v>0.11164183937823834</v>
      </c>
      <c r="W146" s="14" t="n">
        <v>44665</v>
      </c>
      <c r="X146" s="14" t="n">
        <v>8416</v>
      </c>
      <c r="Y146" s="13">
        <f>IF(OR(N(W146)=0,X146=""),"",X146/W146)</f>
        <v>0.18842494122915035</v>
      </c>
      <c r="Z146" s="11" t="str">
        <f>IF(AA146="A","四季持續盈利",IF(AA146="B","最新季為正/波動",IF(AA146="C","虧損收窄",IF(AA146="D","虧損擴大或轉虧","數據不足"))))</f>
        <v>四季持續盈利</v>
      </c>
      <c r="AA146" s="9" t="str">
        <f>IF(COUNT(N146:Q146)&lt;4,"—",IF(MIN(N146:Q146)&gt;0,"A",IF(Q146&gt;0,"B",IF(Q146&gt;N146,"C","D"))))</f>
        <v>A</v>
      </c>
      <c r="AB146" s="9" t="inlineStr">
        <is>
          <t>2026-07-31</t>
        </is>
      </c>
    </row>
    <row r="147" ht="15" customHeight="1">
      <c r="A147" s="9" t="n">
        <v>146</v>
      </c>
      <c r="B147" s="10" t="inlineStr">
        <is>
          <t>DECK</t>
        </is>
      </c>
      <c r="C147" s="11" t="inlineStr">
        <is>
          <t>服裝與奢侈品</t>
        </is>
      </c>
      <c r="D147" s="11" t="inlineStr">
        <is>
          <t>Deckers Outdoor Corporation</t>
        </is>
      </c>
      <c r="E147" s="11" t="inlineStr">
        <is>
          <t>Footwear &amp; Accessories</t>
        </is>
      </c>
      <c r="F147" s="9" t="inlineStr">
        <is>
          <t>USD</t>
        </is>
      </c>
      <c r="G147" s="11" t="inlineStr">
        <is>
          <t>25Q2 / 25Q3 / 25Q4 / 26Q1 / 26Q2</t>
        </is>
      </c>
      <c r="H147" s="12" t="n">
        <v>964.538</v>
      </c>
      <c r="I147" s="12" t="n">
        <v>1430.84</v>
      </c>
      <c r="J147" s="12" t="n">
        <v>1957.549</v>
      </c>
      <c r="K147" s="12" t="n">
        <v>1119.369</v>
      </c>
      <c r="L147" s="12" t="n">
        <v>1019.531</v>
      </c>
      <c r="M147" s="13">
        <f>IF(OR(N(H147)=0,L147=""),"",L147/H147-1)</f>
        <v>0.05701486100081077</v>
      </c>
      <c r="N147" s="14" t="n">
        <v>326.521</v>
      </c>
      <c r="O147" s="14" t="n">
        <v>614.366</v>
      </c>
      <c r="P147" s="14" t="n">
        <v>156.729</v>
      </c>
      <c r="Q147" s="14" t="n">
        <v>155.301</v>
      </c>
      <c r="R147" s="13">
        <f>IF(OR(N(L147)=0,Q147=""),"",Q147/L147)</f>
        <v>0.15232592240942158</v>
      </c>
      <c r="S147" s="14" t="n">
        <v>575.163</v>
      </c>
      <c r="T147" s="13">
        <f>IF(OR(N(L147)=0,S147=""),"",S147/L147)</f>
        <v>0.5641446900584681</v>
      </c>
      <c r="U147" s="14" t="n">
        <v>129.972</v>
      </c>
      <c r="V147" s="13">
        <f>IF(OR(N(L147)=0,U147=""),"",U147/L147)</f>
        <v>0.12748214620251863</v>
      </c>
      <c r="W147" s="14" t="n">
        <v>5472.296</v>
      </c>
      <c r="X147" s="14" t="n">
        <v>1262.903</v>
      </c>
      <c r="Y147" s="13">
        <f>IF(OR(N(W147)=0,X147=""),"",X147/W147)</f>
        <v>0.23078119312259424</v>
      </c>
      <c r="Z147" s="11" t="str">
        <f>IF(AA147="A","四季持續盈利",IF(AA147="B","最新季為正/波動",IF(AA147="C","虧損收窄",IF(AA147="D","虧損擴大或轉虧","數據不足"))))</f>
        <v>四季持續盈利</v>
      </c>
      <c r="AA147" s="9" t="str">
        <f>IF(COUNT(N147:Q147)&lt;4,"—",IF(MIN(N147:Q147)&gt;0,"A",IF(Q147&gt;0,"B",IF(Q147&gt;N147,"C","D"))))</f>
        <v>A</v>
      </c>
      <c r="AB147" s="9" t="inlineStr">
        <is>
          <t>2026-06-30</t>
        </is>
      </c>
    </row>
    <row r="148" ht="15" customHeight="1">
      <c r="A148" s="9" t="n">
        <v>147</v>
      </c>
      <c r="B148" s="10" t="inlineStr">
        <is>
          <t>DELL</t>
        </is>
      </c>
      <c r="C148" s="11" t="inlineStr">
        <is>
          <t>電子硬件與EMS/連接器</t>
        </is>
      </c>
      <c r="D148" s="11" t="inlineStr">
        <is>
          <t>Dell Technologies Inc.</t>
        </is>
      </c>
      <c r="E148" s="11" t="inlineStr">
        <is>
          <t>E1 Server</t>
        </is>
      </c>
      <c r="F148" s="9" t="inlineStr">
        <is>
          <t>USD</t>
        </is>
      </c>
      <c r="G148" s="11" t="inlineStr">
        <is>
          <t>25Q3 / 25Q4 / 26Q1 / 26Q2 / 26Q3</t>
        </is>
      </c>
      <c r="H148" s="12" t="n">
        <v>29776</v>
      </c>
      <c r="I148" s="12" t="n">
        <v>27005</v>
      </c>
      <c r="J148" s="12" t="n">
        <v>33379</v>
      </c>
      <c r="K148" s="12" t="n">
        <v>43842</v>
      </c>
      <c r="L148" s="12" t="n"/>
      <c r="M148" s="13" t="str">
        <f>IF(OR(N(H148)=0,L148=""),"",L148/H148-1)</f>
        <v/>
      </c>
      <c r="N148" s="14" t="n">
        <v>2168</v>
      </c>
      <c r="O148" s="14" t="n">
        <v>3145</v>
      </c>
      <c r="P148" s="14" t="n">
        <v>3762</v>
      </c>
      <c r="Q148" s="14" t="n"/>
      <c r="R148" s="13" t="str">
        <f>IF(OR(N(L148)=0,Q148=""),"",Q148/L148)</f>
        <v/>
      </c>
      <c r="S148" s="14" t="n"/>
      <c r="T148" s="13" t="str">
        <f>IF(OR(N(L148)=0,S148=""),"",S148/L148)</f>
        <v/>
      </c>
      <c r="U148" s="14" t="n"/>
      <c r="V148" s="13" t="str">
        <f>IF(OR(N(L148)=0,U148=""),"",U148/L148)</f>
        <v/>
      </c>
      <c r="W148" s="14" t="n">
        <v>113538</v>
      </c>
      <c r="X148" s="14" t="n">
        <v>8446</v>
      </c>
      <c r="Y148" s="13">
        <f>IF(OR(N(W148)=0,X148=""),"",X148/W148)</f>
        <v>0.0743891912839754</v>
      </c>
      <c r="Z148" s="11" t="str">
        <f>IF(AA148="A","四季持續盈利",IF(AA148="B","最新季為正/波動",IF(AA148="C","虧損收窄",IF(AA148="D","虧損擴大或轉虧","數據不足"))))</f>
        <v>數據不足</v>
      </c>
      <c r="AA148" s="9" t="str">
        <f>IF(COUNT(N148:Q148)&lt;4,"—",IF(MIN(N148:Q148)&gt;0,"A",IF(Q148&gt;0,"B",IF(Q148&gt;N148,"C","D"))))</f>
        <v>—</v>
      </c>
      <c r="AB148" s="9" t="inlineStr">
        <is>
          <t>2026-07-31</t>
        </is>
      </c>
    </row>
    <row r="149" ht="15" customHeight="1">
      <c r="A149" s="9" t="n">
        <v>148</v>
      </c>
      <c r="B149" s="10" t="inlineStr">
        <is>
          <t>DEO</t>
        </is>
      </c>
      <c r="C149" s="11" t="inlineStr">
        <is>
          <t>酒精飲品</t>
        </is>
      </c>
      <c r="D149" s="11" t="inlineStr">
        <is>
          <t>Diageo plc</t>
        </is>
      </c>
      <c r="E149" s="11" t="inlineStr">
        <is>
          <t>Beverages - Wineries &amp; Distilleries</t>
        </is>
      </c>
      <c r="F149" s="9" t="inlineStr">
        <is>
          <t>USD</t>
        </is>
      </c>
      <c r="G149" s="11" t="inlineStr">
        <is>
          <t>—</t>
        </is>
      </c>
      <c r="H149" s="12" t="n"/>
      <c r="I149" s="12" t="n"/>
      <c r="J149" s="12" t="n"/>
      <c r="K149" s="12" t="n"/>
      <c r="L149" s="12" t="n"/>
      <c r="M149" s="13" t="str">
        <f>IF(OR(N(H149)=0,L149=""),"",L149/H149-1)</f>
        <v/>
      </c>
      <c r="N149" s="14" t="n"/>
      <c r="O149" s="14" t="n"/>
      <c r="P149" s="14" t="n"/>
      <c r="Q149" s="14" t="n"/>
      <c r="R149" s="13" t="str">
        <f>IF(OR(N(L149)=0,Q149=""),"",Q149/L149)</f>
        <v/>
      </c>
      <c r="S149" s="14" t="n"/>
      <c r="T149" s="13" t="str">
        <f>IF(OR(N(L149)=0,S149=""),"",S149/L149)</f>
        <v/>
      </c>
      <c r="U149" s="14" t="n"/>
      <c r="V149" s="13" t="str">
        <f>IF(OR(N(L149)=0,U149=""),"",U149/L149)</f>
        <v/>
      </c>
      <c r="W149" s="14" t="n">
        <v>19643</v>
      </c>
      <c r="X149" s="14" t="n">
        <v>3156</v>
      </c>
      <c r="Y149" s="13">
        <f>IF(OR(N(W149)=0,X149=""),"",X149/W149)</f>
        <v>0.16066792241510972</v>
      </c>
      <c r="Z149" s="11" t="str">
        <f>IF(AA149="A","四季持續盈利",IF(AA149="B","最新季為正/波動",IF(AA149="C","虧損收窄",IF(AA149="D","虧損擴大或轉虧","數據不足"))))</f>
        <v>數據不足</v>
      </c>
      <c r="AA149" s="9" t="str">
        <f>IF(COUNT(N149:Q149)&lt;4,"—",IF(MIN(N149:Q149)&gt;0,"A",IF(Q149&gt;0,"B",IF(Q149&gt;N149,"C","D"))))</f>
        <v>—</v>
      </c>
      <c r="AB149" s="9" t="inlineStr">
        <is>
          <t>—</t>
        </is>
      </c>
    </row>
    <row r="150" ht="15" customHeight="1">
      <c r="A150" s="9" t="n">
        <v>149</v>
      </c>
      <c r="B150" s="10" t="inlineStr">
        <is>
          <t>DHI</t>
        </is>
      </c>
      <c r="C150" s="11" t="inlineStr">
        <is>
          <t>住宅建築商</t>
        </is>
      </c>
      <c r="D150" s="11" t="inlineStr">
        <is>
          <t>D.R. Horton, Inc.</t>
        </is>
      </c>
      <c r="E150" s="11" t="inlineStr">
        <is>
          <t>Residential Construction</t>
        </is>
      </c>
      <c r="F150" s="9" t="inlineStr">
        <is>
          <t>USD</t>
        </is>
      </c>
      <c r="G150" s="11" t="inlineStr">
        <is>
          <t>25Q2 / 25Q3 / 25Q4 / 26Q1 / 26Q2</t>
        </is>
      </c>
      <c r="H150" s="12" t="n">
        <v>9225.700000000001</v>
      </c>
      <c r="I150" s="12" t="n">
        <v>9677.799999999999</v>
      </c>
      <c r="J150" s="12" t="n">
        <v>6886.9</v>
      </c>
      <c r="K150" s="12" t="n">
        <v>7558.1</v>
      </c>
      <c r="L150" s="12" t="n">
        <v>9227.1</v>
      </c>
      <c r="M150" s="13">
        <f>IF(OR(N(H150)=0,L150=""),"",L150/H150-1)</f>
        <v>0.00015175000270972738</v>
      </c>
      <c r="N150" s="14" t="n">
        <v>1125.8</v>
      </c>
      <c r="O150" s="14" t="n">
        <v>729.6</v>
      </c>
      <c r="P150" s="14" t="n">
        <v>800</v>
      </c>
      <c r="Q150" s="14" t="n">
        <v>1155</v>
      </c>
      <c r="R150" s="13">
        <f>IF(OR(N(L150)=0,Q150=""),"",Q150/L150)</f>
        <v>0.12517475696589395</v>
      </c>
      <c r="S150" s="14" t="n">
        <v>2146.2</v>
      </c>
      <c r="T150" s="13">
        <f>IF(OR(N(L150)=0,S150=""),"",S150/L150)</f>
        <v>0.23259745748935198</v>
      </c>
      <c r="U150" s="14" t="n">
        <v>904.9</v>
      </c>
      <c r="V150" s="13">
        <f>IF(OR(N(L150)=0,U150=""),"",U150/L150)</f>
        <v>0.0980698160852272</v>
      </c>
      <c r="W150" s="14" t="n">
        <v>34250.4</v>
      </c>
      <c r="X150" s="14" t="n">
        <v>4424.2</v>
      </c>
      <c r="Y150" s="13">
        <f>IF(OR(N(W150)=0,X150=""),"",X150/W150)</f>
        <v>0.1291722140471352</v>
      </c>
      <c r="Z150" s="11" t="str">
        <f>IF(AA150="A","四季持續盈利",IF(AA150="B","最新季為正/波動",IF(AA150="C","虧損收窄",IF(AA150="D","虧損擴大或轉虧","數據不足"))))</f>
        <v>四季持續盈利</v>
      </c>
      <c r="AA150" s="9" t="str">
        <f>IF(COUNT(N150:Q150)&lt;4,"—",IF(MIN(N150:Q150)&gt;0,"A",IF(Q150&gt;0,"B",IF(Q150&gt;N150,"C","D"))))</f>
        <v>A</v>
      </c>
      <c r="AB150" s="9" t="inlineStr">
        <is>
          <t>2026-06-30</t>
        </is>
      </c>
    </row>
    <row r="151" ht="15" customHeight="1">
      <c r="A151" s="9" t="n">
        <v>150</v>
      </c>
      <c r="B151" s="10" t="inlineStr">
        <is>
          <t>DHR</t>
        </is>
      </c>
      <c r="C151" s="11" t="inlineStr">
        <is>
          <t>診斷與生命科學工具</t>
        </is>
      </c>
      <c r="D151" s="11" t="inlineStr">
        <is>
          <t>Danaher Corporation</t>
        </is>
      </c>
      <c r="E151" s="11" t="inlineStr">
        <is>
          <t>Diagnostics &amp; Research</t>
        </is>
      </c>
      <c r="F151" s="9" t="inlineStr">
        <is>
          <t>USD</t>
        </is>
      </c>
      <c r="G151" s="11" t="inlineStr">
        <is>
          <t>25Q2 / 25Q3 / 25Q4 / 26Q1 / 26Q2</t>
        </is>
      </c>
      <c r="H151" s="12" t="n">
        <v>5936</v>
      </c>
      <c r="I151" s="12" t="n">
        <v>6053</v>
      </c>
      <c r="J151" s="12" t="n">
        <v>6838</v>
      </c>
      <c r="K151" s="12" t="n">
        <v>5951</v>
      </c>
      <c r="L151" s="12" t="n">
        <v>6265</v>
      </c>
      <c r="M151" s="13">
        <f>IF(OR(N(H151)=0,L151=""),"",L151/H151-1)</f>
        <v>0.05542452830188682</v>
      </c>
      <c r="N151" s="14" t="n">
        <v>1154</v>
      </c>
      <c r="O151" s="14" t="n">
        <v>1502</v>
      </c>
      <c r="P151" s="14" t="n">
        <v>1344</v>
      </c>
      <c r="Q151" s="14" t="n">
        <v>1127</v>
      </c>
      <c r="R151" s="13">
        <f>IF(OR(N(L151)=0,Q151=""),"",Q151/L151)</f>
        <v>0.17988826815642459</v>
      </c>
      <c r="S151" s="14" t="n">
        <v>3611</v>
      </c>
      <c r="T151" s="13">
        <f>IF(OR(N(L151)=0,S151=""),"",S151/L151)</f>
        <v>0.5763766959297686</v>
      </c>
      <c r="U151" s="14" t="n">
        <v>870</v>
      </c>
      <c r="V151" s="13">
        <f>IF(OR(N(L151)=0,U151=""),"",U151/L151)</f>
        <v>0.13886671987230648</v>
      </c>
      <c r="W151" s="14" t="n">
        <v>24568</v>
      </c>
      <c r="X151" s="14" t="n">
        <v>4690</v>
      </c>
      <c r="Y151" s="13">
        <f>IF(OR(N(W151)=0,X151=""),"",X151/W151)</f>
        <v>0.19089873005535657</v>
      </c>
      <c r="Z151" s="11" t="str">
        <f>IF(AA151="A","四季持續盈利",IF(AA151="B","最新季為正/波動",IF(AA151="C","虧損收窄",IF(AA151="D","虧損擴大或轉虧","數據不足"))))</f>
        <v>四季持續盈利</v>
      </c>
      <c r="AA151" s="9" t="str">
        <f>IF(COUNT(N151:Q151)&lt;4,"—",IF(MIN(N151:Q151)&gt;0,"A",IF(Q151&gt;0,"B",IF(Q151&gt;N151,"C","D"))))</f>
        <v>A</v>
      </c>
      <c r="AB151" s="9" t="inlineStr">
        <is>
          <t>2026-06-30</t>
        </is>
      </c>
    </row>
    <row r="152" ht="15" customHeight="1">
      <c r="A152" s="9" t="n">
        <v>151</v>
      </c>
      <c r="B152" s="10" t="inlineStr">
        <is>
          <t>DINO</t>
        </is>
      </c>
      <c r="C152" s="11" t="inlineStr">
        <is>
          <t>煉油與成品油</t>
        </is>
      </c>
      <c r="D152" s="11" t="inlineStr">
        <is>
          <t>HF Sinclair Corporation</t>
        </is>
      </c>
      <c r="E152" s="11" t="inlineStr">
        <is>
          <t>Oil &amp; Gas Refining &amp; Marketing</t>
        </is>
      </c>
      <c r="F152" s="9" t="inlineStr">
        <is>
          <t>USD</t>
        </is>
      </c>
      <c r="G152" s="11" t="inlineStr">
        <is>
          <t>25Q2 / 25Q3 / 25Q4 / 26Q1 / 26Q2</t>
        </is>
      </c>
      <c r="H152" s="12" t="n">
        <v>6784</v>
      </c>
      <c r="I152" s="12" t="n">
        <v>7251</v>
      </c>
      <c r="J152" s="12" t="n">
        <v>6464</v>
      </c>
      <c r="K152" s="12" t="n">
        <v>7123</v>
      </c>
      <c r="L152" s="12" t="n"/>
      <c r="M152" s="13" t="str">
        <f>IF(OR(N(H152)=0,L152=""),"",L152/H152-1)</f>
        <v/>
      </c>
      <c r="N152" s="14" t="n">
        <v>564</v>
      </c>
      <c r="O152" s="14" t="n">
        <v>7</v>
      </c>
      <c r="P152" s="14" t="n">
        <v>847</v>
      </c>
      <c r="Q152" s="14" t="n"/>
      <c r="R152" s="13" t="str">
        <f>IF(OR(N(L152)=0,Q152=""),"",Q152/L152)</f>
        <v/>
      </c>
      <c r="S152" s="14" t="n"/>
      <c r="T152" s="13" t="str">
        <f>IF(OR(N(L152)=0,S152=""),"",S152/L152)</f>
        <v/>
      </c>
      <c r="U152" s="14" t="n"/>
      <c r="V152" s="13" t="str">
        <f>IF(OR(N(L152)=0,U152=""),"",U152/L152)</f>
        <v/>
      </c>
      <c r="W152" s="14" t="n">
        <v>26869</v>
      </c>
      <c r="X152" s="14" t="n">
        <v>927</v>
      </c>
      <c r="Y152" s="13">
        <f>IF(OR(N(W152)=0,X152=""),"",X152/W152)</f>
        <v>0.034500725743421785</v>
      </c>
      <c r="Z152" s="11" t="str">
        <f>IF(AA152="A","四季持續盈利",IF(AA152="B","最新季為正/波動",IF(AA152="C","虧損收窄",IF(AA152="D","虧損擴大或轉虧","數據不足"))))</f>
        <v>數據不足</v>
      </c>
      <c r="AA152" s="9" t="str">
        <f>IF(COUNT(N152:Q152)&lt;4,"—",IF(MIN(N152:Q152)&gt;0,"A",IF(Q152&gt;0,"B",IF(Q152&gt;N152,"C","D"))))</f>
        <v>—</v>
      </c>
      <c r="AB152" s="9" t="inlineStr">
        <is>
          <t>2026-06-30</t>
        </is>
      </c>
    </row>
    <row r="153" ht="15" customHeight="1">
      <c r="A153" s="9" t="n">
        <v>152</v>
      </c>
      <c r="B153" s="10" t="inlineStr">
        <is>
          <t>DIS</t>
        </is>
      </c>
      <c r="C153" s="11" t="inlineStr">
        <is>
          <t>串流影音</t>
        </is>
      </c>
      <c r="D153" s="11" t="inlineStr">
        <is>
          <t>The Walt Disney Company</t>
        </is>
      </c>
      <c r="E153" s="11" t="inlineStr">
        <is>
          <t>Entertainment</t>
        </is>
      </c>
      <c r="F153" s="9" t="inlineStr">
        <is>
          <t>USD</t>
        </is>
      </c>
      <c r="G153" s="11" t="inlineStr">
        <is>
          <t>25Q2 / 25Q3 / 25Q4 / 26Q1 / 26Q2</t>
        </is>
      </c>
      <c r="H153" s="12" t="n">
        <v>23650</v>
      </c>
      <c r="I153" s="12" t="n">
        <v>22464</v>
      </c>
      <c r="J153" s="12" t="n">
        <v>25981</v>
      </c>
      <c r="K153" s="12" t="n">
        <v>25168</v>
      </c>
      <c r="L153" s="12" t="n">
        <v>25248</v>
      </c>
      <c r="M153" s="13">
        <f>IF(OR(N(H153)=0,L153=""),"",L153/H153-1)</f>
        <v>0.06756871035940804</v>
      </c>
      <c r="N153" s="14" t="n">
        <v>2603</v>
      </c>
      <c r="O153" s="14" t="n">
        <v>3875</v>
      </c>
      <c r="P153" s="14" t="n">
        <v>3789</v>
      </c>
      <c r="Q153" s="14" t="n">
        <v>4760</v>
      </c>
      <c r="R153" s="13">
        <f>IF(OR(N(L153)=0,Q153=""),"",Q153/L153)</f>
        <v>0.1885297845373891</v>
      </c>
      <c r="S153" s="14" t="n">
        <v>10142</v>
      </c>
      <c r="T153" s="13">
        <f>IF(OR(N(L153)=0,S153=""),"",S153/L153)</f>
        <v>0.4016951837769328</v>
      </c>
      <c r="U153" s="14" t="n">
        <v>2638</v>
      </c>
      <c r="V153" s="13">
        <f>IF(OR(N(L153)=0,U153=""),"",U153/L153)</f>
        <v>0.10448352344740178</v>
      </c>
      <c r="W153" s="14" t="n">
        <v>94425</v>
      </c>
      <c r="X153" s="14" t="n">
        <v>13832</v>
      </c>
      <c r="Y153" s="13">
        <f>IF(OR(N(W153)=0,X153=""),"",X153/W153)</f>
        <v>0.1464866296002118</v>
      </c>
      <c r="Z153" s="11" t="str">
        <f>IF(AA153="A","四季持續盈利",IF(AA153="B","最新季為正/波動",IF(AA153="C","虧損收窄",IF(AA153="D","虧損擴大或轉虧","數據不足"))))</f>
        <v>四季持續盈利</v>
      </c>
      <c r="AA153" s="9" t="str">
        <f>IF(COUNT(N153:Q153)&lt;4,"—",IF(MIN(N153:Q153)&gt;0,"A",IF(Q153&gt;0,"B",IF(Q153&gt;N153,"C","D"))))</f>
        <v>A</v>
      </c>
      <c r="AB153" s="9" t="inlineStr">
        <is>
          <t>2026-06-30</t>
        </is>
      </c>
    </row>
    <row r="154" ht="15" customHeight="1">
      <c r="A154" s="9" t="n">
        <v>153</v>
      </c>
      <c r="B154" s="10" t="inlineStr">
        <is>
          <t>DKNG</t>
        </is>
      </c>
      <c r="C154" s="11" t="inlineStr">
        <is>
          <t>博彩與線上博彩</t>
        </is>
      </c>
      <c r="D154" s="11" t="inlineStr">
        <is>
          <t>DraftKings Inc.</t>
        </is>
      </c>
      <c r="E154" s="11" t="inlineStr">
        <is>
          <t>Gambling</t>
        </is>
      </c>
      <c r="F154" s="9" t="inlineStr">
        <is>
          <t>USD</t>
        </is>
      </c>
      <c r="G154" s="11" t="inlineStr">
        <is>
          <t>25Q2 / 25Q3 / 25Q4 / 26Q1 / 26Q2</t>
        </is>
      </c>
      <c r="H154" s="12" t="n">
        <v>1512.507</v>
      </c>
      <c r="I154" s="12" t="n">
        <v>1144.019</v>
      </c>
      <c r="J154" s="12" t="n">
        <v>1989.193</v>
      </c>
      <c r="K154" s="12" t="n">
        <v>1646.076</v>
      </c>
      <c r="L154" s="12" t="n">
        <v>1443.235</v>
      </c>
      <c r="M154" s="13">
        <f>IF(OR(N(H154)=0,L154=""),"",L154/H154-1)</f>
        <v>-0.04579945745705649</v>
      </c>
      <c r="N154" s="14" t="n">
        <v>-271.89</v>
      </c>
      <c r="O154" s="14" t="n">
        <v>151.76</v>
      </c>
      <c r="P154" s="14" t="n">
        <v>5.847</v>
      </c>
      <c r="Q154" s="14" t="n">
        <v>-68.17400000000001</v>
      </c>
      <c r="R154" s="13">
        <f>IF(OR(N(L154)=0,Q154=""),"",Q154/L154)</f>
        <v>-0.04723693646564836</v>
      </c>
      <c r="S154" s="14" t="n">
        <v>551.453</v>
      </c>
      <c r="T154" s="13">
        <f>IF(OR(N(L154)=0,S154=""),"",S154/L154)</f>
        <v>0.3820950850000173</v>
      </c>
      <c r="U154" s="14" t="n">
        <v>-67.61</v>
      </c>
      <c r="V154" s="13">
        <f>IF(OR(N(L154)=0,U154=""),"",U154/L154)</f>
        <v>-0.04684614771676131</v>
      </c>
      <c r="W154" s="14" t="n">
        <v>6054.525</v>
      </c>
      <c r="X154" s="14" t="n">
        <v>-15.817</v>
      </c>
      <c r="Y154" s="13">
        <f>IF(OR(N(W154)=0,X154=""),"",X154/W154)</f>
        <v>-0.0026124262431817527</v>
      </c>
      <c r="Z154" s="11" t="str">
        <f>IF(AA154="A","四季持續盈利",IF(AA154="B","最新季為正/波動",IF(AA154="C","虧損收窄",IF(AA154="D","虧損擴大或轉虧","數據不足"))))</f>
        <v>虧損收窄</v>
      </c>
      <c r="AA154" s="9" t="str">
        <f>IF(COUNT(N154:Q154)&lt;4,"—",IF(MIN(N154:Q154)&gt;0,"A",IF(Q154&gt;0,"B",IF(Q154&gt;N154,"C","D"))))</f>
        <v>C</v>
      </c>
      <c r="AB154" s="9" t="inlineStr">
        <is>
          <t>2026-06-30</t>
        </is>
      </c>
    </row>
    <row r="155" ht="15" customHeight="1">
      <c r="A155" s="9" t="n">
        <v>154</v>
      </c>
      <c r="B155" s="10" t="inlineStr">
        <is>
          <t>DLR</t>
        </is>
      </c>
      <c r="C155" s="11" t="inlineStr">
        <is>
          <t>資料中心REIT</t>
        </is>
      </c>
      <c r="D155" s="11" t="inlineStr">
        <is>
          <t>Digital Realty Trust, Inc.</t>
        </is>
      </c>
      <c r="E155" s="11" t="inlineStr">
        <is>
          <t>G2 數據中心</t>
        </is>
      </c>
      <c r="F155" s="9" t="inlineStr">
        <is>
          <t>USD</t>
        </is>
      </c>
      <c r="G155" s="11" t="inlineStr">
        <is>
          <t>25Q2 / 25Q3 / 25Q4 / 26Q1 / 26Q2</t>
        </is>
      </c>
      <c r="H155" s="12" t="n">
        <v>1493.15</v>
      </c>
      <c r="I155" s="12" t="n">
        <v>1577.234</v>
      </c>
      <c r="J155" s="12" t="n">
        <v>1634.671</v>
      </c>
      <c r="K155" s="12" t="n">
        <v>1635.173</v>
      </c>
      <c r="L155" s="12" t="n"/>
      <c r="M155" s="13" t="str">
        <f>IF(OR(N(H155)=0,L155=""),"",L155/H155-1)</f>
        <v/>
      </c>
      <c r="N155" s="14" t="n">
        <v>224.98</v>
      </c>
      <c r="O155" s="14" t="n">
        <v>227.26</v>
      </c>
      <c r="P155" s="14" t="n">
        <v>282.618</v>
      </c>
      <c r="Q155" s="14" t="n"/>
      <c r="R155" s="13" t="str">
        <f>IF(OR(N(L155)=0,Q155=""),"",Q155/L155)</f>
        <v/>
      </c>
      <c r="S155" s="14" t="n"/>
      <c r="T155" s="13" t="str">
        <f>IF(OR(N(L155)=0,S155=""),"",S155/L155)</f>
        <v/>
      </c>
      <c r="U155" s="14" t="n"/>
      <c r="V155" s="13" t="str">
        <f>IF(OR(N(L155)=0,U155=""),"",U155/L155)</f>
        <v/>
      </c>
      <c r="W155" s="14" t="n">
        <v>6112.692</v>
      </c>
      <c r="X155" s="14" t="n">
        <v>922.135</v>
      </c>
      <c r="Y155" s="13">
        <f>IF(OR(N(W155)=0,X155=""),"",X155/W155)</f>
        <v>0.15085579315954412</v>
      </c>
      <c r="Z155" s="11" t="str">
        <f>IF(AA155="A","四季持續盈利",IF(AA155="B","最新季為正/波動",IF(AA155="C","虧損收窄",IF(AA155="D","虧損擴大或轉虧","數據不足"))))</f>
        <v>數據不足</v>
      </c>
      <c r="AA155" s="9" t="str">
        <f>IF(COUNT(N155:Q155)&lt;4,"—",IF(MIN(N155:Q155)&gt;0,"A",IF(Q155&gt;0,"B",IF(Q155&gt;N155,"C","D"))))</f>
        <v>—</v>
      </c>
      <c r="AB155" s="9" t="inlineStr">
        <is>
          <t>2026-06-30</t>
        </is>
      </c>
    </row>
    <row r="156" ht="15" customHeight="1">
      <c r="A156" s="9" t="n">
        <v>155</v>
      </c>
      <c r="B156" s="10" t="inlineStr">
        <is>
          <t>DNLI</t>
        </is>
      </c>
      <c r="C156" s="11" t="inlineStr">
        <is>
          <t>臨床期中小型生技</t>
        </is>
      </c>
      <c r="D156" s="11" t="inlineStr">
        <is>
          <t>Denali Therapeutics Inc.</t>
        </is>
      </c>
      <c r="E156" s="11" t="inlineStr">
        <is>
          <t>Biotechnology</t>
        </is>
      </c>
      <c r="F156" s="9" t="inlineStr">
        <is>
          <t>USD</t>
        </is>
      </c>
      <c r="G156" s="11" t="inlineStr">
        <is>
          <t>25Q2 / 25Q3 / 25Q4 / 26Q1 / 26Q2</t>
        </is>
      </c>
      <c r="H156" s="12" t="n">
        <v>0</v>
      </c>
      <c r="I156" s="12" t="n">
        <v>0</v>
      </c>
      <c r="J156" s="12" t="n">
        <v>0</v>
      </c>
      <c r="K156" s="12" t="n">
        <v>0</v>
      </c>
      <c r="L156" s="12" t="n">
        <v>3.604</v>
      </c>
      <c r="M156" s="13" t="str">
        <f>IF(OR(N(H156)=0,L156=""),"",L156/H156-1)</f>
        <v/>
      </c>
      <c r="N156" s="14" t="n">
        <v>-137.434</v>
      </c>
      <c r="O156" s="14" t="n">
        <v>-137.365</v>
      </c>
      <c r="P156" s="14" t="n">
        <v>-137.357</v>
      </c>
      <c r="Q156" s="14" t="n">
        <v>-130.541</v>
      </c>
      <c r="R156" s="13">
        <f>IF(OR(N(L156)=0,Q156=""),"",Q156/L156)</f>
        <v>-36.221143174250834</v>
      </c>
      <c r="S156" s="14" t="n">
        <v>3.511</v>
      </c>
      <c r="T156" s="13">
        <f>IF(OR(N(L156)=0,S156=""),"",S156/L156)</f>
        <v>0.9741953385127636</v>
      </c>
      <c r="U156" s="14" t="n">
        <v>-127.553</v>
      </c>
      <c r="V156" s="13">
        <f>IF(OR(N(L156)=0,U156=""),"",U156/L156)</f>
        <v>-35.39206437291898</v>
      </c>
      <c r="W156" s="14" t="n">
        <v>0</v>
      </c>
      <c r="X156" s="14" t="n">
        <v>-555.342</v>
      </c>
      <c r="Y156" s="13" t="str">
        <f>IF(OR(N(W156)=0,X156=""),"",X156/W156)</f>
        <v/>
      </c>
      <c r="Z156" s="11" t="str">
        <f>IF(AA156="A","四季持續盈利",IF(AA156="B","最新季為正/波動",IF(AA156="C","虧損收窄",IF(AA156="D","虧損擴大或轉虧","數據不足"))))</f>
        <v>虧損收窄</v>
      </c>
      <c r="AA156" s="9" t="str">
        <f>IF(COUNT(N156:Q156)&lt;4,"—",IF(MIN(N156:Q156)&gt;0,"A",IF(Q156&gt;0,"B",IF(Q156&gt;N156,"C","D"))))</f>
        <v>C</v>
      </c>
      <c r="AB156" s="9" t="inlineStr">
        <is>
          <t>2026-06-30</t>
        </is>
      </c>
    </row>
    <row r="157" ht="15" customHeight="1">
      <c r="A157" s="9" t="n">
        <v>156</v>
      </c>
      <c r="B157" s="10" t="inlineStr">
        <is>
          <t>DNN</t>
        </is>
      </c>
      <c r="C157" s="11" t="inlineStr">
        <is>
          <t>鈾與核燃料</t>
        </is>
      </c>
      <c r="D157" s="11" t="inlineStr">
        <is>
          <t>Denison Mines Corp.</t>
        </is>
      </c>
      <c r="E157" s="11" t="inlineStr">
        <is>
          <t>Uranium</t>
        </is>
      </c>
      <c r="F157" s="9" t="inlineStr">
        <is>
          <t>CAD</t>
        </is>
      </c>
      <c r="G157" s="11" t="inlineStr">
        <is>
          <t>25Q2 / 25Q3 / 25Q4 / 26Q1 / 26Q2</t>
        </is>
      </c>
      <c r="H157" s="12" t="n">
        <v>1.276</v>
      </c>
      <c r="I157" s="12" t="n">
        <v>1.045</v>
      </c>
      <c r="J157" s="12" t="n">
        <v>1.222</v>
      </c>
      <c r="K157" s="12" t="n">
        <v>1.106</v>
      </c>
      <c r="L157" s="12" t="n">
        <v>0.72</v>
      </c>
      <c r="M157" s="13">
        <f>IF(OR(N(H157)=0,L157=""),"",L157/H157-1)</f>
        <v>-0.4357366771159875</v>
      </c>
      <c r="N157" s="14" t="n">
        <v>-22.103</v>
      </c>
      <c r="O157" s="14" t="n">
        <v>-22.959</v>
      </c>
      <c r="P157" s="14" t="n">
        <v>-22.792</v>
      </c>
      <c r="Q157" s="14" t="n">
        <v>-18.126</v>
      </c>
      <c r="R157" s="13">
        <f>IF(OR(N(L157)=0,Q157=""),"",Q157/L157)</f>
        <v>-25.175000000000004</v>
      </c>
      <c r="S157" s="14" t="n">
        <v>0.191</v>
      </c>
      <c r="T157" s="13">
        <f>IF(OR(N(L157)=0,S157=""),"",S157/L157)</f>
        <v>0.2652777777777778</v>
      </c>
      <c r="U157" s="14" t="n">
        <v>25.563</v>
      </c>
      <c r="V157" s="13">
        <f>IF(OR(N(L157)=0,U157=""),"",U157/L157)</f>
        <v>35.50416666666666</v>
      </c>
      <c r="W157" s="14" t="n">
        <v>4.918</v>
      </c>
      <c r="X157" s="14" t="n">
        <v>-85.988</v>
      </c>
      <c r="Y157" s="13">
        <f>IF(OR(N(W157)=0,X157=""),"",X157/W157)</f>
        <v>-17.48434322895486</v>
      </c>
      <c r="Z157" s="11" t="str">
        <f>IF(AA157="A","四季持續盈利",IF(AA157="B","最新季為正/波動",IF(AA157="C","虧損收窄",IF(AA157="D","虧損擴大或轉虧","數據不足"))))</f>
        <v>虧損收窄</v>
      </c>
      <c r="AA157" s="9" t="str">
        <f>IF(COUNT(N157:Q157)&lt;4,"—",IF(MIN(N157:Q157)&gt;0,"A",IF(Q157&gt;0,"B",IF(Q157&gt;N157,"C","D"))))</f>
        <v>C</v>
      </c>
      <c r="AB157" s="9" t="inlineStr">
        <is>
          <t>2026-06-30</t>
        </is>
      </c>
    </row>
    <row r="158" ht="15" customHeight="1">
      <c r="A158" s="9" t="n">
        <v>157</v>
      </c>
      <c r="B158" s="10" t="inlineStr">
        <is>
          <t>DOC</t>
        </is>
      </c>
      <c r="C158" s="11" t="inlineStr">
        <is>
          <t>醫療與長者住宅REIT</t>
        </is>
      </c>
      <c r="D158" s="11" t="inlineStr">
        <is>
          <t>Healthpeak Properties, Inc.</t>
        </is>
      </c>
      <c r="E158" s="11" t="inlineStr">
        <is>
          <t>REIT - Healthcare Facilities</t>
        </is>
      </c>
      <c r="F158" s="9" t="inlineStr">
        <is>
          <t>USD</t>
        </is>
      </c>
      <c r="G158" s="11" t="inlineStr">
        <is>
          <t>25Q2 / 25Q3 / 25Q4 / 26Q1 / 26Q2</t>
        </is>
      </c>
      <c r="H158" s="12" t="n">
        <v>694.348</v>
      </c>
      <c r="I158" s="12" t="n">
        <v>705.873</v>
      </c>
      <c r="J158" s="12" t="n">
        <v>719.402</v>
      </c>
      <c r="K158" s="12" t="n">
        <v>752.952</v>
      </c>
      <c r="L158" s="12" t="n">
        <v>771.579</v>
      </c>
      <c r="M158" s="13">
        <f>IF(OR(N(H158)=0,L158=""),"",L158/H158-1)</f>
        <v>0.11122808735677214</v>
      </c>
      <c r="N158" s="14" t="n">
        <v>131.727</v>
      </c>
      <c r="O158" s="14" t="n">
        <v>145.836</v>
      </c>
      <c r="P158" s="14" t="n">
        <v>114.766</v>
      </c>
      <c r="Q158" s="14" t="n">
        <v>132.549</v>
      </c>
      <c r="R158" s="13">
        <f>IF(OR(N(L158)=0,Q158=""),"",Q158/L158)</f>
        <v>0.17178927886839845</v>
      </c>
      <c r="S158" s="14" t="n">
        <v>438.456</v>
      </c>
      <c r="T158" s="13">
        <f>IF(OR(N(L158)=0,S158=""),"",S158/L158)</f>
        <v>0.568258078563569</v>
      </c>
      <c r="U158" s="14" t="n">
        <v>52.818</v>
      </c>
      <c r="V158" s="13">
        <f>IF(OR(N(L158)=0,U158=""),"",U158/L158)</f>
        <v>0.06845442916409078</v>
      </c>
      <c r="W158" s="14" t="n">
        <v>2822.512</v>
      </c>
      <c r="X158" s="14" t="n">
        <v>544.1319999999999</v>
      </c>
      <c r="Y158" s="13">
        <f>IF(OR(N(W158)=0,X158=""),"",X158/W158)</f>
        <v>0.1927828827654231</v>
      </c>
      <c r="Z158" s="11" t="str">
        <f>IF(AA158="A","四季持續盈利",IF(AA158="B","最新季為正/波動",IF(AA158="C","虧損收窄",IF(AA158="D","虧損擴大或轉虧","數據不足"))))</f>
        <v>四季持續盈利</v>
      </c>
      <c r="AA158" s="9" t="str">
        <f>IF(COUNT(N158:Q158)&lt;4,"—",IF(MIN(N158:Q158)&gt;0,"A",IF(Q158&gt;0,"B",IF(Q158&gt;N158,"C","D"))))</f>
        <v>A</v>
      </c>
      <c r="AB158" s="9" t="inlineStr">
        <is>
          <t>2026-06-30</t>
        </is>
      </c>
    </row>
    <row r="159" ht="15" customHeight="1">
      <c r="A159" s="9" t="n">
        <v>158</v>
      </c>
      <c r="B159" s="10" t="inlineStr">
        <is>
          <t>DOCS</t>
        </is>
      </c>
      <c r="C159" s="11" t="inlineStr">
        <is>
          <t>數位醫療與遠距醫療</t>
        </is>
      </c>
      <c r="D159" s="11" t="inlineStr">
        <is>
          <t>Doximity, Inc.</t>
        </is>
      </c>
      <c r="E159" s="11" t="inlineStr">
        <is>
          <t>Health Information Services</t>
        </is>
      </c>
      <c r="F159" s="9" t="inlineStr">
        <is>
          <t>USD</t>
        </is>
      </c>
      <c r="G159" s="11" t="inlineStr">
        <is>
          <t>25Q2 / 25Q3 / 25Q4 / 26Q1 / 26Q2</t>
        </is>
      </c>
      <c r="H159" s="12" t="n">
        <v>145.913</v>
      </c>
      <c r="I159" s="12" t="n">
        <v>168.525</v>
      </c>
      <c r="J159" s="12" t="n">
        <v>185.053</v>
      </c>
      <c r="K159" s="12" t="n">
        <v>145.372</v>
      </c>
      <c r="L159" s="12" t="n">
        <v>156.618</v>
      </c>
      <c r="M159" s="13">
        <f>IF(OR(N(H159)=0,L159=""),"",L159/H159-1)</f>
        <v>0.07336563568701893</v>
      </c>
      <c r="N159" s="14" t="n">
        <v>63.681</v>
      </c>
      <c r="O159" s="14" t="n">
        <v>71.896</v>
      </c>
      <c r="P159" s="14" t="n">
        <v>24.826</v>
      </c>
      <c r="Q159" s="14" t="n">
        <v>33.644</v>
      </c>
      <c r="R159" s="13">
        <f>IF(OR(N(L159)=0,Q159=""),"",Q159/L159)</f>
        <v>0.21481566614309977</v>
      </c>
      <c r="S159" s="14" t="n">
        <v>132.926</v>
      </c>
      <c r="T159" s="13">
        <f>IF(OR(N(L159)=0,S159=""),"",S159/L159)</f>
        <v>0.8487274770460611</v>
      </c>
      <c r="U159" s="14" t="n">
        <v>24.315</v>
      </c>
      <c r="V159" s="13">
        <f>IF(OR(N(L159)=0,U159=""),"",U159/L159)</f>
        <v>0.15525035436539864</v>
      </c>
      <c r="W159" s="14" t="n">
        <v>644.8630000000001</v>
      </c>
      <c r="X159" s="14" t="n">
        <v>214.92</v>
      </c>
      <c r="Y159" s="13">
        <f>IF(OR(N(W159)=0,X159=""),"",X159/W159)</f>
        <v>0.33328009205055953</v>
      </c>
      <c r="Z159" s="11" t="str">
        <f>IF(AA159="A","四季持續盈利",IF(AA159="B","最新季為正/波動",IF(AA159="C","虧損收窄",IF(AA159="D","虧損擴大或轉虧","數據不足"))))</f>
        <v>四季持續盈利</v>
      </c>
      <c r="AA159" s="9" t="str">
        <f>IF(COUNT(N159:Q159)&lt;4,"—",IF(MIN(N159:Q159)&gt;0,"A",IF(Q159&gt;0,"B",IF(Q159&gt;N159,"C","D"))))</f>
        <v>A</v>
      </c>
      <c r="AB159" s="9" t="inlineStr">
        <is>
          <t>2026-06-30</t>
        </is>
      </c>
    </row>
    <row r="160" ht="15" customHeight="1">
      <c r="A160" s="9" t="n">
        <v>159</v>
      </c>
      <c r="B160" s="10" t="inlineStr">
        <is>
          <t>DOW</t>
        </is>
      </c>
      <c r="C160" s="11" t="inlineStr">
        <is>
          <t>基礎化工與化肥</t>
        </is>
      </c>
      <c r="D160" s="11" t="inlineStr">
        <is>
          <t>Dow Inc.</t>
        </is>
      </c>
      <c r="E160" s="11" t="inlineStr">
        <is>
          <t>Chemicals</t>
        </is>
      </c>
      <c r="F160" s="9" t="inlineStr">
        <is>
          <t>USD</t>
        </is>
      </c>
      <c r="G160" s="11" t="inlineStr">
        <is>
          <t>25Q2 / 25Q3 / 25Q4 / 26Q1 / 26Q2</t>
        </is>
      </c>
      <c r="H160" s="12" t="n">
        <v>10104</v>
      </c>
      <c r="I160" s="12" t="n">
        <v>9973</v>
      </c>
      <c r="J160" s="12" t="n">
        <v>9460</v>
      </c>
      <c r="K160" s="12" t="n">
        <v>9794</v>
      </c>
      <c r="L160" s="12" t="n">
        <v>12092</v>
      </c>
      <c r="M160" s="13">
        <f>IF(OR(N(H160)=0,L160=""),"",L160/H160-1)</f>
        <v>0.19675376088677754</v>
      </c>
      <c r="N160" s="14" t="n">
        <v>154</v>
      </c>
      <c r="O160" s="14" t="n">
        <v>-10</v>
      </c>
      <c r="P160" s="14" t="n">
        <v>-4</v>
      </c>
      <c r="Q160" s="14" t="n">
        <v>1385</v>
      </c>
      <c r="R160" s="13">
        <f>IF(OR(N(L160)=0,Q160=""),"",Q160/L160)</f>
        <v>0.11453853787628183</v>
      </c>
      <c r="S160" s="14" t="n">
        <v>2167</v>
      </c>
      <c r="T160" s="13">
        <f>IF(OR(N(L160)=0,S160=""),"",S160/L160)</f>
        <v>0.179209394641085</v>
      </c>
      <c r="U160" s="14" t="n">
        <v>721</v>
      </c>
      <c r="V160" s="13">
        <f>IF(OR(N(L160)=0,U160=""),"",U160/L160)</f>
        <v>0.05962619913992723</v>
      </c>
      <c r="W160" s="14" t="n">
        <v>39968</v>
      </c>
      <c r="X160" s="14" t="n">
        <v>158</v>
      </c>
      <c r="Y160" s="13">
        <f>IF(OR(N(W160)=0,X160=""),"",X160/W160)</f>
        <v>0.003953162530024019</v>
      </c>
      <c r="Z160" s="11" t="str">
        <f>IF(AA160="A","四季持續盈利",IF(AA160="B","最新季為正/波動",IF(AA160="C","虧損收窄",IF(AA160="D","虧損擴大或轉虧","數據不足"))))</f>
        <v>最新季為正/波動</v>
      </c>
      <c r="AA160" s="9" t="str">
        <f>IF(COUNT(N160:Q160)&lt;4,"—",IF(MIN(N160:Q160)&gt;0,"A",IF(Q160&gt;0,"B",IF(Q160&gt;N160,"C","D"))))</f>
        <v>B</v>
      </c>
      <c r="AB160" s="9" t="inlineStr">
        <is>
          <t>2026-06-30</t>
        </is>
      </c>
    </row>
    <row r="161" ht="15" customHeight="1">
      <c r="A161" s="9" t="n">
        <v>160</v>
      </c>
      <c r="B161" s="10" t="inlineStr">
        <is>
          <t>DRI</t>
        </is>
      </c>
      <c r="C161" s="11" t="inlineStr">
        <is>
          <t>餐飲連鎖</t>
        </is>
      </c>
      <c r="D161" s="11" t="inlineStr">
        <is>
          <t>Darden Restaurants, Inc.</t>
        </is>
      </c>
      <c r="E161" s="11" t="inlineStr">
        <is>
          <t>Restaurants</t>
        </is>
      </c>
      <c r="F161" s="9" t="inlineStr">
        <is>
          <t>USD</t>
        </is>
      </c>
      <c r="G161" s="11" t="inlineStr">
        <is>
          <t>25Q2 / 25Q3 / 25Q4 / 26Q1 / 26Q2</t>
        </is>
      </c>
      <c r="H161" s="12" t="n">
        <v>3271.7</v>
      </c>
      <c r="I161" s="12" t="n">
        <v>3044.7</v>
      </c>
      <c r="J161" s="12" t="n">
        <v>3102.1</v>
      </c>
      <c r="K161" s="12" t="n">
        <v>3345.3</v>
      </c>
      <c r="L161" s="12" t="n">
        <v>3718.8</v>
      </c>
      <c r="M161" s="13">
        <f>IF(OR(N(H161)=0,L161=""),"",L161/H161-1)</f>
        <v>0.1366567839349575</v>
      </c>
      <c r="N161" s="14" t="n">
        <v>303.1</v>
      </c>
      <c r="O161" s="14" t="n">
        <v>325.6</v>
      </c>
      <c r="P161" s="14" t="n">
        <v>440.3</v>
      </c>
      <c r="Q161" s="14" t="n">
        <v>537.6</v>
      </c>
      <c r="R161" s="13">
        <f>IF(OR(N(L161)=0,Q161=""),"",Q161/L161)</f>
        <v>0.1445627621813488</v>
      </c>
      <c r="S161" s="14" t="n">
        <v>866.1</v>
      </c>
      <c r="T161" s="13">
        <f>IF(OR(N(L161)=0,S161=""),"",S161/L161)</f>
        <v>0.2328977089383672</v>
      </c>
      <c r="U161" s="14" t="n">
        <v>404.9</v>
      </c>
      <c r="V161" s="13">
        <f>IF(OR(N(L161)=0,U161=""),"",U161/L161)</f>
        <v>0.10887920834677851</v>
      </c>
      <c r="W161" s="14" t="n">
        <v>13210.9</v>
      </c>
      <c r="X161" s="14" t="n">
        <v>1606.6</v>
      </c>
      <c r="Y161" s="13">
        <f>IF(OR(N(W161)=0,X161=""),"",X161/W161)</f>
        <v>0.12161169943001612</v>
      </c>
      <c r="Z161" s="11" t="str">
        <f>IF(AA161="A","四季持續盈利",IF(AA161="B","最新季為正/波動",IF(AA161="C","虧損收窄",IF(AA161="D","虧損擴大或轉虧","數據不足"))))</f>
        <v>四季持續盈利</v>
      </c>
      <c r="AA161" s="9" t="str">
        <f>IF(COUNT(N161:Q161)&lt;4,"—",IF(MIN(N161:Q161)&gt;0,"A",IF(Q161&gt;0,"B",IF(Q161&gt;N161,"C","D"))))</f>
        <v>A</v>
      </c>
      <c r="AB161" s="9" t="inlineStr">
        <is>
          <t>2026-05-31</t>
        </is>
      </c>
    </row>
    <row r="162" ht="15" customHeight="1">
      <c r="A162" s="9" t="n">
        <v>161</v>
      </c>
      <c r="B162" s="10" t="inlineStr">
        <is>
          <t>DTIL</t>
        </is>
      </c>
      <c r="C162" s="11" t="inlineStr">
        <is>
          <t>臨床期中小型生技</t>
        </is>
      </c>
      <c r="D162" s="11" t="inlineStr">
        <is>
          <t>Precision BioSciences, Inc.</t>
        </is>
      </c>
      <c r="E162" s="11" t="inlineStr">
        <is>
          <t>Biotechnology</t>
        </is>
      </c>
      <c r="F162" s="9" t="inlineStr">
        <is>
          <t>USD</t>
        </is>
      </c>
      <c r="G162" s="11" t="inlineStr">
        <is>
          <t>25Q2 / 25Q3 / 25Q4 / 26Q1 / 26Q2</t>
        </is>
      </c>
      <c r="H162" s="12" t="n">
        <v>0.018</v>
      </c>
      <c r="I162" s="12" t="n">
        <v>0.013</v>
      </c>
      <c r="J162" s="12" t="n">
        <v>34.204</v>
      </c>
      <c r="K162" s="12" t="n">
        <v>10.838</v>
      </c>
      <c r="L162" s="12" t="n">
        <v>0</v>
      </c>
      <c r="M162" s="13">
        <f>IF(OR(N(H162)=0,L162=""),"",L162/H162-1)</f>
        <v>-1.0</v>
      </c>
      <c r="N162" s="14" t="n">
        <v>-20.667</v>
      </c>
      <c r="O162" s="14" t="n">
        <v>12.508</v>
      </c>
      <c r="P162" s="14" t="n">
        <v>-9.074999999999999</v>
      </c>
      <c r="Q162" s="14" t="n">
        <v>-19.161</v>
      </c>
      <c r="R162" s="13" t="str">
        <f>IF(OR(N(L162)=0,Q162=""),"",Q162/L162)</f>
        <v/>
      </c>
      <c r="S162" s="14" t="n"/>
      <c r="T162" s="13" t="str">
        <f>IF(OR(N(L162)=0,S162=""),"",S162/L162)</f>
        <v/>
      </c>
      <c r="U162" s="14" t="n">
        <v>-32.652</v>
      </c>
      <c r="V162" s="13" t="str">
        <f>IF(OR(N(L162)=0,U162=""),"",U162/L162)</f>
        <v/>
      </c>
      <c r="W162" s="14" t="n">
        <v>34.264</v>
      </c>
      <c r="X162" s="14" t="n">
        <v>-52.148</v>
      </c>
      <c r="Y162" s="13">
        <f>IF(OR(N(W162)=0,X162=""),"",X162/W162)</f>
        <v>-1.5219472332477235</v>
      </c>
      <c r="Z162" s="11" t="str">
        <f>IF(AA162="A","四季持續盈利",IF(AA162="B","最新季為正/波動",IF(AA162="C","虧損收窄",IF(AA162="D","虧損擴大或轉虧","數據不足"))))</f>
        <v>虧損收窄</v>
      </c>
      <c r="AA162" s="9" t="str">
        <f>IF(COUNT(N162:Q162)&lt;4,"—",IF(MIN(N162:Q162)&gt;0,"A",IF(Q162&gt;0,"B",IF(Q162&gt;N162,"C","D"))))</f>
        <v>C</v>
      </c>
      <c r="AB162" s="9" t="inlineStr">
        <is>
          <t>2026-06-30</t>
        </is>
      </c>
    </row>
    <row r="163" ht="15" customHeight="1">
      <c r="A163" s="9" t="n">
        <v>162</v>
      </c>
      <c r="B163" s="10" t="inlineStr">
        <is>
          <t>DUK</t>
        </is>
      </c>
      <c r="C163" s="11" t="inlineStr">
        <is>
          <t>受監管電力公用</t>
        </is>
      </c>
      <c r="D163" s="11" t="inlineStr">
        <is>
          <t>Duke Energy Corporation</t>
        </is>
      </c>
      <c r="E163" s="11" t="inlineStr">
        <is>
          <t>Utilities - Regulated Electric</t>
        </is>
      </c>
      <c r="F163" s="9" t="inlineStr">
        <is>
          <t>USD</t>
        </is>
      </c>
      <c r="G163" s="11" t="inlineStr">
        <is>
          <t>25Q2 / 25Q3 / 25Q4 / 26Q1 / 26Q2</t>
        </is>
      </c>
      <c r="H163" s="12" t="n">
        <v>7508</v>
      </c>
      <c r="I163" s="12" t="n">
        <v>8542</v>
      </c>
      <c r="J163" s="12" t="n">
        <v>7938</v>
      </c>
      <c r="K163" s="12" t="n">
        <v>9178</v>
      </c>
      <c r="L163" s="12" t="n"/>
      <c r="M163" s="13" t="str">
        <f>IF(OR(N(H163)=0,L163=""),"",L163/H163-1)</f>
        <v/>
      </c>
      <c r="N163" s="14" t="n">
        <v>2317</v>
      </c>
      <c r="O163" s="14" t="n">
        <v>2104</v>
      </c>
      <c r="P163" s="14" t="n">
        <v>2341</v>
      </c>
      <c r="Q163" s="14" t="n"/>
      <c r="R163" s="13" t="str">
        <f>IF(OR(N(L163)=0,Q163=""),"",Q163/L163)</f>
        <v/>
      </c>
      <c r="S163" s="14" t="n"/>
      <c r="T163" s="13" t="str">
        <f>IF(OR(N(L163)=0,S163=""),"",S163/L163)</f>
        <v/>
      </c>
      <c r="U163" s="14" t="n"/>
      <c r="V163" s="13" t="str">
        <f>IF(OR(N(L163)=0,U163=""),"",U163/L163)</f>
        <v/>
      </c>
      <c r="W163" s="14" t="n">
        <v>32237</v>
      </c>
      <c r="X163" s="14" t="n">
        <v>8577</v>
      </c>
      <c r="Y163" s="13">
        <f>IF(OR(N(W163)=0,X163=""),"",X163/W163)</f>
        <v>0.2660607376616931</v>
      </c>
      <c r="Z163" s="11" t="str">
        <f>IF(AA163="A","四季持續盈利",IF(AA163="B","最新季為正/波動",IF(AA163="C","虧損收窄",IF(AA163="D","虧損擴大或轉虧","數據不足"))))</f>
        <v>數據不足</v>
      </c>
      <c r="AA163" s="9" t="str">
        <f>IF(COUNT(N163:Q163)&lt;4,"—",IF(MIN(N163:Q163)&gt;0,"A",IF(Q163&gt;0,"B",IF(Q163&gt;N163,"C","D"))))</f>
        <v>—</v>
      </c>
      <c r="AB163" s="9" t="inlineStr">
        <is>
          <t>2026-06-30</t>
        </is>
      </c>
    </row>
    <row r="164" ht="15" customHeight="1">
      <c r="A164" s="9" t="n">
        <v>163</v>
      </c>
      <c r="B164" s="10" t="inlineStr">
        <is>
          <t>DUOL</t>
        </is>
      </c>
      <c r="C164" s="11" t="inlineStr">
        <is>
          <t>—</t>
        </is>
      </c>
      <c r="D164" s="11" t="inlineStr">
        <is>
          <t>Duolingo, Inc.</t>
        </is>
      </c>
      <c r="E164" s="11" t="inlineStr">
        <is>
          <t>G3 AI</t>
        </is>
      </c>
      <c r="F164" s="9" t="inlineStr">
        <is>
          <t>USD</t>
        </is>
      </c>
      <c r="G164" s="11" t="inlineStr">
        <is>
          <t>25Q2 / 25Q3 / 25Q4 / 26Q1 / 26Q2</t>
        </is>
      </c>
      <c r="H164" s="12" t="n">
        <v>252.265</v>
      </c>
      <c r="I164" s="12" t="n">
        <v>271.713</v>
      </c>
      <c r="J164" s="12" t="n">
        <v>282.868</v>
      </c>
      <c r="K164" s="12" t="n">
        <v>291.967</v>
      </c>
      <c r="L164" s="12" t="n">
        <v>298.454</v>
      </c>
      <c r="M164" s="13">
        <f>IF(OR(N(H164)=0,L164=""),"",L164/H164-1)</f>
        <v>0.18309713991239374</v>
      </c>
      <c r="N164" s="14" t="n">
        <v>35.159</v>
      </c>
      <c r="O164" s="14" t="n">
        <v>43.454</v>
      </c>
      <c r="P164" s="14" t="n">
        <v>44.527</v>
      </c>
      <c r="Q164" s="14" t="n">
        <v>33.945</v>
      </c>
      <c r="R164" s="13">
        <f>IF(OR(N(L164)=0,Q164=""),"",Q164/L164)</f>
        <v>0.11373612013911691</v>
      </c>
      <c r="S164" s="14" t="n">
        <v>216.74</v>
      </c>
      <c r="T164" s="13">
        <f>IF(OR(N(L164)=0,S164=""),"",S164/L164)</f>
        <v>0.7262090640433702</v>
      </c>
      <c r="U164" s="14" t="n">
        <v>33.158</v>
      </c>
      <c r="V164" s="13">
        <f>IF(OR(N(L164)=0,U164=""),"",U164/L164)</f>
        <v>0.11109919786633786</v>
      </c>
      <c r="W164" s="14" t="n">
        <v>1037.589</v>
      </c>
      <c r="X164" s="14" t="n">
        <v>135.57</v>
      </c>
      <c r="Y164" s="13">
        <f>IF(OR(N(W164)=0,X164=""),"",X164/W164)</f>
        <v>0.13065867120796384</v>
      </c>
      <c r="Z164" s="11" t="str">
        <f>IF(AA164="A","四季持續盈利",IF(AA164="B","最新季為正/波動",IF(AA164="C","虧損收窄",IF(AA164="D","虧損擴大或轉虧","數據不足"))))</f>
        <v>四季持續盈利</v>
      </c>
      <c r="AA164" s="9" t="str">
        <f>IF(COUNT(N164:Q164)&lt;4,"—",IF(MIN(N164:Q164)&gt;0,"A",IF(Q164&gt;0,"B",IF(Q164&gt;N164,"C","D"))))</f>
        <v>A</v>
      </c>
      <c r="AB164" s="9" t="inlineStr">
        <is>
          <t>2026-06-30</t>
        </is>
      </c>
    </row>
    <row r="165" ht="15" customHeight="1">
      <c r="A165" s="9" t="n">
        <v>164</v>
      </c>
      <c r="B165" s="10" t="inlineStr">
        <is>
          <t>DVN</t>
        </is>
      </c>
      <c r="C165" s="11" t="inlineStr">
        <is>
          <t>頁岩E&amp;P勘探生產</t>
        </is>
      </c>
      <c r="D165" s="11" t="inlineStr">
        <is>
          <t>Devon Energy Corporation</t>
        </is>
      </c>
      <c r="E165" s="11" t="inlineStr">
        <is>
          <t>Oil &amp; Gas E&amp;P</t>
        </is>
      </c>
      <c r="F165" s="9" t="inlineStr">
        <is>
          <t>USD</t>
        </is>
      </c>
      <c r="G165" s="11" t="inlineStr">
        <is>
          <t>25Q2 / 25Q3 / 25Q4 / 26Q1 / 26Q2</t>
        </is>
      </c>
      <c r="H165" s="12" t="n">
        <v>4284</v>
      </c>
      <c r="I165" s="12" t="n">
        <v>4331</v>
      </c>
      <c r="J165" s="12" t="n">
        <v>4121</v>
      </c>
      <c r="K165" s="12" t="n">
        <v>3807</v>
      </c>
      <c r="L165" s="12" t="n">
        <v>7417</v>
      </c>
      <c r="M165" s="13">
        <f>IF(OR(N(H165)=0,L165=""),"",L165/H165-1)</f>
        <v>0.7313258636788049</v>
      </c>
      <c r="N165" s="14" t="n">
        <v>982</v>
      </c>
      <c r="O165" s="14" t="n">
        <v>841</v>
      </c>
      <c r="P165" s="14" t="n">
        <v>312</v>
      </c>
      <c r="Q165" s="14" t="n">
        <v>2543</v>
      </c>
      <c r="R165" s="13">
        <f>IF(OR(N(L165)=0,Q165=""),"",Q165/L165)</f>
        <v>0.34286099501146017</v>
      </c>
      <c r="S165" s="14" t="n">
        <v>2734</v>
      </c>
      <c r="T165" s="13">
        <f>IF(OR(N(L165)=0,S165=""),"",S165/L165)</f>
        <v>0.3686126466226237</v>
      </c>
      <c r="U165" s="14" t="n">
        <v>1911</v>
      </c>
      <c r="V165" s="13">
        <f>IF(OR(N(L165)=0,U165=""),"",U165/L165)</f>
        <v>0.257651341512741</v>
      </c>
      <c r="W165" s="14" t="n">
        <v>17188</v>
      </c>
      <c r="X165" s="14" t="n">
        <v>3856</v>
      </c>
      <c r="Y165" s="13">
        <f>IF(OR(N(W165)=0,X165=""),"",X165/W165)</f>
        <v>0.22434256457993948</v>
      </c>
      <c r="Z165" s="11" t="str">
        <f>IF(AA165="A","四季持續盈利",IF(AA165="B","最新季為正/波動",IF(AA165="C","虧損收窄",IF(AA165="D","虧損擴大或轉虧","數據不足"))))</f>
        <v>四季持續盈利</v>
      </c>
      <c r="AA165" s="9" t="str">
        <f>IF(COUNT(N165:Q165)&lt;4,"—",IF(MIN(N165:Q165)&gt;0,"A",IF(Q165&gt;0,"B",IF(Q165&gt;N165,"C","D"))))</f>
        <v>A</v>
      </c>
      <c r="AB165" s="9" t="inlineStr">
        <is>
          <t>2026-06-30</t>
        </is>
      </c>
    </row>
    <row r="166" ht="15" customHeight="1">
      <c r="A166" s="9" t="n">
        <v>165</v>
      </c>
      <c r="B166" s="10" t="inlineStr">
        <is>
          <t>EBAY</t>
        </is>
      </c>
      <c r="C166" s="11" t="inlineStr">
        <is>
          <t>電商平台</t>
        </is>
      </c>
      <c r="D166" s="11" t="inlineStr">
        <is>
          <t>eBay Inc.</t>
        </is>
      </c>
      <c r="E166" s="11" t="inlineStr">
        <is>
          <t>Internet Retail</t>
        </is>
      </c>
      <c r="F166" s="9" t="inlineStr">
        <is>
          <t>USD</t>
        </is>
      </c>
      <c r="G166" s="11" t="inlineStr">
        <is>
          <t>25Q2 / 25Q3 / 25Q4 / 26Q1 / 26Q2</t>
        </is>
      </c>
      <c r="H166" s="12" t="n">
        <v>2730</v>
      </c>
      <c r="I166" s="12" t="n">
        <v>2820</v>
      </c>
      <c r="J166" s="12" t="n">
        <v>2965</v>
      </c>
      <c r="K166" s="12" t="n">
        <v>3089</v>
      </c>
      <c r="L166" s="12" t="n">
        <v>3134</v>
      </c>
      <c r="M166" s="13">
        <f>IF(OR(N(H166)=0,L166=""),"",L166/H166-1)</f>
        <v>0.1479853479853479</v>
      </c>
      <c r="N166" s="14" t="n">
        <v>576</v>
      </c>
      <c r="O166" s="14" t="n">
        <v>601</v>
      </c>
      <c r="P166" s="14" t="n">
        <v>611</v>
      </c>
      <c r="Q166" s="14" t="n">
        <v>676</v>
      </c>
      <c r="R166" s="13">
        <f>IF(OR(N(L166)=0,Q166=""),"",Q166/L166)</f>
        <v>0.21569878749202298</v>
      </c>
      <c r="S166" s="14" t="n">
        <v>2302</v>
      </c>
      <c r="T166" s="13">
        <f>IF(OR(N(L166)=0,S166=""),"",S166/L166)</f>
        <v>0.7345245692405871</v>
      </c>
      <c r="U166" s="14" t="n">
        <v>550</v>
      </c>
      <c r="V166" s="13">
        <f>IF(OR(N(L166)=0,U166=""),"",U166/L166)</f>
        <v>0.17549457562220805</v>
      </c>
      <c r="W166" s="14" t="n">
        <v>11100</v>
      </c>
      <c r="X166" s="14" t="n">
        <v>2277</v>
      </c>
      <c r="Y166" s="13">
        <f>IF(OR(N(W166)=0,X166=""),"",X166/W166)</f>
        <v>0.20513513513513512</v>
      </c>
      <c r="Z166" s="11" t="str">
        <f>IF(AA166="A","四季持續盈利",IF(AA166="B","最新季為正/波動",IF(AA166="C","虧損收窄",IF(AA166="D","虧損擴大或轉虧","數據不足"))))</f>
        <v>四季持續盈利</v>
      </c>
      <c r="AA166" s="9" t="str">
        <f>IF(COUNT(N166:Q166)&lt;4,"—",IF(MIN(N166:Q166)&gt;0,"A",IF(Q166&gt;0,"B",IF(Q166&gt;N166,"C","D"))))</f>
        <v>A</v>
      </c>
      <c r="AB166" s="9" t="inlineStr">
        <is>
          <t>2026-06-30</t>
        </is>
      </c>
    </row>
    <row r="167" ht="15" customHeight="1">
      <c r="A167" s="9" t="n">
        <v>166</v>
      </c>
      <c r="B167" s="10" t="inlineStr">
        <is>
          <t>ECL</t>
        </is>
      </c>
      <c r="C167" s="11" t="inlineStr">
        <is>
          <t>特種化工</t>
        </is>
      </c>
      <c r="D167" s="11" t="inlineStr">
        <is>
          <t>Ecolab Inc.</t>
        </is>
      </c>
      <c r="E167" s="11" t="inlineStr">
        <is>
          <t>Specialty Chemicals</t>
        </is>
      </c>
      <c r="F167" s="9" t="inlineStr">
        <is>
          <t>USD</t>
        </is>
      </c>
      <c r="G167" s="11" t="inlineStr">
        <is>
          <t>25Q2 / 25Q3 / 25Q4 / 26Q1 / 26Q2</t>
        </is>
      </c>
      <c r="H167" s="12" t="n">
        <v>4025.2</v>
      </c>
      <c r="I167" s="12" t="n">
        <v>4165</v>
      </c>
      <c r="J167" s="12" t="n">
        <v>4196</v>
      </c>
      <c r="K167" s="12" t="n">
        <v>4066.1</v>
      </c>
      <c r="L167" s="12" t="n">
        <v>4415.4</v>
      </c>
      <c r="M167" s="13">
        <f>IF(OR(N(H167)=0,L167=""),"",L167/H167-1)</f>
        <v>0.09693928252012318</v>
      </c>
      <c r="N167" s="14" t="n">
        <v>786.4</v>
      </c>
      <c r="O167" s="14" t="n">
        <v>786.6</v>
      </c>
      <c r="P167" s="14" t="n">
        <v>668.4</v>
      </c>
      <c r="Q167" s="14" t="n">
        <v>804.3</v>
      </c>
      <c r="R167" s="13">
        <f>IF(OR(N(L167)=0,Q167=""),"",Q167/L167)</f>
        <v>0.1821579018888436</v>
      </c>
      <c r="S167" s="14" t="n">
        <v>1945.9</v>
      </c>
      <c r="T167" s="13">
        <f>IF(OR(N(L167)=0,S167=""),"",S167/L167)</f>
        <v>0.440707523667165</v>
      </c>
      <c r="U167" s="14" t="n">
        <v>534.9</v>
      </c>
      <c r="V167" s="13">
        <f>IF(OR(N(L167)=0,U167=""),"",U167/L167)</f>
        <v>0.12114417719798887</v>
      </c>
      <c r="W167" s="14" t="n">
        <v>16081.2</v>
      </c>
      <c r="X167" s="14" t="n">
        <v>2892.5</v>
      </c>
      <c r="Y167" s="13">
        <f>IF(OR(N(W167)=0,X167=""),"",X167/W167)</f>
        <v>0.17986841777976767</v>
      </c>
      <c r="Z167" s="11" t="str">
        <f>IF(AA167="A","四季持續盈利",IF(AA167="B","最新季為正/波動",IF(AA167="C","虧損收窄",IF(AA167="D","虧損擴大或轉虧","數據不足"))))</f>
        <v>四季持續盈利</v>
      </c>
      <c r="AA167" s="9" t="str">
        <f>IF(COUNT(N167:Q167)&lt;4,"—",IF(MIN(N167:Q167)&gt;0,"A",IF(Q167&gt;0,"B",IF(Q167&gt;N167,"C","D"))))</f>
        <v>A</v>
      </c>
      <c r="AB167" s="9" t="inlineStr">
        <is>
          <t>2026-06-30</t>
        </is>
      </c>
    </row>
    <row r="168" ht="15" customHeight="1">
      <c r="A168" s="9" t="n">
        <v>167</v>
      </c>
      <c r="B168" s="10" t="inlineStr">
        <is>
          <t>EE</t>
        </is>
      </c>
      <c r="C168" s="11" t="inlineStr">
        <is>
          <t>LNG液化天然氣</t>
        </is>
      </c>
      <c r="D168" s="11" t="inlineStr">
        <is>
          <t>Excelerate Energy, Inc.</t>
        </is>
      </c>
      <c r="E168" s="11" t="inlineStr">
        <is>
          <t>Oil &amp; Gas Midstream</t>
        </is>
      </c>
      <c r="F168" s="9" t="inlineStr">
        <is>
          <t>USD</t>
        </is>
      </c>
      <c r="G168" s="11" t="inlineStr">
        <is>
          <t>25Q2 / 25Q3 / 25Q4 / 26Q1 / 26Q2</t>
        </is>
      </c>
      <c r="H168" s="12" t="n">
        <v>204.556</v>
      </c>
      <c r="I168" s="12" t="n">
        <v>391.044</v>
      </c>
      <c r="J168" s="12" t="n">
        <v>317.573</v>
      </c>
      <c r="K168" s="12" t="n">
        <v>433.439</v>
      </c>
      <c r="L168" s="12" t="n">
        <v>329.265</v>
      </c>
      <c r="M168" s="13">
        <f>IF(OR(N(H168)=0,L168=""),"",L168/H168-1)</f>
        <v>0.6096570132384285</v>
      </c>
      <c r="N168" s="14" t="n">
        <v>89.438</v>
      </c>
      <c r="O168" s="14" t="n">
        <v>71.041</v>
      </c>
      <c r="P168" s="14" t="n">
        <v>81.967</v>
      </c>
      <c r="Q168" s="14" t="n">
        <v>80.896</v>
      </c>
      <c r="R168" s="13">
        <f>IF(OR(N(L168)=0,Q168=""),"",Q168/L168)</f>
        <v>0.2456866050141983</v>
      </c>
      <c r="S168" s="14" t="n">
        <v>105.187</v>
      </c>
      <c r="T168" s="13">
        <f>IF(OR(N(L168)=0,S168=""),"",S168/L168)</f>
        <v>0.319460009414909</v>
      </c>
      <c r="U168" s="14" t="n">
        <v>12.077</v>
      </c>
      <c r="V168" s="13">
        <f>IF(OR(N(L168)=0,U168=""),"",U168/L168)</f>
        <v>0.036678663082927124</v>
      </c>
      <c r="W168" s="14" t="n">
        <v>1228.263</v>
      </c>
      <c r="X168" s="14" t="n">
        <v>300.922</v>
      </c>
      <c r="Y168" s="13">
        <f>IF(OR(N(W168)=0,X168=""),"",X168/W168)</f>
        <v>0.24499801752556255</v>
      </c>
      <c r="Z168" s="11" t="str">
        <f>IF(AA168="A","四季持續盈利",IF(AA168="B","最新季為正/波動",IF(AA168="C","虧損收窄",IF(AA168="D","虧損擴大或轉虧","數據不足"))))</f>
        <v>四季持續盈利</v>
      </c>
      <c r="AA168" s="9" t="str">
        <f>IF(COUNT(N168:Q168)&lt;4,"—",IF(MIN(N168:Q168)&gt;0,"A",IF(Q168&gt;0,"B",IF(Q168&gt;N168,"C","D"))))</f>
        <v>A</v>
      </c>
      <c r="AB168" s="9" t="inlineStr">
        <is>
          <t>2026-06-30</t>
        </is>
      </c>
    </row>
    <row r="169" ht="15" customHeight="1">
      <c r="A169" s="9" t="n">
        <v>168</v>
      </c>
      <c r="B169" s="10" t="inlineStr">
        <is>
          <t>EGP</t>
        </is>
      </c>
      <c r="C169" s="11" t="inlineStr">
        <is>
          <t>工業與物流REIT</t>
        </is>
      </c>
      <c r="D169" s="11" t="inlineStr">
        <is>
          <t>EastGroup Properties, Inc.</t>
        </is>
      </c>
      <c r="E169" s="11" t="inlineStr">
        <is>
          <t>REIT - Industrial</t>
        </is>
      </c>
      <c r="F169" s="9" t="inlineStr">
        <is>
          <t>USD</t>
        </is>
      </c>
      <c r="G169" s="11" t="inlineStr">
        <is>
          <t>25Q2 / 25Q3 / 25Q4 / 26Q1 / 26Q2</t>
        </is>
      </c>
      <c r="H169" s="12" t="n">
        <v>177.286</v>
      </c>
      <c r="I169" s="12" t="n">
        <v>182.136</v>
      </c>
      <c r="J169" s="12" t="n">
        <v>187.465</v>
      </c>
      <c r="K169" s="12" t="n">
        <v>190.256</v>
      </c>
      <c r="L169" s="12" t="n">
        <v>193.331</v>
      </c>
      <c r="M169" s="13">
        <f>IF(OR(N(H169)=0,L169=""),"",L169/H169-1)</f>
        <v>0.09050348025224775</v>
      </c>
      <c r="N169" s="14" t="n">
        <v>74.19499999999999</v>
      </c>
      <c r="O169" s="14" t="n">
        <v>75.965</v>
      </c>
      <c r="P169" s="14" t="n">
        <v>76.395</v>
      </c>
      <c r="Q169" s="14" t="n">
        <v>78.803</v>
      </c>
      <c r="R169" s="13">
        <f>IF(OR(N(L169)=0,Q169=""),"",Q169/L169)</f>
        <v>0.4076066435284564</v>
      </c>
      <c r="S169" s="14" t="n">
        <v>142.647</v>
      </c>
      <c r="T169" s="13">
        <f>IF(OR(N(L169)=0,S169=""),"",S169/L169)</f>
        <v>0.7378382152888052</v>
      </c>
      <c r="U169" s="14" t="n">
        <v>75.523</v>
      </c>
      <c r="V169" s="13">
        <f>IF(OR(N(L169)=0,U169=""),"",U169/L169)</f>
        <v>0.39064092152836327</v>
      </c>
      <c r="W169" s="14" t="n">
        <v>721.336</v>
      </c>
      <c r="X169" s="14" t="n">
        <v>287.562</v>
      </c>
      <c r="Y169" s="13">
        <f>IF(OR(N(W169)=0,X169=""),"",X169/W169)</f>
        <v>0.39865194583384167</v>
      </c>
      <c r="Z169" s="11" t="str">
        <f>IF(AA169="A","四季持續盈利",IF(AA169="B","最新季為正/波動",IF(AA169="C","虧損收窄",IF(AA169="D","虧損擴大或轉虧","數據不足"))))</f>
        <v>四季持續盈利</v>
      </c>
      <c r="AA169" s="9" t="str">
        <f>IF(COUNT(N169:Q169)&lt;4,"—",IF(MIN(N169:Q169)&gt;0,"A",IF(Q169&gt;0,"B",IF(Q169&gt;N169,"C","D"))))</f>
        <v>A</v>
      </c>
      <c r="AB169" s="9" t="inlineStr">
        <is>
          <t>2026-06-30</t>
        </is>
      </c>
    </row>
    <row r="170" ht="15" customHeight="1">
      <c r="A170" s="9" t="n">
        <v>169</v>
      </c>
      <c r="B170" s="10" t="inlineStr">
        <is>
          <t>EHC</t>
        </is>
      </c>
      <c r="C170" s="11" t="inlineStr">
        <is>
          <t>醫院與醫療服務</t>
        </is>
      </c>
      <c r="D170" s="11" t="inlineStr">
        <is>
          <t>Encompass Health Corporation</t>
        </is>
      </c>
      <c r="E170" s="11" t="inlineStr">
        <is>
          <t>Medical Care Facilities</t>
        </is>
      </c>
      <c r="F170" s="9" t="inlineStr">
        <is>
          <t>USD</t>
        </is>
      </c>
      <c r="G170" s="11" t="inlineStr">
        <is>
          <t>25Q2 / 25Q3 / 25Q4 / 26Q1 / 26Q2</t>
        </is>
      </c>
      <c r="H170" s="12" t="n">
        <v>1457.7</v>
      </c>
      <c r="I170" s="12" t="n">
        <v>1477.5</v>
      </c>
      <c r="J170" s="12" t="n">
        <v>1544.6</v>
      </c>
      <c r="K170" s="12" t="n">
        <v>1586.6</v>
      </c>
      <c r="L170" s="12" t="n">
        <v>1597.4</v>
      </c>
      <c r="M170" s="13">
        <f>IF(OR(N(H170)=0,L170=""),"",L170/H170-1)</f>
        <v>0.09583590587912472</v>
      </c>
      <c r="N170" s="14" t="n">
        <v>243.6</v>
      </c>
      <c r="O170" s="14" t="n">
        <v>283.4</v>
      </c>
      <c r="P170" s="14" t="n">
        <v>301.6</v>
      </c>
      <c r="Q170" s="14" t="n">
        <v>288.4</v>
      </c>
      <c r="R170" s="13">
        <f>IF(OR(N(L170)=0,Q170=""),"",Q170/L170)</f>
        <v>0.18054338299737072</v>
      </c>
      <c r="S170" s="14" t="n">
        <v>1531.3</v>
      </c>
      <c r="T170" s="13">
        <f>IF(OR(N(L170)=0,S170=""),"",S170/L170)</f>
        <v>0.9586202579191185</v>
      </c>
      <c r="U170" s="14" t="n">
        <v>153.9</v>
      </c>
      <c r="V170" s="13">
        <f>IF(OR(N(L170)=0,U170=""),"",U170/L170)</f>
        <v>0.09634405909603105</v>
      </c>
      <c r="W170" s="14" t="n">
        <v>5935.2</v>
      </c>
      <c r="X170" s="14" t="n">
        <v>1053.1</v>
      </c>
      <c r="Y170" s="13">
        <f>IF(OR(N(W170)=0,X170=""),"",X170/W170)</f>
        <v>0.17743294244507346</v>
      </c>
      <c r="Z170" s="11" t="str">
        <f>IF(AA170="A","四季持續盈利",IF(AA170="B","最新季為正/波動",IF(AA170="C","虧損收窄",IF(AA170="D","虧損擴大或轉虧","數據不足"))))</f>
        <v>四季持續盈利</v>
      </c>
      <c r="AA170" s="9" t="str">
        <f>IF(COUNT(N170:Q170)&lt;4,"—",IF(MIN(N170:Q170)&gt;0,"A",IF(Q170&gt;0,"B",IF(Q170&gt;N170,"C","D"))))</f>
        <v>A</v>
      </c>
      <c r="AB170" s="9" t="inlineStr">
        <is>
          <t>2026-06-30</t>
        </is>
      </c>
    </row>
    <row r="171" ht="15" customHeight="1">
      <c r="A171" s="9" t="n">
        <v>170</v>
      </c>
      <c r="B171" s="10" t="inlineStr">
        <is>
          <t>EL</t>
        </is>
      </c>
      <c r="C171" s="11" t="inlineStr">
        <is>
          <t>家庭與個人護理</t>
        </is>
      </c>
      <c r="D171" s="11" t="inlineStr">
        <is>
          <t>The Estée Lauder Companies Inc.</t>
        </is>
      </c>
      <c r="E171" s="11" t="inlineStr">
        <is>
          <t>Household &amp; Personal Products</t>
        </is>
      </c>
      <c r="F171" s="9" t="inlineStr">
        <is>
          <t>USD</t>
        </is>
      </c>
      <c r="G171" s="11" t="inlineStr">
        <is>
          <t>25Q2 / 25Q3 / 25Q4 / 26Q1 / 26Q2</t>
        </is>
      </c>
      <c r="H171" s="12" t="n">
        <v>3411</v>
      </c>
      <c r="I171" s="12" t="n">
        <v>3481</v>
      </c>
      <c r="J171" s="12" t="n">
        <v>4229</v>
      </c>
      <c r="K171" s="12" t="n">
        <v>3712</v>
      </c>
      <c r="L171" s="12" t="n">
        <v>3627</v>
      </c>
      <c r="M171" s="13">
        <f>IF(OR(N(H171)=0,L171=""),"",L171/H171-1)</f>
        <v>0.0633245382585752</v>
      </c>
      <c r="N171" s="14" t="n">
        <v>258</v>
      </c>
      <c r="O171" s="14" t="n">
        <v>608</v>
      </c>
      <c r="P171" s="14" t="n">
        <v>557</v>
      </c>
      <c r="Q171" s="14" t="n">
        <v>254</v>
      </c>
      <c r="R171" s="13">
        <f>IF(OR(N(L171)=0,Q171=""),"",Q171/L171)</f>
        <v>0.07003032809484422</v>
      </c>
      <c r="S171" s="14" t="n">
        <v>2737</v>
      </c>
      <c r="T171" s="13">
        <f>IF(OR(N(L171)=0,S171=""),"",S171/L171)</f>
        <v>0.7546181417149159</v>
      </c>
      <c r="U171" s="14" t="n">
        <v>-116</v>
      </c>
      <c r="V171" s="13">
        <f>IF(OR(N(L171)=0,U171=""),"",U171/L171)</f>
        <v>-0.03198235456299973</v>
      </c>
      <c r="W171" s="14" t="n">
        <v>15049</v>
      </c>
      <c r="X171" s="14" t="n">
        <v>1677</v>
      </c>
      <c r="Y171" s="13">
        <f>IF(OR(N(W171)=0,X171=""),"",X171/W171)</f>
        <v>0.11143597581234634</v>
      </c>
      <c r="Z171" s="11" t="str">
        <f>IF(AA171="A","四季持續盈利",IF(AA171="B","最新季為正/波動",IF(AA171="C","虧損收窄",IF(AA171="D","虧損擴大或轉虧","數據不足"))))</f>
        <v>四季持續盈利</v>
      </c>
      <c r="AA171" s="9" t="str">
        <f>IF(COUNT(N171:Q171)&lt;4,"—",IF(MIN(N171:Q171)&gt;0,"A",IF(Q171&gt;0,"B",IF(Q171&gt;N171,"C","D"))))</f>
        <v>A</v>
      </c>
      <c r="AB171" s="9" t="inlineStr">
        <is>
          <t>2026-06-30</t>
        </is>
      </c>
    </row>
    <row r="172" ht="15" customHeight="1">
      <c r="A172" s="9" t="n">
        <v>171</v>
      </c>
      <c r="B172" s="10" t="inlineStr">
        <is>
          <t>ELV</t>
        </is>
      </c>
      <c r="C172" s="11" t="inlineStr">
        <is>
          <t>醫療保險與管理式醫療</t>
        </is>
      </c>
      <c r="D172" s="11" t="inlineStr">
        <is>
          <t>Elevance Health, Inc.</t>
        </is>
      </c>
      <c r="E172" s="11" t="inlineStr">
        <is>
          <t>Healthcare Plans</t>
        </is>
      </c>
      <c r="F172" s="9" t="inlineStr">
        <is>
          <t>USD</t>
        </is>
      </c>
      <c r="G172" s="11" t="inlineStr">
        <is>
          <t>25Q2 / 25Q3 / 25Q4 / 26Q1 / 26Q2</t>
        </is>
      </c>
      <c r="H172" s="12" t="n">
        <v>49776</v>
      </c>
      <c r="I172" s="12" t="n">
        <v>50711</v>
      </c>
      <c r="J172" s="12" t="n">
        <v>49747</v>
      </c>
      <c r="K172" s="12" t="n">
        <v>50181</v>
      </c>
      <c r="L172" s="12" t="n">
        <v>50474</v>
      </c>
      <c r="M172" s="13">
        <f>IF(OR(N(H172)=0,L172=""),"",L172/H172-1)</f>
        <v>0.01402282224365159</v>
      </c>
      <c r="N172" s="14" t="n">
        <v>1757</v>
      </c>
      <c r="O172" s="14" t="n">
        <v>581</v>
      </c>
      <c r="P172" s="14" t="n">
        <v>2661</v>
      </c>
      <c r="Q172" s="14" t="n">
        <v>2301</v>
      </c>
      <c r="R172" s="13">
        <f>IF(OR(N(L172)=0,Q172=""),"",Q172/L172)</f>
        <v>0.04558782739628323</v>
      </c>
      <c r="S172" s="14" t="n"/>
      <c r="T172" s="13" t="str">
        <f>IF(OR(N(L172)=0,S172=""),"",S172/L172)</f>
        <v/>
      </c>
      <c r="U172" s="14" t="n">
        <v>1463</v>
      </c>
      <c r="V172" s="13">
        <f>IF(OR(N(L172)=0,U172=""),"",U172/L172)</f>
        <v>0.028985220113325674</v>
      </c>
      <c r="W172" s="14" t="n">
        <v>199125</v>
      </c>
      <c r="X172" s="14" t="n">
        <v>8112</v>
      </c>
      <c r="Y172" s="13">
        <f>IF(OR(N(W172)=0,X172=""),"",X172/W172)</f>
        <v>0.040738229755178906</v>
      </c>
      <c r="Z172" s="11" t="str">
        <f>IF(AA172="A","四季持續盈利",IF(AA172="B","最新季為正/波動",IF(AA172="C","虧損收窄",IF(AA172="D","虧損擴大或轉虧","數據不足"))))</f>
        <v>四季持續盈利</v>
      </c>
      <c r="AA172" s="9" t="str">
        <f>IF(COUNT(N172:Q172)&lt;4,"—",IF(MIN(N172:Q172)&gt;0,"A",IF(Q172&gt;0,"B",IF(Q172&gt;N172,"C","D"))))</f>
        <v>A</v>
      </c>
      <c r="AB172" s="9" t="inlineStr">
        <is>
          <t>2026-06-30</t>
        </is>
      </c>
    </row>
    <row r="173" ht="15" customHeight="1">
      <c r="A173" s="9" t="n">
        <v>172</v>
      </c>
      <c r="B173" s="10" t="inlineStr">
        <is>
          <t>EME</t>
        </is>
      </c>
      <c r="C173" s="11" t="inlineStr">
        <is>
          <t>工程建設/EPC</t>
        </is>
      </c>
      <c r="D173" s="11" t="inlineStr">
        <is>
          <t>EMCOR Group, Inc.</t>
        </is>
      </c>
      <c r="E173" s="11" t="inlineStr">
        <is>
          <t>Engineering &amp; Construction</t>
        </is>
      </c>
      <c r="F173" s="9" t="inlineStr">
        <is>
          <t>USD</t>
        </is>
      </c>
      <c r="G173" s="11" t="inlineStr">
        <is>
          <t>25Q2 / 25Q3 / 25Q4 / 26Q1 / 26Q2</t>
        </is>
      </c>
      <c r="H173" s="12" t="n">
        <v>4304.4</v>
      </c>
      <c r="I173" s="12" t="n">
        <v>4301.529</v>
      </c>
      <c r="J173" s="12" t="n">
        <v>4513.121</v>
      </c>
      <c r="K173" s="12" t="n">
        <v>4628.233</v>
      </c>
      <c r="L173" s="12" t="n">
        <v>5154.892</v>
      </c>
      <c r="M173" s="13">
        <f>IF(OR(N(H173)=0,L173=""),"",L173/H173-1)</f>
        <v>0.19758665551528676</v>
      </c>
      <c r="N173" s="14" t="n">
        <v>405.696</v>
      </c>
      <c r="O173" s="14" t="n">
        <v>428.878</v>
      </c>
      <c r="P173" s="14" t="n">
        <v>403.845</v>
      </c>
      <c r="Q173" s="14" t="n">
        <v>547.34</v>
      </c>
      <c r="R173" s="13">
        <f>IF(OR(N(L173)=0,Q173=""),"",Q173/L173)</f>
        <v>0.10617875214456482</v>
      </c>
      <c r="S173" s="14" t="n">
        <v>1022.379</v>
      </c>
      <c r="T173" s="13">
        <f>IF(OR(N(L173)=0,S173=""),"",S173/L173)</f>
        <v>0.19833179822196081</v>
      </c>
      <c r="U173" s="14" t="n">
        <v>403.694</v>
      </c>
      <c r="V173" s="13">
        <f>IF(OR(N(L173)=0,U173=""),"",U173/L173)</f>
        <v>0.07831279491403506</v>
      </c>
      <c r="W173" s="14" t="n">
        <v>16986.422</v>
      </c>
      <c r="X173" s="14" t="n">
        <v>1568.542</v>
      </c>
      <c r="Y173" s="13">
        <f>IF(OR(N(W173)=0,X173=""),"",X173/W173)</f>
        <v>0.09234092971433301</v>
      </c>
      <c r="Z173" s="11" t="str">
        <f>IF(AA173="A","四季持續盈利",IF(AA173="B","最新季為正/波動",IF(AA173="C","虧損收窄",IF(AA173="D","虧損擴大或轉虧","數據不足"))))</f>
        <v>四季持續盈利</v>
      </c>
      <c r="AA173" s="9" t="str">
        <f>IF(COUNT(N173:Q173)&lt;4,"—",IF(MIN(N173:Q173)&gt;0,"A",IF(Q173&gt;0,"B",IF(Q173&gt;N173,"C","D"))))</f>
        <v>A</v>
      </c>
      <c r="AB173" s="9" t="inlineStr">
        <is>
          <t>2026-06-30</t>
        </is>
      </c>
    </row>
    <row r="174" ht="15" customHeight="1">
      <c r="A174" s="9" t="n">
        <v>173</v>
      </c>
      <c r="B174" s="10" t="inlineStr">
        <is>
          <t>EMR</t>
        </is>
      </c>
      <c r="C174" s="11" t="inlineStr">
        <is>
          <t>電氣設備與電網</t>
        </is>
      </c>
      <c r="D174" s="11" t="inlineStr">
        <is>
          <t>Emerson Electric Co.</t>
        </is>
      </c>
      <c r="E174" s="11" t="inlineStr">
        <is>
          <t>Specialty Industrial Machinery</t>
        </is>
      </c>
      <c r="F174" s="9" t="inlineStr">
        <is>
          <t>USD</t>
        </is>
      </c>
      <c r="G174" s="11" t="inlineStr">
        <is>
          <t>25Q2 / 25Q3 / 25Q4 / 26Q1 / 26Q2</t>
        </is>
      </c>
      <c r="H174" s="12" t="n">
        <v>4553</v>
      </c>
      <c r="I174" s="12" t="n">
        <v>4855</v>
      </c>
      <c r="J174" s="12" t="n">
        <v>4346</v>
      </c>
      <c r="K174" s="12" t="n">
        <v>4562</v>
      </c>
      <c r="L174" s="12" t="n"/>
      <c r="M174" s="13" t="str">
        <f>IF(OR(N(H174)=0,L174=""),"",L174/H174-1)</f>
        <v/>
      </c>
      <c r="N174" s="14" t="n">
        <v>982</v>
      </c>
      <c r="O174" s="14" t="n">
        <v>864</v>
      </c>
      <c r="P174" s="14" t="n">
        <v>901</v>
      </c>
      <c r="Q174" s="14" t="n"/>
      <c r="R174" s="13" t="str">
        <f>IF(OR(N(L174)=0,Q174=""),"",Q174/L174)</f>
        <v/>
      </c>
      <c r="S174" s="14" t="n"/>
      <c r="T174" s="13" t="str">
        <f>IF(OR(N(L174)=0,S174=""),"",S174/L174)</f>
        <v/>
      </c>
      <c r="U174" s="14" t="n"/>
      <c r="V174" s="13" t="str">
        <f>IF(OR(N(L174)=0,U174=""),"",U174/L174)</f>
        <v/>
      </c>
      <c r="W174" s="14" t="n">
        <v>18016</v>
      </c>
      <c r="X174" s="14" t="n">
        <v>3532</v>
      </c>
      <c r="Y174" s="13">
        <f>IF(OR(N(W174)=0,X174=""),"",X174/W174)</f>
        <v>0.19604795737122557</v>
      </c>
      <c r="Z174" s="11" t="str">
        <f>IF(AA174="A","四季持續盈利",IF(AA174="B","最新季為正/波動",IF(AA174="C","虧損收窄",IF(AA174="D","虧損擴大或轉虧","數據不足"))))</f>
        <v>數據不足</v>
      </c>
      <c r="AA174" s="9" t="str">
        <f>IF(COUNT(N174:Q174)&lt;4,"—",IF(MIN(N174:Q174)&gt;0,"A",IF(Q174&gt;0,"B",IF(Q174&gt;N174,"C","D"))))</f>
        <v>—</v>
      </c>
      <c r="AB174" s="9" t="inlineStr">
        <is>
          <t>2026-06-30</t>
        </is>
      </c>
    </row>
    <row r="175" ht="15" customHeight="1">
      <c r="A175" s="9" t="n">
        <v>174</v>
      </c>
      <c r="B175" s="10" t="inlineStr">
        <is>
          <t>ENPH</t>
        </is>
      </c>
      <c r="C175" s="11" t="inlineStr">
        <is>
          <t>再生能源與太陽能</t>
        </is>
      </c>
      <c r="D175" s="11" t="inlineStr">
        <is>
          <t>Enphase Energy, Inc.</t>
        </is>
      </c>
      <c r="E175" s="11" t="inlineStr">
        <is>
          <t>Solar</t>
        </is>
      </c>
      <c r="F175" s="9" t="inlineStr">
        <is>
          <t>USD</t>
        </is>
      </c>
      <c r="G175" s="11" t="inlineStr">
        <is>
          <t>25Q2 / 25Q3 / 25Q4 / 26Q1 / 26Q2</t>
        </is>
      </c>
      <c r="H175" s="12" t="n">
        <v>363.153</v>
      </c>
      <c r="I175" s="12" t="n">
        <v>410.427</v>
      </c>
      <c r="J175" s="12" t="n">
        <v>343.321</v>
      </c>
      <c r="K175" s="12" t="n">
        <v>282.9</v>
      </c>
      <c r="L175" s="12" t="n">
        <v>291.854</v>
      </c>
      <c r="M175" s="13">
        <f>IF(OR(N(H175)=0,L175=""),"",L175/H175-1)</f>
        <v>-0.19633322594058156</v>
      </c>
      <c r="N175" s="14" t="n">
        <v>67.446</v>
      </c>
      <c r="O175" s="14" t="n">
        <v>21.798</v>
      </c>
      <c r="P175" s="14" t="n">
        <v>-25.816</v>
      </c>
      <c r="Q175" s="14" t="n">
        <v>52.477</v>
      </c>
      <c r="R175" s="13">
        <f>IF(OR(N(L175)=0,Q175=""),"",Q175/L175)</f>
        <v>0.1798056562527839</v>
      </c>
      <c r="S175" s="14" t="n">
        <v>175.014</v>
      </c>
      <c r="T175" s="13">
        <f>IF(OR(N(L175)=0,S175=""),"",S175/L175)</f>
        <v>0.5996628451211908</v>
      </c>
      <c r="U175" s="14" t="n">
        <v>36.079</v>
      </c>
      <c r="V175" s="13">
        <f>IF(OR(N(L175)=0,U175=""),"",U175/L175)</f>
        <v>0.12362002919267855</v>
      </c>
      <c r="W175" s="14" t="n">
        <v>1472.985</v>
      </c>
      <c r="X175" s="14" t="n">
        <v>164.657</v>
      </c>
      <c r="Y175" s="13">
        <f>IF(OR(N(W175)=0,X175=""),"",X175/W175)</f>
        <v>0.11178457350210629</v>
      </c>
      <c r="Z175" s="11" t="str">
        <f>IF(AA175="A","四季持續盈利",IF(AA175="B","最新季為正/波動",IF(AA175="C","虧損收窄",IF(AA175="D","虧損擴大或轉虧","數據不足"))))</f>
        <v>最新季為正/波動</v>
      </c>
      <c r="AA175" s="9" t="str">
        <f>IF(COUNT(N175:Q175)&lt;4,"—",IF(MIN(N175:Q175)&gt;0,"A",IF(Q175&gt;0,"B",IF(Q175&gt;N175,"C","D"))))</f>
        <v>B</v>
      </c>
      <c r="AB175" s="9" t="inlineStr">
        <is>
          <t>2026-06-30</t>
        </is>
      </c>
    </row>
    <row r="176" ht="15" customHeight="1">
      <c r="A176" s="9" t="n">
        <v>175</v>
      </c>
      <c r="B176" s="10" t="inlineStr">
        <is>
          <t>EOG</t>
        </is>
      </c>
      <c r="C176" s="11" t="inlineStr">
        <is>
          <t>頁岩E&amp;P勘探生產</t>
        </is>
      </c>
      <c r="D176" s="11" t="inlineStr">
        <is>
          <t>EOG Resources, Inc.</t>
        </is>
      </c>
      <c r="E176" s="11" t="inlineStr">
        <is>
          <t>Oil &amp; Gas E&amp;P</t>
        </is>
      </c>
      <c r="F176" s="9" t="inlineStr">
        <is>
          <t>USD</t>
        </is>
      </c>
      <c r="G176" s="11" t="inlineStr">
        <is>
          <t>25Q2 / 25Q3 / 25Q4 / 26Q1 / 26Q2</t>
        </is>
      </c>
      <c r="H176" s="12" t="n">
        <v>5355</v>
      </c>
      <c r="I176" s="12" t="n">
        <v>5732</v>
      </c>
      <c r="J176" s="12" t="n">
        <v>5653</v>
      </c>
      <c r="K176" s="12" t="n">
        <v>6758</v>
      </c>
      <c r="L176" s="12" t="n"/>
      <c r="M176" s="13" t="str">
        <f>IF(OR(N(H176)=0,L176=""),"",L176/H176-1)</f>
        <v/>
      </c>
      <c r="N176" s="14" t="n">
        <v>1809</v>
      </c>
      <c r="O176" s="14" t="n">
        <v>1667</v>
      </c>
      <c r="P176" s="14" t="n">
        <v>2493</v>
      </c>
      <c r="Q176" s="14" t="n"/>
      <c r="R176" s="13" t="str">
        <f>IF(OR(N(L176)=0,Q176=""),"",Q176/L176)</f>
        <v/>
      </c>
      <c r="S176" s="14" t="n"/>
      <c r="T176" s="13" t="str">
        <f>IF(OR(N(L176)=0,S176=""),"",S176/L176)</f>
        <v/>
      </c>
      <c r="U176" s="14" t="n"/>
      <c r="V176" s="13" t="str">
        <f>IF(OR(N(L176)=0,U176=""),"",U176/L176)</f>
        <v/>
      </c>
      <c r="W176" s="14" t="n">
        <v>22582</v>
      </c>
      <c r="X176" s="14" t="n">
        <v>7250</v>
      </c>
      <c r="Y176" s="13">
        <f>IF(OR(N(W176)=0,X176=""),"",X176/W176)</f>
        <v>0.32105216544150206</v>
      </c>
      <c r="Z176" s="11" t="str">
        <f>IF(AA176="A","四季持續盈利",IF(AA176="B","最新季為正/波動",IF(AA176="C","虧損收窄",IF(AA176="D","虧損擴大或轉虧","數據不足"))))</f>
        <v>數據不足</v>
      </c>
      <c r="AA176" s="9" t="str">
        <f>IF(COUNT(N176:Q176)&lt;4,"—",IF(MIN(N176:Q176)&gt;0,"A",IF(Q176&gt;0,"B",IF(Q176&gt;N176,"C","D"))))</f>
        <v>—</v>
      </c>
      <c r="AB176" s="9" t="inlineStr">
        <is>
          <t>2026-06-30</t>
        </is>
      </c>
    </row>
    <row r="177" ht="15" customHeight="1">
      <c r="A177" s="9" t="n">
        <v>176</v>
      </c>
      <c r="B177" s="10" t="inlineStr">
        <is>
          <t>EPAM</t>
        </is>
      </c>
      <c r="C177" s="11" t="inlineStr">
        <is>
          <t>IT服務與系統整合</t>
        </is>
      </c>
      <c r="D177" s="11" t="inlineStr">
        <is>
          <t>EPAM Systems, Inc.</t>
        </is>
      </c>
      <c r="E177" s="11" t="inlineStr">
        <is>
          <t>Information Technology Services</t>
        </is>
      </c>
      <c r="F177" s="9" t="inlineStr">
        <is>
          <t>USD</t>
        </is>
      </c>
      <c r="G177" s="11" t="inlineStr">
        <is>
          <t>25Q2 / 25Q3 / 25Q4 / 26Q1 / 26Q2</t>
        </is>
      </c>
      <c r="H177" s="12" t="n">
        <v>1353.443</v>
      </c>
      <c r="I177" s="12" t="n">
        <v>1394.373</v>
      </c>
      <c r="J177" s="12" t="n">
        <v>1407.548</v>
      </c>
      <c r="K177" s="12" t="n">
        <v>1400.061</v>
      </c>
      <c r="L177" s="12" t="n">
        <v>1414.767</v>
      </c>
      <c r="M177" s="13">
        <f>IF(OR(N(H177)=0,L177=""),"",L177/H177-1)</f>
        <v>0.04530962885027301</v>
      </c>
      <c r="N177" s="14" t="n">
        <v>144.943</v>
      </c>
      <c r="O177" s="14" t="n">
        <v>149.254</v>
      </c>
      <c r="P177" s="14" t="n">
        <v>116.768</v>
      </c>
      <c r="Q177" s="14" t="n">
        <v>152.222</v>
      </c>
      <c r="R177" s="13">
        <f>IF(OR(N(L177)=0,Q177=""),"",Q177/L177)</f>
        <v>0.10759510223238172</v>
      </c>
      <c r="S177" s="14" t="n">
        <v>429.568</v>
      </c>
      <c r="T177" s="13">
        <f>IF(OR(N(L177)=0,S177=""),"",S177/L177)</f>
        <v>0.30363162273363736</v>
      </c>
      <c r="U177" s="14" t="n">
        <v>102.979</v>
      </c>
      <c r="V177" s="13">
        <f>IF(OR(N(L177)=0,U177=""),"",U177/L177)</f>
        <v>0.07278866414045564</v>
      </c>
      <c r="W177" s="14" t="n">
        <v>5457.056</v>
      </c>
      <c r="X177" s="14" t="n">
        <v>520.003</v>
      </c>
      <c r="Y177" s="13">
        <f>IF(OR(N(W177)=0,X177=""),"",X177/W177)</f>
        <v>0.09529002451138491</v>
      </c>
      <c r="Z177" s="11" t="str">
        <f>IF(AA177="A","四季持續盈利",IF(AA177="B","最新季為正/波動",IF(AA177="C","虧損收窄",IF(AA177="D","虧損擴大或轉虧","數據不足"))))</f>
        <v>四季持續盈利</v>
      </c>
      <c r="AA177" s="9" t="str">
        <f>IF(COUNT(N177:Q177)&lt;4,"—",IF(MIN(N177:Q177)&gt;0,"A",IF(Q177&gt;0,"B",IF(Q177&gt;N177,"C","D"))))</f>
        <v>A</v>
      </c>
      <c r="AB177" s="9" t="inlineStr">
        <is>
          <t>2026-06-30</t>
        </is>
      </c>
    </row>
    <row r="178" ht="15" customHeight="1">
      <c r="A178" s="9" t="n">
        <v>177</v>
      </c>
      <c r="B178" s="10" t="inlineStr">
        <is>
          <t>EPD</t>
        </is>
      </c>
      <c r="C178" s="11" t="inlineStr">
        <is>
          <t>中游與管道</t>
        </is>
      </c>
      <c r="D178" s="11" t="inlineStr">
        <is>
          <t>Enterprise Products Partners L.P.</t>
        </is>
      </c>
      <c r="E178" s="11" t="inlineStr">
        <is>
          <t>Oil &amp; Gas Midstream</t>
        </is>
      </c>
      <c r="F178" s="9" t="inlineStr">
        <is>
          <t>USD</t>
        </is>
      </c>
      <c r="G178" s="11" t="inlineStr">
        <is>
          <t>25Q2 / 25Q3 / 25Q4 / 26Q1 / 26Q2</t>
        </is>
      </c>
      <c r="H178" s="12" t="n">
        <v>11363</v>
      </c>
      <c r="I178" s="12" t="n">
        <v>12023</v>
      </c>
      <c r="J178" s="12" t="n">
        <v>13793</v>
      </c>
      <c r="K178" s="12" t="n">
        <v>14386</v>
      </c>
      <c r="L178" s="12" t="n">
        <v>18269</v>
      </c>
      <c r="M178" s="13">
        <f>IF(OR(N(H178)=0,L178=""),"",L178/H178-1)</f>
        <v>0.6077620346739416</v>
      </c>
      <c r="N178" s="14" t="n">
        <v>1596</v>
      </c>
      <c r="O178" s="14" t="n">
        <v>1939</v>
      </c>
      <c r="P178" s="14" t="n">
        <v>1819</v>
      </c>
      <c r="Q178" s="14" t="n">
        <v>2140</v>
      </c>
      <c r="R178" s="13">
        <f>IF(OR(N(L178)=0,Q178=""),"",Q178/L178)</f>
        <v>0.11713832174722207</v>
      </c>
      <c r="S178" s="14" t="n">
        <v>2204</v>
      </c>
      <c r="T178" s="13">
        <f>IF(OR(N(L178)=0,S178=""),"",S178/L178)</f>
        <v>0.12064152389293338</v>
      </c>
      <c r="U178" s="14" t="n">
        <v>1841</v>
      </c>
      <c r="V178" s="13">
        <f>IF(OR(N(L178)=0,U178=""),"",U178/L178)</f>
        <v>0.10077179922272703</v>
      </c>
      <c r="W178" s="14" t="n">
        <v>52596</v>
      </c>
      <c r="X178" s="14" t="n">
        <v>6905</v>
      </c>
      <c r="Y178" s="13">
        <f>IF(OR(N(W178)=0,X178=""),"",X178/W178)</f>
        <v>0.13128374781352195</v>
      </c>
      <c r="Z178" s="11" t="str">
        <f>IF(AA178="A","四季持續盈利",IF(AA178="B","最新季為正/波動",IF(AA178="C","虧損收窄",IF(AA178="D","虧損擴大或轉虧","數據不足"))))</f>
        <v>四季持續盈利</v>
      </c>
      <c r="AA178" s="9" t="str">
        <f>IF(COUNT(N178:Q178)&lt;4,"—",IF(MIN(N178:Q178)&gt;0,"A",IF(Q178&gt;0,"B",IF(Q178&gt;N178,"C","D"))))</f>
        <v>A</v>
      </c>
      <c r="AB178" s="9" t="inlineStr">
        <is>
          <t>2026-06-30</t>
        </is>
      </c>
    </row>
    <row r="179" ht="15" customHeight="1">
      <c r="A179" s="9" t="n">
        <v>178</v>
      </c>
      <c r="B179" s="10" t="inlineStr">
        <is>
          <t>EQH</t>
        </is>
      </c>
      <c r="C179" s="11" t="inlineStr">
        <is>
          <t>壽險與年金</t>
        </is>
      </c>
      <c r="D179" s="11" t="inlineStr">
        <is>
          <t>Equitable Holdings, Inc.</t>
        </is>
      </c>
      <c r="E179" s="11" t="inlineStr">
        <is>
          <t>Asset Management</t>
        </is>
      </c>
      <c r="F179" s="9" t="inlineStr">
        <is>
          <t>USD</t>
        </is>
      </c>
      <c r="G179" s="11" t="inlineStr">
        <is>
          <t>25Q2 / 25Q3 / 25Q4 / 26Q1 / 26Q2</t>
        </is>
      </c>
      <c r="H179" s="12" t="n">
        <v>2362</v>
      </c>
      <c r="I179" s="12" t="n">
        <v>1450</v>
      </c>
      <c r="J179" s="12" t="n">
        <v>3277</v>
      </c>
      <c r="K179" s="12" t="n">
        <v>4230</v>
      </c>
      <c r="L179" s="12" t="n">
        <v>1658</v>
      </c>
      <c r="M179" s="13">
        <f>IF(OR(N(H179)=0,L179=""),"",L179/H179-1)</f>
        <v>-0.2980524978831499</v>
      </c>
      <c r="N179" s="14" t="n">
        <v>-1287</v>
      </c>
      <c r="O179" s="14" t="n">
        <v>391</v>
      </c>
      <c r="P179" s="14" t="n">
        <v>949</v>
      </c>
      <c r="Q179" s="14" t="n">
        <v>-437</v>
      </c>
      <c r="R179" s="13">
        <f>IF(OR(N(L179)=0,Q179=""),"",Q179/L179)</f>
        <v>-0.2635705669481303</v>
      </c>
      <c r="S179" s="14" t="n"/>
      <c r="T179" s="13" t="str">
        <f>IF(OR(N(L179)=0,S179=""),"",S179/L179)</f>
        <v/>
      </c>
      <c r="U179" s="14" t="n">
        <v>-453</v>
      </c>
      <c r="V179" s="13">
        <f>IF(OR(N(L179)=0,U179=""),"",U179/L179)</f>
        <v>-0.2732207478890229</v>
      </c>
      <c r="W179" s="14" t="n">
        <v>11665</v>
      </c>
      <c r="X179" s="14" t="n">
        <v>-969</v>
      </c>
      <c r="Y179" s="13">
        <f>IF(OR(N(W179)=0,X179=""),"",X179/W179)</f>
        <v>-0.08306900985855122</v>
      </c>
      <c r="Z179" s="11" t="str">
        <f>IF(AA179="A","四季持續盈利",IF(AA179="B","最新季為正/波動",IF(AA179="C","虧損收窄",IF(AA179="D","虧損擴大或轉虧","數據不足"))))</f>
        <v>虧損收窄</v>
      </c>
      <c r="AA179" s="9" t="str">
        <f>IF(COUNT(N179:Q179)&lt;4,"—",IF(MIN(N179:Q179)&gt;0,"A",IF(Q179&gt;0,"B",IF(Q179&gt;N179,"C","D"))))</f>
        <v>C</v>
      </c>
      <c r="AB179" s="9" t="inlineStr">
        <is>
          <t>2026-06-30</t>
        </is>
      </c>
    </row>
    <row r="180" ht="15" customHeight="1">
      <c r="A180" s="9" t="n">
        <v>179</v>
      </c>
      <c r="B180" s="10" t="inlineStr">
        <is>
          <t>EQIX</t>
        </is>
      </c>
      <c r="C180" s="11" t="inlineStr">
        <is>
          <t>資料中心REIT</t>
        </is>
      </c>
      <c r="D180" s="11" t="inlineStr">
        <is>
          <t>Equinix, Inc.</t>
        </is>
      </c>
      <c r="E180" s="11" t="inlineStr">
        <is>
          <t>G2 數據中心</t>
        </is>
      </c>
      <c r="F180" s="9" t="inlineStr">
        <is>
          <t>USD</t>
        </is>
      </c>
      <c r="G180" s="11" t="inlineStr">
        <is>
          <t>25Q2 / 25Q3 / 25Q4 / 26Q1 / 26Q2</t>
        </is>
      </c>
      <c r="H180" s="12" t="n">
        <v>2256</v>
      </c>
      <c r="I180" s="12" t="n">
        <v>2316</v>
      </c>
      <c r="J180" s="12" t="n">
        <v>2420</v>
      </c>
      <c r="K180" s="12" t="n">
        <v>2444</v>
      </c>
      <c r="L180" s="12" t="n">
        <v>2625</v>
      </c>
      <c r="M180" s="13">
        <f>IF(OR(N(H180)=0,L180=""),"",L180/H180-1)</f>
        <v>0.16356382978723394</v>
      </c>
      <c r="N180" s="14" t="n">
        <v>485</v>
      </c>
      <c r="O180" s="14" t="n">
        <v>507</v>
      </c>
      <c r="P180" s="14" t="n">
        <v>573</v>
      </c>
      <c r="Q180" s="14" t="n">
        <v>694</v>
      </c>
      <c r="R180" s="13">
        <f>IF(OR(N(L180)=0,Q180=""),"",Q180/L180)</f>
        <v>0.2643809523809524</v>
      </c>
      <c r="S180" s="14" t="n">
        <v>1395</v>
      </c>
      <c r="T180" s="13">
        <f>IF(OR(N(L180)=0,S180=""),"",S180/L180)</f>
        <v>0.5314285714285715</v>
      </c>
      <c r="U180" s="14" t="n">
        <v>479</v>
      </c>
      <c r="V180" s="13">
        <f>IF(OR(N(L180)=0,U180=""),"",U180/L180)</f>
        <v>0.1824761904761905</v>
      </c>
      <c r="W180" s="14" t="n">
        <v>9217</v>
      </c>
      <c r="X180" s="14" t="n">
        <v>1966</v>
      </c>
      <c r="Y180" s="13">
        <f>IF(OR(N(W180)=0,X180=""),"",X180/W180)</f>
        <v>0.2133015080828903</v>
      </c>
      <c r="Z180" s="11" t="str">
        <f>IF(AA180="A","四季持續盈利",IF(AA180="B","最新季為正/波動",IF(AA180="C","虧損收窄",IF(AA180="D","虧損擴大或轉虧","數據不足"))))</f>
        <v>四季持續盈利</v>
      </c>
      <c r="AA180" s="9" t="str">
        <f>IF(COUNT(N180:Q180)&lt;4,"—",IF(MIN(N180:Q180)&gt;0,"A",IF(Q180&gt;0,"B",IF(Q180&gt;N180,"C","D"))))</f>
        <v>A</v>
      </c>
      <c r="AB180" s="9" t="inlineStr">
        <is>
          <t>2026-06-30</t>
        </is>
      </c>
    </row>
    <row r="181" ht="15" customHeight="1">
      <c r="A181" s="9" t="n">
        <v>180</v>
      </c>
      <c r="B181" s="10" t="inlineStr">
        <is>
          <t>ET</t>
        </is>
      </c>
      <c r="C181" s="11" t="inlineStr">
        <is>
          <t>中游與管道</t>
        </is>
      </c>
      <c r="D181" s="11" t="inlineStr">
        <is>
          <t>Energy Transfer LP</t>
        </is>
      </c>
      <c r="E181" s="11" t="inlineStr">
        <is>
          <t>Oil &amp; Gas Midstream</t>
        </is>
      </c>
      <c r="F181" s="9" t="inlineStr">
        <is>
          <t>USD</t>
        </is>
      </c>
      <c r="G181" s="11" t="inlineStr">
        <is>
          <t>25Q2 / 25Q3 / 25Q4 / 26Q1 / 26Q2</t>
        </is>
      </c>
      <c r="H181" s="12" t="n">
        <v>19242</v>
      </c>
      <c r="I181" s="12" t="n">
        <v>19954</v>
      </c>
      <c r="J181" s="12" t="n">
        <v>25320</v>
      </c>
      <c r="K181" s="12" t="n">
        <v>27771</v>
      </c>
      <c r="L181" s="12" t="n">
        <v>34334</v>
      </c>
      <c r="M181" s="13">
        <f>IF(OR(N(H181)=0,L181=""),"",L181/H181-1)</f>
        <v>0.7843259536430724</v>
      </c>
      <c r="N181" s="14" t="n">
        <v>2152</v>
      </c>
      <c r="O181" s="14" t="n">
        <v>2353</v>
      </c>
      <c r="P181" s="14" t="n">
        <v>2983</v>
      </c>
      <c r="Q181" s="14" t="n">
        <v>3574</v>
      </c>
      <c r="R181" s="13">
        <f>IF(OR(N(L181)=0,Q181=""),"",Q181/L181)</f>
        <v>0.10409506611522107</v>
      </c>
      <c r="S181" s="14" t="n">
        <v>5823</v>
      </c>
      <c r="T181" s="13">
        <f>IF(OR(N(L181)=0,S181=""),"",S181/L181)</f>
        <v>0.16959864856993068</v>
      </c>
      <c r="U181" s="14" t="n">
        <v>2088</v>
      </c>
      <c r="V181" s="13">
        <f>IF(OR(N(L181)=0,U181=""),"",U181/L181)</f>
        <v>0.06081435311935691</v>
      </c>
      <c r="W181" s="14" t="n">
        <v>85536</v>
      </c>
      <c r="X181" s="14" t="n">
        <v>9312</v>
      </c>
      <c r="Y181" s="13">
        <f>IF(OR(N(W181)=0,X181=""),"",X181/W181)</f>
        <v>0.10886644219977554</v>
      </c>
      <c r="Z181" s="11" t="str">
        <f>IF(AA181="A","四季持續盈利",IF(AA181="B","最新季為正/波動",IF(AA181="C","虧損收窄",IF(AA181="D","虧損擴大或轉虧","數據不足"))))</f>
        <v>四季持續盈利</v>
      </c>
      <c r="AA181" s="9" t="str">
        <f>IF(COUNT(N181:Q181)&lt;4,"—",IF(MIN(N181:Q181)&gt;0,"A",IF(Q181&gt;0,"B",IF(Q181&gt;N181,"C","D"))))</f>
        <v>A</v>
      </c>
      <c r="AB181" s="9" t="inlineStr">
        <is>
          <t>2026-06-30</t>
        </is>
      </c>
    </row>
    <row r="182" ht="15" customHeight="1">
      <c r="A182" s="9" t="n">
        <v>181</v>
      </c>
      <c r="B182" s="10" t="inlineStr">
        <is>
          <t>ETN</t>
        </is>
      </c>
      <c r="C182" s="11" t="inlineStr">
        <is>
          <t>電氣設備與電網</t>
        </is>
      </c>
      <c r="D182" s="11" t="inlineStr">
        <is>
          <t>Eaton Corporation plc</t>
        </is>
      </c>
      <c r="E182" s="11" t="inlineStr">
        <is>
          <t>F1 電源</t>
        </is>
      </c>
      <c r="F182" s="9" t="inlineStr">
        <is>
          <t>USD</t>
        </is>
      </c>
      <c r="G182" s="11" t="inlineStr">
        <is>
          <t>25Q2 / 25Q3 / 25Q4 / 26Q1 / 26Q2</t>
        </is>
      </c>
      <c r="H182" s="12" t="n">
        <v>7028</v>
      </c>
      <c r="I182" s="12" t="n">
        <v>6988</v>
      </c>
      <c r="J182" s="12" t="n">
        <v>7055</v>
      </c>
      <c r="K182" s="12" t="n">
        <v>7451</v>
      </c>
      <c r="L182" s="12" t="n"/>
      <c r="M182" s="13" t="str">
        <f>IF(OR(N(H182)=0,L182=""),"",L182/H182-1)</f>
        <v/>
      </c>
      <c r="N182" s="14" t="n">
        <v>1367</v>
      </c>
      <c r="O182" s="14" t="n">
        <v>1386</v>
      </c>
      <c r="P182" s="14" t="n">
        <v>1172</v>
      </c>
      <c r="Q182" s="14" t="n"/>
      <c r="R182" s="13" t="str">
        <f>IF(OR(N(L182)=0,Q182=""),"",Q182/L182)</f>
        <v/>
      </c>
      <c r="S182" s="14" t="n"/>
      <c r="T182" s="13" t="str">
        <f>IF(OR(N(L182)=0,S182=""),"",S182/L182)</f>
        <v/>
      </c>
      <c r="U182" s="14" t="n"/>
      <c r="V182" s="13" t="str">
        <f>IF(OR(N(L182)=0,U182=""),"",U182/L182)</f>
        <v/>
      </c>
      <c r="W182" s="14" t="n">
        <v>27448</v>
      </c>
      <c r="X182" s="14" t="n">
        <v>5209</v>
      </c>
      <c r="Y182" s="13">
        <f>IF(OR(N(W182)=0,X182=""),"",X182/W182)</f>
        <v>0.18977703293500436</v>
      </c>
      <c r="Z182" s="11" t="str">
        <f>IF(AA182="A","四季持續盈利",IF(AA182="B","最新季為正/波動",IF(AA182="C","虧損收窄",IF(AA182="D","虧損擴大或轉虧","數據不足"))))</f>
        <v>數據不足</v>
      </c>
      <c r="AA182" s="9" t="str">
        <f>IF(COUNT(N182:Q182)&lt;4,"—",IF(MIN(N182:Q182)&gt;0,"A",IF(Q182&gt;0,"B",IF(Q182&gt;N182,"C","D"))))</f>
        <v>—</v>
      </c>
      <c r="AB182" s="9" t="inlineStr">
        <is>
          <t>2026-06-30</t>
        </is>
      </c>
    </row>
    <row r="183" ht="15" customHeight="1">
      <c r="A183" s="9" t="n">
        <v>182</v>
      </c>
      <c r="B183" s="10" t="inlineStr">
        <is>
          <t>EVR</t>
        </is>
      </c>
      <c r="C183" s="11" t="inlineStr">
        <is>
          <t>投行與資本巿場</t>
        </is>
      </c>
      <c r="D183" s="11" t="inlineStr">
        <is>
          <t>Evercore Inc.</t>
        </is>
      </c>
      <c r="E183" s="11" t="inlineStr">
        <is>
          <t>Capital Markets</t>
        </is>
      </c>
      <c r="F183" s="9" t="inlineStr">
        <is>
          <t>USD</t>
        </is>
      </c>
      <c r="G183" s="11" t="inlineStr">
        <is>
          <t>25Q2 / 25Q3 / 25Q4 / 26Q1 / 26Q2</t>
        </is>
      </c>
      <c r="H183" s="12" t="n">
        <v>833.83</v>
      </c>
      <c r="I183" s="12" t="n">
        <v>1038.884</v>
      </c>
      <c r="J183" s="12" t="n">
        <v>1288.277</v>
      </c>
      <c r="K183" s="12" t="n">
        <v>1391.578</v>
      </c>
      <c r="L183" s="12" t="n">
        <v>990.199</v>
      </c>
      <c r="M183" s="13">
        <f>IF(OR(N(H183)=0,L183=""),"",L183/H183-1)</f>
        <v>0.18753103150522277</v>
      </c>
      <c r="N183" s="14" t="n"/>
      <c r="O183" s="14" t="n"/>
      <c r="P183" s="14" t="n"/>
      <c r="Q183" s="14" t="n"/>
      <c r="R183" s="13" t="str">
        <f>IF(OR(N(L183)=0,Q183=""),"",Q183/L183)</f>
        <v/>
      </c>
      <c r="S183" s="14" t="n"/>
      <c r="T183" s="13" t="str">
        <f>IF(OR(N(L183)=0,S183=""),"",S183/L183)</f>
        <v/>
      </c>
      <c r="U183" s="14" t="n">
        <v>95.277</v>
      </c>
      <c r="V183" s="13">
        <f>IF(OR(N(L183)=0,U183=""),"",U183/L183)</f>
        <v>0.0962200527368741</v>
      </c>
      <c r="W183" s="14" t="n">
        <v>3855.82</v>
      </c>
      <c r="X183" s="14" t="n"/>
      <c r="Y183" s="13" t="str">
        <f>IF(OR(N(W183)=0,X183=""),"",X183/W183)</f>
        <v/>
      </c>
      <c r="Z183" s="11" t="str">
        <f>IF(AA183="A","四季持續盈利",IF(AA183="B","最新季為正/波動",IF(AA183="C","虧損收窄",IF(AA183="D","虧損擴大或轉虧","數據不足"))))</f>
        <v>數據不足</v>
      </c>
      <c r="AA183" s="9" t="str">
        <f>IF(COUNT(N183:Q183)&lt;4,"—",IF(MIN(N183:Q183)&gt;0,"A",IF(Q183&gt;0,"B",IF(Q183&gt;N183,"C","D"))))</f>
        <v>—</v>
      </c>
      <c r="AB183" s="9" t="inlineStr">
        <is>
          <t>2026-06-30</t>
        </is>
      </c>
    </row>
    <row r="184" ht="15" customHeight="1">
      <c r="A184" s="9" t="n">
        <v>183</v>
      </c>
      <c r="B184" s="10" t="inlineStr">
        <is>
          <t>EXR</t>
        </is>
      </c>
      <c r="C184" s="11" t="inlineStr">
        <is>
          <t>特殊型REIT（自存倉/賭場/廣告牌）</t>
        </is>
      </c>
      <c r="D184" s="11" t="inlineStr">
        <is>
          <t>Extra Space Storage Inc.</t>
        </is>
      </c>
      <c r="E184" s="11" t="inlineStr">
        <is>
          <t>REIT - Industrial</t>
        </is>
      </c>
      <c r="F184" s="9" t="inlineStr">
        <is>
          <t>USD</t>
        </is>
      </c>
      <c r="G184" s="11" t="inlineStr">
        <is>
          <t>25Q2 / 25Q3 / 25Q4 / 26Q1 / 26Q2</t>
        </is>
      </c>
      <c r="H184" s="12" t="n">
        <v>841.6180000000001</v>
      </c>
      <c r="I184" s="12" t="n">
        <v>858.46</v>
      </c>
      <c r="J184" s="12" t="n">
        <v>857.467</v>
      </c>
      <c r="K184" s="12" t="n">
        <v>856.027</v>
      </c>
      <c r="L184" s="12" t="n"/>
      <c r="M184" s="13" t="str">
        <f>IF(OR(N(H184)=0,L184=""),"",L184/H184-1)</f>
        <v/>
      </c>
      <c r="N184" s="14" t="n">
        <v>384.248</v>
      </c>
      <c r="O184" s="14" t="n">
        <v>376.95</v>
      </c>
      <c r="P184" s="14" t="n">
        <v>367.553</v>
      </c>
      <c r="Q184" s="14" t="n"/>
      <c r="R184" s="13" t="str">
        <f>IF(OR(N(L184)=0,Q184=""),"",Q184/L184)</f>
        <v/>
      </c>
      <c r="S184" s="14" t="n"/>
      <c r="T184" s="13" t="str">
        <f>IF(OR(N(L184)=0,S184=""),"",S184/L184)</f>
        <v/>
      </c>
      <c r="U184" s="14" t="n"/>
      <c r="V184" s="13" t="str">
        <f>IF(OR(N(L184)=0,U184=""),"",U184/L184)</f>
        <v/>
      </c>
      <c r="W184" s="14" t="n">
        <v>3377.542</v>
      </c>
      <c r="X184" s="14" t="n">
        <v>1489.001</v>
      </c>
      <c r="Y184" s="13">
        <f>IF(OR(N(W184)=0,X184=""),"",X184/W184)</f>
        <v>0.44085343720374165</v>
      </c>
      <c r="Z184" s="11" t="str">
        <f>IF(AA184="A","四季持續盈利",IF(AA184="B","最新季為正/波動",IF(AA184="C","虧損收窄",IF(AA184="D","虧損擴大或轉虧","數據不足"))))</f>
        <v>數據不足</v>
      </c>
      <c r="AA184" s="9" t="str">
        <f>IF(COUNT(N184:Q184)&lt;4,"—",IF(MIN(N184:Q184)&gt;0,"A",IF(Q184&gt;0,"B",IF(Q184&gt;N184,"C","D"))))</f>
        <v>—</v>
      </c>
      <c r="AB184" s="9" t="inlineStr">
        <is>
          <t>2026-06-30</t>
        </is>
      </c>
    </row>
    <row r="185" ht="15" customHeight="1">
      <c r="A185" s="9" t="n">
        <v>184</v>
      </c>
      <c r="B185" s="10" t="inlineStr">
        <is>
          <t>F</t>
        </is>
      </c>
      <c r="C185" s="11" t="inlineStr">
        <is>
          <t>傳統汽車與零部件</t>
        </is>
      </c>
      <c r="D185" s="11" t="inlineStr">
        <is>
          <t>Ford Motor Company</t>
        </is>
      </c>
      <c r="E185" s="11" t="inlineStr">
        <is>
          <t>Auto Manufacturers</t>
        </is>
      </c>
      <c r="F185" s="9" t="inlineStr">
        <is>
          <t>USD</t>
        </is>
      </c>
      <c r="G185" s="11" t="inlineStr">
        <is>
          <t>25Q2 / 25Q3 / 25Q4 / 26Q1 / 26Q2</t>
        </is>
      </c>
      <c r="H185" s="12" t="n">
        <v>50184</v>
      </c>
      <c r="I185" s="12" t="n">
        <v>50534</v>
      </c>
      <c r="J185" s="12" t="n">
        <v>45890</v>
      </c>
      <c r="K185" s="12" t="n">
        <v>43253</v>
      </c>
      <c r="L185" s="12" t="n">
        <v>48296</v>
      </c>
      <c r="M185" s="13">
        <f>IF(OR(N(H185)=0,L185=""),"",L185/H185-1)</f>
        <v>-0.03762155268611511</v>
      </c>
      <c r="N185" s="14" t="n">
        <v>1558</v>
      </c>
      <c r="O185" s="14" t="n">
        <v>-11557</v>
      </c>
      <c r="P185" s="14" t="n">
        <v>2329</v>
      </c>
      <c r="Q185" s="14" t="n">
        <v>638</v>
      </c>
      <c r="R185" s="13">
        <f>IF(OR(N(L185)=0,Q185=""),"",Q185/L185)</f>
        <v>0.013210203743581249</v>
      </c>
      <c r="S185" s="14" t="n">
        <v>3322</v>
      </c>
      <c r="T185" s="13">
        <f>IF(OR(N(L185)=0,S185=""),"",S185/L185)</f>
        <v>0.0687841643200265</v>
      </c>
      <c r="U185" s="14" t="n">
        <v>-1327</v>
      </c>
      <c r="V185" s="13">
        <f>IF(OR(N(L185)=0,U185=""),"",U185/L185)</f>
        <v>-0.027476395560708963</v>
      </c>
      <c r="W185" s="14" t="n">
        <v>187267</v>
      </c>
      <c r="X185" s="14" t="n">
        <v>-9169</v>
      </c>
      <c r="Y185" s="13">
        <f>IF(OR(N(W185)=0,X185=""),"",X185/W185)</f>
        <v>-0.04896217699861695</v>
      </c>
      <c r="Z185" s="11" t="str">
        <f>IF(AA185="A","四季持續盈利",IF(AA185="B","最新季為正/波動",IF(AA185="C","虧損收窄",IF(AA185="D","虧損擴大或轉虧","數據不足"))))</f>
        <v>最新季為正/波動</v>
      </c>
      <c r="AA185" s="9" t="str">
        <f>IF(COUNT(N185:Q185)&lt;4,"—",IF(MIN(N185:Q185)&gt;0,"A",IF(Q185&gt;0,"B",IF(Q185&gt;N185,"C","D"))))</f>
        <v>B</v>
      </c>
      <c r="AB185" s="9" t="inlineStr">
        <is>
          <t>2026-06-30</t>
        </is>
      </c>
    </row>
    <row r="186" ht="15" customHeight="1">
      <c r="A186" s="9" t="n">
        <v>185</v>
      </c>
      <c r="B186" s="10" t="inlineStr">
        <is>
          <t>FANG</t>
        </is>
      </c>
      <c r="C186" s="11" t="inlineStr">
        <is>
          <t>頁岩E&amp;P勘探生產</t>
        </is>
      </c>
      <c r="D186" s="11" t="inlineStr">
        <is>
          <t>Diamondback Energy, Inc.</t>
        </is>
      </c>
      <c r="E186" s="11" t="inlineStr">
        <is>
          <t>Oil &amp; Gas E&amp;P</t>
        </is>
      </c>
      <c r="F186" s="9" t="inlineStr">
        <is>
          <t>USD</t>
        </is>
      </c>
      <c r="G186" s="11" t="inlineStr">
        <is>
          <t>25Q2 / 25Q3 / 25Q4 / 26Q1 / 26Q2</t>
        </is>
      </c>
      <c r="H186" s="12" t="n">
        <v>3651</v>
      </c>
      <c r="I186" s="12" t="n">
        <v>3906</v>
      </c>
      <c r="J186" s="12" t="n">
        <v>3341</v>
      </c>
      <c r="K186" s="12" t="n">
        <v>4210</v>
      </c>
      <c r="L186" s="12" t="n">
        <v>5525</v>
      </c>
      <c r="M186" s="13">
        <f>IF(OR(N(H186)=0,L186=""),"",L186/H186-1)</f>
        <v>0.5132840317721172</v>
      </c>
      <c r="N186" s="14" t="n">
        <v>1253</v>
      </c>
      <c r="O186" s="14" t="n">
        <v>776</v>
      </c>
      <c r="P186" s="14" t="n">
        <v>1516</v>
      </c>
      <c r="Q186" s="14" t="n">
        <v>2512</v>
      </c>
      <c r="R186" s="13">
        <f>IF(OR(N(L186)=0,Q186=""),"",Q186/L186)</f>
        <v>0.4546606334841629</v>
      </c>
      <c r="S186" s="14" t="n">
        <v>2564</v>
      </c>
      <c r="T186" s="13">
        <f>IF(OR(N(L186)=0,S186=""),"",S186/L186)</f>
        <v>0.46407239819004525</v>
      </c>
      <c r="U186" s="14" t="n">
        <v>1882</v>
      </c>
      <c r="V186" s="13">
        <f>IF(OR(N(L186)=0,U186=""),"",U186/L186)</f>
        <v>0.3406334841628959</v>
      </c>
      <c r="W186" s="14" t="n">
        <v>14929</v>
      </c>
      <c r="X186" s="14" t="n">
        <v>4918</v>
      </c>
      <c r="Y186" s="13">
        <f>IF(OR(N(W186)=0,X186=""),"",X186/W186)</f>
        <v>0.3294259494942729</v>
      </c>
      <c r="Z186" s="11" t="str">
        <f>IF(AA186="A","四季持續盈利",IF(AA186="B","最新季為正/波動",IF(AA186="C","虧損收窄",IF(AA186="D","虧損擴大或轉虧","數據不足"))))</f>
        <v>四季持續盈利</v>
      </c>
      <c r="AA186" s="9" t="str">
        <f>IF(COUNT(N186:Q186)&lt;4,"—",IF(MIN(N186:Q186)&gt;0,"A",IF(Q186&gt;0,"B",IF(Q186&gt;N186,"C","D"))))</f>
        <v>A</v>
      </c>
      <c r="AB186" s="9" t="inlineStr">
        <is>
          <t>2026-06-30</t>
        </is>
      </c>
    </row>
    <row r="187" ht="15" customHeight="1">
      <c r="A187" s="9" t="n">
        <v>186</v>
      </c>
      <c r="B187" s="10" t="inlineStr">
        <is>
          <t>FATE</t>
        </is>
      </c>
      <c r="C187" s="11" t="inlineStr">
        <is>
          <t>腫瘤與細胞治療</t>
        </is>
      </c>
      <c r="D187" s="11" t="inlineStr">
        <is>
          <t>Fate Therapeutics, Inc.</t>
        </is>
      </c>
      <c r="E187" s="11" t="inlineStr">
        <is>
          <t>Biotechnology</t>
        </is>
      </c>
      <c r="F187" s="9" t="inlineStr">
        <is>
          <t>USD</t>
        </is>
      </c>
      <c r="G187" s="11" t="inlineStr">
        <is>
          <t>25Q2 / 25Q3 / 25Q4 / 26Q1 / 26Q2</t>
        </is>
      </c>
      <c r="H187" s="12" t="n">
        <v>1.907</v>
      </c>
      <c r="I187" s="12" t="n">
        <v>1.741</v>
      </c>
      <c r="J187" s="12" t="n">
        <v>1.369</v>
      </c>
      <c r="K187" s="12" t="n">
        <v>1.299</v>
      </c>
      <c r="L187" s="12" t="n">
        <v>2.082</v>
      </c>
      <c r="M187" s="13">
        <f>IF(OR(N(H187)=0,L187=""),"",L187/H187-1)</f>
        <v>0.0917671735710539</v>
      </c>
      <c r="N187" s="14" t="n">
        <v>-34.735</v>
      </c>
      <c r="O187" s="14" t="n">
        <v>-34.721</v>
      </c>
      <c r="P187" s="14" t="n">
        <v>-33</v>
      </c>
      <c r="Q187" s="14" t="n">
        <v>-31.134</v>
      </c>
      <c r="R187" s="13">
        <f>IF(OR(N(L187)=0,Q187=""),"",Q187/L187)</f>
        <v>-14.953890489913546</v>
      </c>
      <c r="S187" s="14" t="n"/>
      <c r="T187" s="13" t="str">
        <f>IF(OR(N(L187)=0,S187=""),"",S187/L187)</f>
        <v/>
      </c>
      <c r="U187" s="14" t="n">
        <v>-30.159</v>
      </c>
      <c r="V187" s="13">
        <f>IF(OR(N(L187)=0,U187=""),"",U187/L187)</f>
        <v>-14.485590778097983</v>
      </c>
      <c r="W187" s="14" t="n">
        <v>6.646</v>
      </c>
      <c r="X187" s="14" t="n">
        <v>-147.704</v>
      </c>
      <c r="Y187" s="13">
        <f>IF(OR(N(W187)=0,X187=""),"",X187/W187)</f>
        <v>-22.22449593740596</v>
      </c>
      <c r="Z187" s="11" t="str">
        <f>IF(AA187="A","四季持續盈利",IF(AA187="B","最新季為正/波動",IF(AA187="C","虧損收窄",IF(AA187="D","虧損擴大或轉虧","數據不足"))))</f>
        <v>虧損收窄</v>
      </c>
      <c r="AA187" s="9" t="str">
        <f>IF(COUNT(N187:Q187)&lt;4,"—",IF(MIN(N187:Q187)&gt;0,"A",IF(Q187&gt;0,"B",IF(Q187&gt;N187,"C","D"))))</f>
        <v>C</v>
      </c>
      <c r="AB187" s="9" t="inlineStr">
        <is>
          <t>2026-06-30</t>
        </is>
      </c>
    </row>
    <row r="188" ht="15" customHeight="1">
      <c r="A188" s="9" t="n">
        <v>187</v>
      </c>
      <c r="B188" s="10" t="inlineStr">
        <is>
          <t>FCX</t>
        </is>
      </c>
      <c r="C188" s="11" t="inlineStr">
        <is>
          <t>銅與基本金屬</t>
        </is>
      </c>
      <c r="D188" s="11" t="inlineStr">
        <is>
          <t>Freeport-McMoRan Inc.</t>
        </is>
      </c>
      <c r="E188" s="11" t="inlineStr">
        <is>
          <t>Copper</t>
        </is>
      </c>
      <c r="F188" s="9" t="inlineStr">
        <is>
          <t>USD</t>
        </is>
      </c>
      <c r="G188" s="11" t="inlineStr">
        <is>
          <t>25Q2 / 25Q3 / 25Q4 / 26Q1 / 26Q2</t>
        </is>
      </c>
      <c r="H188" s="12" t="n">
        <v>7582</v>
      </c>
      <c r="I188" s="12" t="n">
        <v>6972</v>
      </c>
      <c r="J188" s="12" t="n">
        <v>5633</v>
      </c>
      <c r="K188" s="12" t="n">
        <v>6234</v>
      </c>
      <c r="L188" s="12" t="n">
        <v>7029</v>
      </c>
      <c r="M188" s="13">
        <f>IF(OR(N(H188)=0,L188=""),"",L188/H188-1)</f>
        <v>-0.07293590081772616</v>
      </c>
      <c r="N188" s="14" t="n">
        <v>1956</v>
      </c>
      <c r="O188" s="14" t="n">
        <v>811</v>
      </c>
      <c r="P188" s="14" t="n">
        <v>1438</v>
      </c>
      <c r="Q188" s="14" t="n">
        <v>1985</v>
      </c>
      <c r="R188" s="13">
        <f>IF(OR(N(L188)=0,Q188=""),"",Q188/L188)</f>
        <v>0.2824014795845782</v>
      </c>
      <c r="S188" s="14" t="n">
        <v>2186</v>
      </c>
      <c r="T188" s="13">
        <f>IF(OR(N(L188)=0,S188=""),"",S188/L188)</f>
        <v>0.3109972969127899</v>
      </c>
      <c r="U188" s="14" t="n">
        <v>984</v>
      </c>
      <c r="V188" s="13">
        <f>IF(OR(N(L188)=0,U188=""),"",U188/L188)</f>
        <v>0.1399914639351259</v>
      </c>
      <c r="W188" s="14" t="n">
        <v>25915</v>
      </c>
      <c r="X188" s="14" t="n">
        <v>6502</v>
      </c>
      <c r="Y188" s="13">
        <f>IF(OR(N(W188)=0,X188=""),"",X188/W188)</f>
        <v>0.2508971638047463</v>
      </c>
      <c r="Z188" s="11" t="str">
        <f>IF(AA188="A","四季持續盈利",IF(AA188="B","最新季為正/波動",IF(AA188="C","虧損收窄",IF(AA188="D","虧損擴大或轉虧","數據不足"))))</f>
        <v>四季持續盈利</v>
      </c>
      <c r="AA188" s="9" t="str">
        <f>IF(COUNT(N188:Q188)&lt;4,"—",IF(MIN(N188:Q188)&gt;0,"A",IF(Q188&gt;0,"B",IF(Q188&gt;N188,"C","D"))))</f>
        <v>A</v>
      </c>
      <c r="AB188" s="9" t="inlineStr">
        <is>
          <t>2026-06-30</t>
        </is>
      </c>
    </row>
    <row r="189" ht="15" customHeight="1">
      <c r="A189" s="9" t="n">
        <v>188</v>
      </c>
      <c r="B189" s="10" t="inlineStr">
        <is>
          <t>FDX</t>
        </is>
      </c>
      <c r="C189" s="11" t="inlineStr">
        <is>
          <t>貨運與物流</t>
        </is>
      </c>
      <c r="D189" s="11" t="inlineStr">
        <is>
          <t>FedEx Corporation</t>
        </is>
      </c>
      <c r="E189" s="11" t="inlineStr">
        <is>
          <t>Integrated Freight &amp; Logistics</t>
        </is>
      </c>
      <c r="F189" s="9" t="inlineStr">
        <is>
          <t>USD</t>
        </is>
      </c>
      <c r="G189" s="11" t="inlineStr">
        <is>
          <t>25Q2 / 25Q3 / 25Q4 / 26Q1 / 26Q2</t>
        </is>
      </c>
      <c r="H189" s="12" t="n">
        <v>22220</v>
      </c>
      <c r="I189" s="12" t="n">
        <v>22244</v>
      </c>
      <c r="J189" s="12" t="n">
        <v>23469</v>
      </c>
      <c r="K189" s="12" t="n">
        <v>24000</v>
      </c>
      <c r="L189" s="12" t="n">
        <v>25007</v>
      </c>
      <c r="M189" s="13">
        <f>IF(OR(N(H189)=0,L189=""),"",L189/H189-1)</f>
        <v>0.12542754275427548</v>
      </c>
      <c r="N189" s="14" t="n">
        <v>1298</v>
      </c>
      <c r="O189" s="14" t="n">
        <v>1621</v>
      </c>
      <c r="P189" s="14" t="n">
        <v>1615</v>
      </c>
      <c r="Q189" s="14" t="n">
        <v>2089</v>
      </c>
      <c r="R189" s="13">
        <f>IF(OR(N(L189)=0,Q189=""),"",Q189/L189)</f>
        <v>0.0835366097492702</v>
      </c>
      <c r="S189" s="14" t="n">
        <v>5673</v>
      </c>
      <c r="T189" s="13">
        <f>IF(OR(N(L189)=0,S189=""),"",S189/L189)</f>
        <v>0.22685648018554805</v>
      </c>
      <c r="U189" s="14" t="n">
        <v>1597</v>
      </c>
      <c r="V189" s="13">
        <f>IF(OR(N(L189)=0,U189=""),"",U189/L189)</f>
        <v>0.0638621186067901</v>
      </c>
      <c r="W189" s="14" t="n">
        <v>94720</v>
      </c>
      <c r="X189" s="14" t="n">
        <v>6623</v>
      </c>
      <c r="Y189" s="13">
        <f>IF(OR(N(W189)=0,X189=""),"",X189/W189)</f>
        <v>0.069921875</v>
      </c>
      <c r="Z189" s="11" t="str">
        <f>IF(AA189="A","四季持續盈利",IF(AA189="B","最新季為正/波動",IF(AA189="C","虧損收窄",IF(AA189="D","虧損擴大或轉虧","數據不足"))))</f>
        <v>四季持續盈利</v>
      </c>
      <c r="AA189" s="9" t="str">
        <f>IF(COUNT(N189:Q189)&lt;4,"—",IF(MIN(N189:Q189)&gt;0,"A",IF(Q189&gt;0,"B",IF(Q189&gt;N189,"C","D"))))</f>
        <v>A</v>
      </c>
      <c r="AB189" s="9" t="inlineStr">
        <is>
          <t>2026-05-31</t>
        </is>
      </c>
    </row>
    <row r="190" ht="15" customHeight="1">
      <c r="A190" s="9" t="n">
        <v>189</v>
      </c>
      <c r="B190" s="10" t="inlineStr">
        <is>
          <t>FLEX</t>
        </is>
      </c>
      <c r="C190" s="11" t="inlineStr">
        <is>
          <t>電子硬件與EMS/連接器</t>
        </is>
      </c>
      <c r="D190" s="11" t="inlineStr">
        <is>
          <t>Flex Ltd.</t>
        </is>
      </c>
      <c r="E190" s="11" t="inlineStr">
        <is>
          <t>Electronic Components</t>
        </is>
      </c>
      <c r="F190" s="9" t="inlineStr">
        <is>
          <t>USD</t>
        </is>
      </c>
      <c r="G190" s="11" t="inlineStr">
        <is>
          <t>25Q2 / 25Q3 / 25Q4 / 26Q1 / 26Q2</t>
        </is>
      </c>
      <c r="H190" s="12" t="n">
        <v>6575</v>
      </c>
      <c r="I190" s="12" t="n">
        <v>6804</v>
      </c>
      <c r="J190" s="12" t="n">
        <v>7058</v>
      </c>
      <c r="K190" s="12" t="n">
        <v>7477</v>
      </c>
      <c r="L190" s="12" t="n"/>
      <c r="M190" s="13" t="str">
        <f>IF(OR(N(H190)=0,L190=""),"",L190/H190-1)</f>
        <v/>
      </c>
      <c r="N190" s="14" t="n">
        <v>338</v>
      </c>
      <c r="O190" s="14" t="n">
        <v>394</v>
      </c>
      <c r="P190" s="14" t="n">
        <v>397</v>
      </c>
      <c r="Q190" s="14" t="n"/>
      <c r="R190" s="13" t="str">
        <f>IF(OR(N(L190)=0,Q190=""),"",Q190/L190)</f>
        <v/>
      </c>
      <c r="S190" s="14" t="n"/>
      <c r="T190" s="13" t="str">
        <f>IF(OR(N(L190)=0,S190=""),"",S190/L190)</f>
        <v/>
      </c>
      <c r="U190" s="14" t="n"/>
      <c r="V190" s="13" t="str">
        <f>IF(OR(N(L190)=0,U190=""),"",U190/L190)</f>
        <v/>
      </c>
      <c r="W190" s="14" t="n">
        <v>27914</v>
      </c>
      <c r="X190" s="14" t="n">
        <v>1447</v>
      </c>
      <c r="Y190" s="13">
        <f>IF(OR(N(W190)=0,X190=""),"",X190/W190)</f>
        <v>0.051837787490148314</v>
      </c>
      <c r="Z190" s="11" t="str">
        <f>IF(AA190="A","四季持續盈利",IF(AA190="B","最新季為正/波動",IF(AA190="C","虧損收窄",IF(AA190="D","虧損擴大或轉虧","數據不足"))))</f>
        <v>數據不足</v>
      </c>
      <c r="AA190" s="9" t="str">
        <f>IF(COUNT(N190:Q190)&lt;4,"—",IF(MIN(N190:Q190)&gt;0,"A",IF(Q190&gt;0,"B",IF(Q190&gt;N190,"C","D"))))</f>
        <v>—</v>
      </c>
      <c r="AB190" s="9" t="inlineStr">
        <is>
          <t>2026-06-30</t>
        </is>
      </c>
    </row>
    <row r="191" ht="15" customHeight="1">
      <c r="A191" s="9" t="n">
        <v>190</v>
      </c>
      <c r="B191" s="10" t="inlineStr">
        <is>
          <t>FLR</t>
        </is>
      </c>
      <c r="C191" s="11" t="inlineStr">
        <is>
          <t>工程建設/EPC</t>
        </is>
      </c>
      <c r="D191" s="11" t="inlineStr">
        <is>
          <t>Fluor Corporation</t>
        </is>
      </c>
      <c r="E191" s="11" t="inlineStr">
        <is>
          <t>Engineering &amp; Construction</t>
        </is>
      </c>
      <c r="F191" s="9" t="inlineStr">
        <is>
          <t>USD</t>
        </is>
      </c>
      <c r="G191" s="11" t="inlineStr">
        <is>
          <t>25Q2 / 25Q3 / 25Q4 / 26Q1 / 26Q2</t>
        </is>
      </c>
      <c r="H191" s="12" t="n">
        <v>3978</v>
      </c>
      <c r="I191" s="12" t="n">
        <v>3368</v>
      </c>
      <c r="J191" s="12" t="n">
        <v>4176</v>
      </c>
      <c r="K191" s="12" t="n">
        <v>3663</v>
      </c>
      <c r="L191" s="12" t="n">
        <v>4329</v>
      </c>
      <c r="M191" s="13">
        <f>IF(OR(N(H191)=0,L191=""),"",L191/H191-1)</f>
        <v>0.08823529411764697</v>
      </c>
      <c r="N191" s="14" t="n">
        <v>-478</v>
      </c>
      <c r="O191" s="14" t="n">
        <v>84</v>
      </c>
      <c r="P191" s="14" t="n">
        <v>-44</v>
      </c>
      <c r="Q191" s="14" t="n">
        <v>141</v>
      </c>
      <c r="R191" s="13">
        <f>IF(OR(N(L191)=0,Q191=""),"",Q191/L191)</f>
        <v>0.03257103257103257</v>
      </c>
      <c r="S191" s="14" t="n">
        <v>179</v>
      </c>
      <c r="T191" s="13">
        <f>IF(OR(N(L191)=0,S191=""),"",S191/L191)</f>
        <v>0.04134904134904135</v>
      </c>
      <c r="U191" s="14" t="n">
        <v>114</v>
      </c>
      <c r="V191" s="13">
        <f>IF(OR(N(L191)=0,U191=""),"",U191/L191)</f>
        <v>0.026334026334026334</v>
      </c>
      <c r="W191" s="14" t="n">
        <v>15503</v>
      </c>
      <c r="X191" s="14" t="n">
        <v>-269</v>
      </c>
      <c r="Y191" s="13">
        <f>IF(OR(N(W191)=0,X191=""),"",X191/W191)</f>
        <v>-0.017351480358640262</v>
      </c>
      <c r="Z191" s="11" t="str">
        <f>IF(AA191="A","四季持續盈利",IF(AA191="B","最新季為正/波動",IF(AA191="C","虧損收窄",IF(AA191="D","虧損擴大或轉虧","數據不足"))))</f>
        <v>最新季為正/波動</v>
      </c>
      <c r="AA191" s="9" t="str">
        <f>IF(COUNT(N191:Q191)&lt;4,"—",IF(MIN(N191:Q191)&gt;0,"A",IF(Q191&gt;0,"B",IF(Q191&gt;N191,"C","D"))))</f>
        <v>B</v>
      </c>
      <c r="AB191" s="9" t="inlineStr">
        <is>
          <t>2026-06-30</t>
        </is>
      </c>
    </row>
    <row r="192" ht="15" customHeight="1">
      <c r="A192" s="9" t="n">
        <v>191</v>
      </c>
      <c r="B192" s="10" t="inlineStr">
        <is>
          <t>FLUT</t>
        </is>
      </c>
      <c r="C192" s="11" t="inlineStr">
        <is>
          <t>博彩與線上博彩</t>
        </is>
      </c>
      <c r="D192" s="11" t="inlineStr">
        <is>
          <t>Flutter Entertainment plc</t>
        </is>
      </c>
      <c r="E192" s="11" t="inlineStr">
        <is>
          <t>Gambling</t>
        </is>
      </c>
      <c r="F192" s="9" t="inlineStr">
        <is>
          <t>USD</t>
        </is>
      </c>
      <c r="G192" s="11" t="inlineStr">
        <is>
          <t>25Q2 / 25Q3 / 25Q4 / 26Q1 / 26Q2</t>
        </is>
      </c>
      <c r="H192" s="12" t="n">
        <v>4187</v>
      </c>
      <c r="I192" s="12" t="n">
        <v>3794</v>
      </c>
      <c r="J192" s="12" t="n">
        <v>4737</v>
      </c>
      <c r="K192" s="12" t="n">
        <v>4304</v>
      </c>
      <c r="L192" s="12" t="n">
        <v>4326</v>
      </c>
      <c r="M192" s="13">
        <f>IF(OR(N(H192)=0,L192=""),"",L192/H192-1)</f>
        <v>0.033197993790303304</v>
      </c>
      <c r="N192" s="14" t="n">
        <v>-317</v>
      </c>
      <c r="O192" s="14" t="n">
        <v>258</v>
      </c>
      <c r="P192" s="14" t="n">
        <v>79</v>
      </c>
      <c r="Q192" s="14" t="n">
        <v>-144</v>
      </c>
      <c r="R192" s="13">
        <f>IF(OR(N(L192)=0,Q192=""),"",Q192/L192)</f>
        <v>-0.033287101248266296</v>
      </c>
      <c r="S192" s="14" t="n">
        <v>1713</v>
      </c>
      <c r="T192" s="13">
        <f>IF(OR(N(L192)=0,S192=""),"",S192/L192)</f>
        <v>0.3959778085991678</v>
      </c>
      <c r="U192" s="14" t="n">
        <v>-272</v>
      </c>
      <c r="V192" s="13">
        <f>IF(OR(N(L192)=0,U192=""),"",U192/L192)</f>
        <v>-0.06287563569116968</v>
      </c>
      <c r="W192" s="14" t="n">
        <v>16383</v>
      </c>
      <c r="X192" s="14" t="n">
        <v>553</v>
      </c>
      <c r="Y192" s="13">
        <f>IF(OR(N(W192)=0,X192=""),"",X192/W192)</f>
        <v>0.033754501617530366</v>
      </c>
      <c r="Z192" s="11" t="str">
        <f>IF(AA192="A","四季持續盈利",IF(AA192="B","最新季為正/波動",IF(AA192="C","虧損收窄",IF(AA192="D","虧損擴大或轉虧","數據不足"))))</f>
        <v>虧損收窄</v>
      </c>
      <c r="AA192" s="9" t="str">
        <f>IF(COUNT(N192:Q192)&lt;4,"—",IF(MIN(N192:Q192)&gt;0,"A",IF(Q192&gt;0,"B",IF(Q192&gt;N192,"C","D"))))</f>
        <v>C</v>
      </c>
      <c r="AB192" s="9" t="inlineStr">
        <is>
          <t>2026-06-30</t>
        </is>
      </c>
    </row>
    <row r="193" ht="15" customHeight="1">
      <c r="A193" s="9" t="n">
        <v>192</v>
      </c>
      <c r="B193" s="10" t="inlineStr">
        <is>
          <t>FN</t>
        </is>
      </c>
      <c r="C193" s="11" t="inlineStr">
        <is>
          <t>—</t>
        </is>
      </c>
      <c r="D193" s="11" t="inlineStr">
        <is>
          <t>Fabrinet</t>
        </is>
      </c>
      <c r="E193" s="11" t="inlineStr">
        <is>
          <t>D1 光模塊</t>
        </is>
      </c>
      <c r="F193" s="9" t="inlineStr">
        <is>
          <t>USD</t>
        </is>
      </c>
      <c r="G193" s="11" t="inlineStr">
        <is>
          <t>25Q2 / 25Q3 / 25Q4 / 26Q1 / 26Q2</t>
        </is>
      </c>
      <c r="H193" s="12" t="n">
        <v>909.692</v>
      </c>
      <c r="I193" s="12" t="n">
        <v>978.128</v>
      </c>
      <c r="J193" s="12" t="n">
        <v>1132.888</v>
      </c>
      <c r="K193" s="12" t="n">
        <v>1214.293</v>
      </c>
      <c r="L193" s="12" t="n">
        <v>1315.788</v>
      </c>
      <c r="M193" s="13">
        <f>IF(OR(N(H193)=0,L193=""),"",L193/H193-1)</f>
        <v>0.44641043342142184</v>
      </c>
      <c r="N193" s="14" t="n">
        <v>94.193</v>
      </c>
      <c r="O193" s="14" t="n">
        <v>114.401</v>
      </c>
      <c r="P193" s="14" t="n">
        <v>120.044</v>
      </c>
      <c r="Q193" s="14" t="n">
        <v>134.366</v>
      </c>
      <c r="R193" s="13">
        <f>IF(OR(N(L193)=0,Q193=""),"",Q193/L193)</f>
        <v>0.1021182743724673</v>
      </c>
      <c r="S193" s="14" t="n">
        <v>158.051</v>
      </c>
      <c r="T193" s="13">
        <f>IF(OR(N(L193)=0,S193=""),"",S193/L193)</f>
        <v>0.12011889453316187</v>
      </c>
      <c r="U193" s="14" t="n">
        <v>139.26</v>
      </c>
      <c r="V193" s="13">
        <f>IF(OR(N(L193)=0,U193=""),"",U193/L193)</f>
        <v>0.10583771853824475</v>
      </c>
      <c r="W193" s="14" t="n">
        <v>4641.097</v>
      </c>
      <c r="X193" s="14" t="n">
        <v>463.004</v>
      </c>
      <c r="Y193" s="13">
        <f>IF(OR(N(W193)=0,X193=""),"",X193/W193)</f>
        <v>0.09976175891174005</v>
      </c>
      <c r="Z193" s="11" t="str">
        <f>IF(AA193="A","四季持續盈利",IF(AA193="B","最新季為正/波動",IF(AA193="C","虧損收窄",IF(AA193="D","虧損擴大或轉虧","數據不足"))))</f>
        <v>四季持續盈利</v>
      </c>
      <c r="AA193" s="9" t="str">
        <f>IF(COUNT(N193:Q193)&lt;4,"—",IF(MIN(N193:Q193)&gt;0,"A",IF(Q193&gt;0,"B",IF(Q193&gt;N193,"C","D"))))</f>
        <v>A</v>
      </c>
      <c r="AB193" s="9" t="inlineStr">
        <is>
          <t>2026-06-30</t>
        </is>
      </c>
    </row>
    <row r="194" ht="15" customHeight="1">
      <c r="A194" s="9" t="n">
        <v>193</v>
      </c>
      <c r="B194" s="10" t="inlineStr">
        <is>
          <t>FORM</t>
        </is>
      </c>
      <c r="C194" s="11" t="inlineStr">
        <is>
          <t>—</t>
        </is>
      </c>
      <c r="D194" s="11" t="inlineStr">
        <is>
          <t>FormFactor, Inc.</t>
        </is>
      </c>
      <c r="E194" s="11" t="inlineStr">
        <is>
          <t>B3 先進封裝</t>
        </is>
      </c>
      <c r="F194" s="9" t="inlineStr">
        <is>
          <t>USD</t>
        </is>
      </c>
      <c r="G194" s="11" t="inlineStr">
        <is>
          <t>25Q2 / 25Q3 / 25Q4 / 26Q1 / 26Q2</t>
        </is>
      </c>
      <c r="H194" s="12" t="n">
        <v>195.798</v>
      </c>
      <c r="I194" s="12" t="n">
        <v>202.676</v>
      </c>
      <c r="J194" s="12" t="n">
        <v>215.163</v>
      </c>
      <c r="K194" s="12" t="n">
        <v>226.144</v>
      </c>
      <c r="L194" s="12" t="n"/>
      <c r="M194" s="13" t="str">
        <f>IF(OR(N(H194)=0,L194=""),"",L194/H194-1)</f>
        <v/>
      </c>
      <c r="N194" s="14" t="n">
        <v>18.969</v>
      </c>
      <c r="O194" s="14" t="n">
        <v>25.194</v>
      </c>
      <c r="P194" s="14" t="n">
        <v>23.722</v>
      </c>
      <c r="Q194" s="14" t="n"/>
      <c r="R194" s="13" t="str">
        <f>IF(OR(N(L194)=0,Q194=""),"",Q194/L194)</f>
        <v/>
      </c>
      <c r="S194" s="14" t="n"/>
      <c r="T194" s="13" t="str">
        <f>IF(OR(N(L194)=0,S194=""),"",S194/L194)</f>
        <v/>
      </c>
      <c r="U194" s="14" t="n"/>
      <c r="V194" s="13" t="str">
        <f>IF(OR(N(L194)=0,U194=""),"",U194/L194)</f>
        <v/>
      </c>
      <c r="W194" s="14" t="n">
        <v>784.9930000000001</v>
      </c>
      <c r="X194" s="14" t="n">
        <v>60.095</v>
      </c>
      <c r="Y194" s="13">
        <f>IF(OR(N(W194)=0,X194=""),"",X194/W194)</f>
        <v>0.0765548227818592</v>
      </c>
      <c r="Z194" s="11" t="str">
        <f>IF(AA194="A","四季持續盈利",IF(AA194="B","最新季為正/波動",IF(AA194="C","虧損收窄",IF(AA194="D","虧損擴大或轉虧","數據不足"))))</f>
        <v>數據不足</v>
      </c>
      <c r="AA194" s="9" t="str">
        <f>IF(COUNT(N194:Q194)&lt;4,"—",IF(MIN(N194:Q194)&gt;0,"A",IF(Q194&gt;0,"B",IF(Q194&gt;N194,"C","D"))))</f>
        <v>—</v>
      </c>
      <c r="AB194" s="9" t="inlineStr">
        <is>
          <t>2026-06-30</t>
        </is>
      </c>
    </row>
    <row r="195" ht="15" customHeight="1">
      <c r="A195" s="9" t="n">
        <v>194</v>
      </c>
      <c r="B195" s="10" t="inlineStr">
        <is>
          <t>FR</t>
        </is>
      </c>
      <c r="C195" s="11" t="inlineStr">
        <is>
          <t>工業與物流REIT</t>
        </is>
      </c>
      <c r="D195" s="11" t="inlineStr">
        <is>
          <t>First Industrial Realty Trust, Inc.</t>
        </is>
      </c>
      <c r="E195" s="11" t="inlineStr">
        <is>
          <t>REIT - Industrial</t>
        </is>
      </c>
      <c r="F195" s="9" t="inlineStr">
        <is>
          <t>USD</t>
        </is>
      </c>
      <c r="G195" s="11" t="inlineStr">
        <is>
          <t>25Q2 / 25Q3 / 25Q4 / 26Q1 / 26Q2</t>
        </is>
      </c>
      <c r="H195" s="12" t="n">
        <v>180.163</v>
      </c>
      <c r="I195" s="12" t="n">
        <v>181.43</v>
      </c>
      <c r="J195" s="12" t="n">
        <v>188.409</v>
      </c>
      <c r="K195" s="12" t="n">
        <v>194.827</v>
      </c>
      <c r="L195" s="12" t="n">
        <v>194.94</v>
      </c>
      <c r="M195" s="13">
        <f>IF(OR(N(H195)=0,L195=""),"",L195/H195-1)</f>
        <v>0.08202017062326883</v>
      </c>
      <c r="N195" s="14" t="n">
        <v>80.94499999999999</v>
      </c>
      <c r="O195" s="14" t="n">
        <v>78.581</v>
      </c>
      <c r="P195" s="14" t="n">
        <v>68.172</v>
      </c>
      <c r="Q195" s="14" t="n">
        <v>87.901</v>
      </c>
      <c r="R195" s="13">
        <f>IF(OR(N(L195)=0,Q195=""),"",Q195/L195)</f>
        <v>0.45091310146711805</v>
      </c>
      <c r="S195" s="14" t="n">
        <v>146.979</v>
      </c>
      <c r="T195" s="13">
        <f>IF(OR(N(L195)=0,S195=""),"",S195/L195)</f>
        <v>0.7539704524469069</v>
      </c>
      <c r="U195" s="14" t="n">
        <v>77.096</v>
      </c>
      <c r="V195" s="13">
        <f>IF(OR(N(L195)=0,U195=""),"",U195/L195)</f>
        <v>0.39548579049964094</v>
      </c>
      <c r="W195" s="14" t="n">
        <v>727.076</v>
      </c>
      <c r="X195" s="14" t="n">
        <v>307.706</v>
      </c>
      <c r="Y195" s="13">
        <f>IF(OR(N(W195)=0,X195=""),"",X195/W195)</f>
        <v>0.42321022836677324</v>
      </c>
      <c r="Z195" s="11" t="str">
        <f>IF(AA195="A","四季持續盈利",IF(AA195="B","最新季為正/波動",IF(AA195="C","虧損收窄",IF(AA195="D","虧損擴大或轉虧","數據不足"))))</f>
        <v>四季持續盈利</v>
      </c>
      <c r="AA195" s="9" t="str">
        <f>IF(COUNT(N195:Q195)&lt;4,"—",IF(MIN(N195:Q195)&gt;0,"A",IF(Q195&gt;0,"B",IF(Q195&gt;N195,"C","D"))))</f>
        <v>A</v>
      </c>
      <c r="AB195" s="9" t="inlineStr">
        <is>
          <t>2026-06-30</t>
        </is>
      </c>
    </row>
    <row r="196" ht="15" customHeight="1">
      <c r="A196" s="9" t="n">
        <v>195</v>
      </c>
      <c r="B196" s="10" t="inlineStr">
        <is>
          <t>FRT</t>
        </is>
      </c>
      <c r="C196" s="11" t="inlineStr">
        <is>
          <t>零售與購物中心REIT</t>
        </is>
      </c>
      <c r="D196" s="11" t="inlineStr">
        <is>
          <t>Federal Realty Investment Trust</t>
        </is>
      </c>
      <c r="E196" s="11" t="inlineStr">
        <is>
          <t>REIT - Retail</t>
        </is>
      </c>
      <c r="F196" s="9" t="inlineStr">
        <is>
          <t>USD</t>
        </is>
      </c>
      <c r="G196" s="11" t="inlineStr">
        <is>
          <t>25Q2 / 25Q3 / 25Q4 / 26Q1 / 26Q2</t>
        </is>
      </c>
      <c r="H196" s="12" t="n">
        <v>311.523</v>
      </c>
      <c r="I196" s="12" t="n">
        <v>322.253</v>
      </c>
      <c r="J196" s="12" t="n">
        <v>336.045</v>
      </c>
      <c r="K196" s="12" t="n">
        <v>341.084</v>
      </c>
      <c r="L196" s="12" t="n">
        <v>335.706</v>
      </c>
      <c r="M196" s="13">
        <f>IF(OR(N(H196)=0,L196=""),"",L196/H196-1)</f>
        <v>0.07762829710807861</v>
      </c>
      <c r="N196" s="14" t="n">
        <v>110.668</v>
      </c>
      <c r="O196" s="14" t="n">
        <v>115.64</v>
      </c>
      <c r="P196" s="14" t="n">
        <v>116.274</v>
      </c>
      <c r="Q196" s="14" t="n">
        <v>118.045</v>
      </c>
      <c r="R196" s="13">
        <f>IF(OR(N(L196)=0,Q196=""),"",Q196/L196)</f>
        <v>0.35163208283438485</v>
      </c>
      <c r="S196" s="14" t="n">
        <v>232.138</v>
      </c>
      <c r="T196" s="13">
        <f>IF(OR(N(L196)=0,S196=""),"",S196/L196)</f>
        <v>0.6914919602271035</v>
      </c>
      <c r="U196" s="14" t="n">
        <v>85.702</v>
      </c>
      <c r="V196" s="13">
        <f>IF(OR(N(L196)=0,U196=""),"",U196/L196)</f>
        <v>0.25528885393767164</v>
      </c>
      <c r="W196" s="14" t="n">
        <v>1278.975</v>
      </c>
      <c r="X196" s="14" t="n">
        <v>459.513</v>
      </c>
      <c r="Y196" s="13">
        <f>IF(OR(N(W196)=0,X196=""),"",X196/W196)</f>
        <v>0.3592822377294318</v>
      </c>
      <c r="Z196" s="11" t="str">
        <f>IF(AA196="A","四季持續盈利",IF(AA196="B","最新季為正/波動",IF(AA196="C","虧損收窄",IF(AA196="D","虧損擴大或轉虧","數據不足"))))</f>
        <v>四季持續盈利</v>
      </c>
      <c r="AA196" s="9" t="str">
        <f>IF(COUNT(N196:Q196)&lt;4,"—",IF(MIN(N196:Q196)&gt;0,"A",IF(Q196&gt;0,"B",IF(Q196&gt;N196,"C","D"))))</f>
        <v>A</v>
      </c>
      <c r="AB196" s="9" t="inlineStr">
        <is>
          <t>2026-06-30</t>
        </is>
      </c>
    </row>
    <row r="197" ht="15" customHeight="1">
      <c r="A197" s="9" t="n">
        <v>196</v>
      </c>
      <c r="B197" s="10" t="inlineStr">
        <is>
          <t>FSLR</t>
        </is>
      </c>
      <c r="C197" s="11" t="inlineStr">
        <is>
          <t>再生能源與太陽能</t>
        </is>
      </c>
      <c r="D197" s="11" t="inlineStr">
        <is>
          <t>First Solar, Inc.</t>
        </is>
      </c>
      <c r="E197" s="11" t="inlineStr">
        <is>
          <t>Solar</t>
        </is>
      </c>
      <c r="F197" s="9" t="inlineStr">
        <is>
          <t>USD</t>
        </is>
      </c>
      <c r="G197" s="11" t="inlineStr">
        <is>
          <t>25Q2 / 25Q3 / 25Q4 / 26Q1 / 26Q2</t>
        </is>
      </c>
      <c r="H197" s="12" t="n">
        <v>1097.17</v>
      </c>
      <c r="I197" s="12" t="n">
        <v>1594.856</v>
      </c>
      <c r="J197" s="12" t="n">
        <v>1682.782</v>
      </c>
      <c r="K197" s="12" t="n">
        <v>1044.24</v>
      </c>
      <c r="L197" s="12" t="n">
        <v>1056.193</v>
      </c>
      <c r="M197" s="13">
        <f>IF(OR(N(H197)=0,L197=""),"",L197/H197-1)</f>
        <v>-0.037347904153412936</v>
      </c>
      <c r="N197" s="14" t="n">
        <v>466.095</v>
      </c>
      <c r="O197" s="14" t="n">
        <v>547.918</v>
      </c>
      <c r="P197" s="14" t="n">
        <v>345.303</v>
      </c>
      <c r="Q197" s="14" t="n">
        <v>450.386</v>
      </c>
      <c r="R197" s="13">
        <f>IF(OR(N(L197)=0,Q197=""),"",Q197/L197)</f>
        <v>0.426423958500009</v>
      </c>
      <c r="S197" s="14" t="n">
        <v>605.004</v>
      </c>
      <c r="T197" s="13">
        <f>IF(OR(N(L197)=0,S197=""),"",S197/L197)</f>
        <v>0.5728157637855961</v>
      </c>
      <c r="U197" s="14" t="n">
        <v>422.569</v>
      </c>
      <c r="V197" s="13">
        <f>IF(OR(N(L197)=0,U197=""),"",U197/L197)</f>
        <v>0.4000869159329782</v>
      </c>
      <c r="W197" s="14" t="n">
        <v>5219.376</v>
      </c>
      <c r="X197" s="14" t="n">
        <v>1596.864</v>
      </c>
      <c r="Y197" s="13">
        <f>IF(OR(N(W197)=0,X197=""),"",X197/W197)</f>
        <v>0.3059492169178844</v>
      </c>
      <c r="Z197" s="11" t="str">
        <f>IF(AA197="A","四季持續盈利",IF(AA197="B","最新季為正/波動",IF(AA197="C","虧損收窄",IF(AA197="D","虧損擴大或轉虧","數據不足"))))</f>
        <v>四季持續盈利</v>
      </c>
      <c r="AA197" s="9" t="str">
        <f>IF(COUNT(N197:Q197)&lt;4,"—",IF(MIN(N197:Q197)&gt;0,"A",IF(Q197&gt;0,"B",IF(Q197&gt;N197,"C","D"))))</f>
        <v>A</v>
      </c>
      <c r="AB197" s="9" t="inlineStr">
        <is>
          <t>2026-06-30</t>
        </is>
      </c>
    </row>
    <row r="198" ht="15" customHeight="1">
      <c r="A198" s="9" t="n">
        <v>197</v>
      </c>
      <c r="B198" s="10" t="inlineStr">
        <is>
          <t>FTNT</t>
        </is>
      </c>
      <c r="C198" s="11" t="inlineStr">
        <is>
          <t>網絡安全</t>
        </is>
      </c>
      <c r="D198" s="11" t="inlineStr">
        <is>
          <t>Fortinet, Inc.</t>
        </is>
      </c>
      <c r="E198" s="11" t="inlineStr">
        <is>
          <t>D8 安全</t>
        </is>
      </c>
      <c r="F198" s="9" t="inlineStr">
        <is>
          <t>USD</t>
        </is>
      </c>
      <c r="G198" s="11" t="inlineStr">
        <is>
          <t>25Q2 / 25Q3 / 25Q4 / 26Q1 / 26Q2</t>
        </is>
      </c>
      <c r="H198" s="12" t="n">
        <v>1630</v>
      </c>
      <c r="I198" s="12" t="n">
        <v>1724.9</v>
      </c>
      <c r="J198" s="12" t="n">
        <v>1905</v>
      </c>
      <c r="K198" s="12" t="n">
        <v>1849.6</v>
      </c>
      <c r="L198" s="12" t="n">
        <v>2047.9</v>
      </c>
      <c r="M198" s="13">
        <f>IF(OR(N(H198)=0,L198=""),"",L198/H198-1)</f>
        <v>0.25638036809815956</v>
      </c>
      <c r="N198" s="14" t="n">
        <v>547.3</v>
      </c>
      <c r="O198" s="14" t="n">
        <v>625.6</v>
      </c>
      <c r="P198" s="14" t="n">
        <v>580</v>
      </c>
      <c r="Q198" s="14" t="n">
        <v>689.3</v>
      </c>
      <c r="R198" s="13">
        <f>IF(OR(N(L198)=0,Q198=""),"",Q198/L198)</f>
        <v>0.33658870062014745</v>
      </c>
      <c r="S198" s="14" t="n">
        <v>1643.2</v>
      </c>
      <c r="T198" s="13">
        <f>IF(OR(N(L198)=0,S198=""),"",S198/L198)</f>
        <v>0.8023829288539479</v>
      </c>
      <c r="U198" s="14" t="n">
        <v>606.3</v>
      </c>
      <c r="V198" s="13">
        <f>IF(OR(N(L198)=0,U198=""),"",U198/L198)</f>
        <v>0.29605937789931147</v>
      </c>
      <c r="W198" s="14" t="n">
        <v>6799.6</v>
      </c>
      <c r="X198" s="14" t="n">
        <v>2084.7</v>
      </c>
      <c r="Y198" s="13">
        <f>IF(OR(N(W198)=0,X198=""),"",X198/W198)</f>
        <v>0.30659156420965933</v>
      </c>
      <c r="Z198" s="11" t="str">
        <f>IF(AA198="A","四季持續盈利",IF(AA198="B","最新季為正/波動",IF(AA198="C","虧損收窄",IF(AA198="D","虧損擴大或轉虧","數據不足"))))</f>
        <v>四季持續盈利</v>
      </c>
      <c r="AA198" s="9" t="str">
        <f>IF(COUNT(N198:Q198)&lt;4,"—",IF(MIN(N198:Q198)&gt;0,"A",IF(Q198&gt;0,"B",IF(Q198&gt;N198,"C","D"))))</f>
        <v>A</v>
      </c>
      <c r="AB198" s="9" t="inlineStr">
        <is>
          <t>2026-06-30</t>
        </is>
      </c>
    </row>
    <row r="199" ht="15" customHeight="1">
      <c r="A199" s="9" t="n">
        <v>198</v>
      </c>
      <c r="B199" s="10" t="inlineStr">
        <is>
          <t>FWONK</t>
        </is>
      </c>
      <c r="C199" s="11" t="inlineStr">
        <is>
          <t>傳媒與娛樂內容</t>
        </is>
      </c>
      <c r="D199" s="11" t="inlineStr">
        <is>
          <t>Formula One Group</t>
        </is>
      </c>
      <c r="E199" s="11" t="inlineStr">
        <is>
          <t>Entertainment</t>
        </is>
      </c>
      <c r="F199" s="9" t="inlineStr">
        <is>
          <t>USD</t>
        </is>
      </c>
      <c r="G199" s="11" t="inlineStr">
        <is>
          <t>25Q2 / 25Q3 / 25Q4 / 26Q1 / 26Q2</t>
        </is>
      </c>
      <c r="H199" s="12" t="n">
        <v>1341</v>
      </c>
      <c r="I199" s="12" t="n">
        <v>1085</v>
      </c>
      <c r="J199" s="12" t="n">
        <v>1609</v>
      </c>
      <c r="K199" s="12" t="n">
        <v>711</v>
      </c>
      <c r="L199" s="12" t="n">
        <v>934</v>
      </c>
      <c r="M199" s="13">
        <f>IF(OR(N(H199)=0,L199=""),"",L199/H199-1)</f>
        <v>-0.30350484712900816</v>
      </c>
      <c r="N199" s="14" t="n">
        <v>172</v>
      </c>
      <c r="O199" s="14" t="n">
        <v>205</v>
      </c>
      <c r="P199" s="14" t="n">
        <v>64</v>
      </c>
      <c r="Q199" s="14" t="n">
        <v>88</v>
      </c>
      <c r="R199" s="13">
        <f>IF(OR(N(L199)=0,Q199=""),"",Q199/L199)</f>
        <v>0.09421841541755889</v>
      </c>
      <c r="S199" s="14" t="n">
        <v>329</v>
      </c>
      <c r="T199" s="13">
        <f>IF(OR(N(L199)=0,S199=""),"",S199/L199)</f>
        <v>0.35224839400428265</v>
      </c>
      <c r="U199" s="14" t="n">
        <v>5</v>
      </c>
      <c r="V199" s="13">
        <f>IF(OR(N(L199)=0,U199=""),"",U199/L199)</f>
        <v>0.0053533190578158455</v>
      </c>
      <c r="W199" s="14" t="n">
        <v>4482</v>
      </c>
      <c r="X199" s="14" t="n">
        <v>604</v>
      </c>
      <c r="Y199" s="13">
        <f>IF(OR(N(W199)=0,X199=""),"",X199/W199)</f>
        <v>0.13476126729138777</v>
      </c>
      <c r="Z199" s="11" t="str">
        <f>IF(AA199="A","四季持續盈利",IF(AA199="B","最新季為正/波動",IF(AA199="C","虧損收窄",IF(AA199="D","虧損擴大或轉虧","數據不足"))))</f>
        <v>四季持續盈利</v>
      </c>
      <c r="AA199" s="9" t="str">
        <f>IF(COUNT(N199:Q199)&lt;4,"—",IF(MIN(N199:Q199)&gt;0,"A",IF(Q199&gt;0,"B",IF(Q199&gt;N199,"C","D"))))</f>
        <v>A</v>
      </c>
      <c r="AB199" s="9" t="inlineStr">
        <is>
          <t>2026-06-30</t>
        </is>
      </c>
    </row>
    <row r="200" ht="15" customHeight="1">
      <c r="A200" s="9" t="n">
        <v>199</v>
      </c>
      <c r="B200" s="10" t="inlineStr">
        <is>
          <t>GD</t>
        </is>
      </c>
      <c r="C200" s="11" t="inlineStr">
        <is>
          <t>航太與國防</t>
        </is>
      </c>
      <c r="D200" s="11" t="inlineStr">
        <is>
          <t>General Dynamics Corporation</t>
        </is>
      </c>
      <c r="E200" s="11" t="inlineStr">
        <is>
          <t>Aerospace &amp; Defense</t>
        </is>
      </c>
      <c r="F200" s="9" t="inlineStr">
        <is>
          <t>USD</t>
        </is>
      </c>
      <c r="G200" s="11" t="inlineStr">
        <is>
          <t>25Q2 / 25Q3 / 25Q4 / 26Q1 / 26Q2</t>
        </is>
      </c>
      <c r="H200" s="12" t="n">
        <v>13041</v>
      </c>
      <c r="I200" s="12" t="n">
        <v>12907</v>
      </c>
      <c r="J200" s="12" t="n">
        <v>14379</v>
      </c>
      <c r="K200" s="12" t="n">
        <v>13481</v>
      </c>
      <c r="L200" s="12" t="n">
        <v>14094</v>
      </c>
      <c r="M200" s="13">
        <f>IF(OR(N(H200)=0,L200=""),"",L200/H200-1)</f>
        <v>0.08074534161490687</v>
      </c>
      <c r="N200" s="14" t="n">
        <v>1331</v>
      </c>
      <c r="O200" s="14" t="n">
        <v>1452</v>
      </c>
      <c r="P200" s="14" t="n">
        <v>1420</v>
      </c>
      <c r="Q200" s="14" t="n">
        <v>1460</v>
      </c>
      <c r="R200" s="13">
        <f>IF(OR(N(L200)=0,Q200=""),"",Q200/L200)</f>
        <v>0.10359018021853271</v>
      </c>
      <c r="S200" s="14" t="n">
        <v>2183</v>
      </c>
      <c r="T200" s="13">
        <f>IF(OR(N(L200)=0,S200=""),"",S200/L200)</f>
        <v>0.15488860508017596</v>
      </c>
      <c r="U200" s="14" t="n">
        <v>1160</v>
      </c>
      <c r="V200" s="13">
        <f>IF(OR(N(L200)=0,U200=""),"",U200/L200)</f>
        <v>0.0823045267489712</v>
      </c>
      <c r="W200" s="14" t="n">
        <v>52550</v>
      </c>
      <c r="X200" s="14" t="n">
        <v>5356</v>
      </c>
      <c r="Y200" s="13">
        <f>IF(OR(N(W200)=0,X200=""),"",X200/W200)</f>
        <v>0.10192197906755471</v>
      </c>
      <c r="Z200" s="11" t="str">
        <f>IF(AA200="A","四季持續盈利",IF(AA200="B","最新季為正/波動",IF(AA200="C","虧損收窄",IF(AA200="D","虧損擴大或轉虧","數據不足"))))</f>
        <v>四季持續盈利</v>
      </c>
      <c r="AA200" s="9" t="str">
        <f>IF(COUNT(N200:Q200)&lt;4,"—",IF(MIN(N200:Q200)&gt;0,"A",IF(Q200&gt;0,"B",IF(Q200&gt;N200,"C","D"))))</f>
        <v>A</v>
      </c>
      <c r="AB200" s="9" t="inlineStr">
        <is>
          <t>2026-06-30</t>
        </is>
      </c>
    </row>
    <row r="201" ht="15" customHeight="1">
      <c r="A201" s="9" t="n">
        <v>200</v>
      </c>
      <c r="B201" s="10" t="inlineStr">
        <is>
          <t>GEV</t>
        </is>
      </c>
      <c r="C201" s="11" t="inlineStr">
        <is>
          <t>電氣設備與電網</t>
        </is>
      </c>
      <c r="D201" s="11" t="inlineStr">
        <is>
          <t>GE Vernova Inc.</t>
        </is>
      </c>
      <c r="E201" s="11" t="inlineStr">
        <is>
          <t>F1 電源</t>
        </is>
      </c>
      <c r="F201" s="9" t="inlineStr">
        <is>
          <t>USD</t>
        </is>
      </c>
      <c r="G201" s="11" t="inlineStr">
        <is>
          <t>25Q2 / 25Q3 / 25Q4 / 26Q1 / 26Q2</t>
        </is>
      </c>
      <c r="H201" s="12" t="n">
        <v>9111</v>
      </c>
      <c r="I201" s="12" t="n">
        <v>9969</v>
      </c>
      <c r="J201" s="12" t="n">
        <v>10956</v>
      </c>
      <c r="K201" s="12" t="n">
        <v>9338</v>
      </c>
      <c r="L201" s="12" t="n">
        <v>11104</v>
      </c>
      <c r="M201" s="13">
        <f>IF(OR(N(H201)=0,L201=""),"",L201/H201-1)</f>
        <v>0.218746570080123</v>
      </c>
      <c r="N201" s="14" t="n">
        <v>367</v>
      </c>
      <c r="O201" s="14" t="n">
        <v>602</v>
      </c>
      <c r="P201" s="14" t="n">
        <v>179</v>
      </c>
      <c r="Q201" s="14" t="n">
        <v>655</v>
      </c>
      <c r="R201" s="13">
        <f>IF(OR(N(L201)=0,Q201=""),"",Q201/L201)</f>
        <v>0.058987752161383286</v>
      </c>
      <c r="S201" s="14" t="n">
        <v>2361</v>
      </c>
      <c r="T201" s="13">
        <f>IF(OR(N(L201)=0,S201=""),"",S201/L201)</f>
        <v>0.21262608069164265</v>
      </c>
      <c r="U201" s="14" t="n">
        <v>668</v>
      </c>
      <c r="V201" s="13">
        <f>IF(OR(N(L201)=0,U201=""),"",U201/L201)</f>
        <v>0.06015850144092219</v>
      </c>
      <c r="W201" s="14" t="n">
        <v>38068</v>
      </c>
      <c r="X201" s="14" t="n">
        <v>1389</v>
      </c>
      <c r="Y201" s="13">
        <f>IF(OR(N(W201)=0,X201=""),"",X201/W201)</f>
        <v>0.0364873384469896</v>
      </c>
      <c r="Z201" s="11" t="str">
        <f>IF(AA201="A","四季持續盈利",IF(AA201="B","最新季為正/波動",IF(AA201="C","虧損收窄",IF(AA201="D","虧損擴大或轉虧","數據不足"))))</f>
        <v>四季持續盈利</v>
      </c>
      <c r="AA201" s="9" t="str">
        <f>IF(COUNT(N201:Q201)&lt;4,"—",IF(MIN(N201:Q201)&gt;0,"A",IF(Q201&gt;0,"B",IF(Q201&gt;N201,"C","D"))))</f>
        <v>A</v>
      </c>
      <c r="AB201" s="9" t="inlineStr">
        <is>
          <t>2026-06-30</t>
        </is>
      </c>
    </row>
    <row r="202" ht="15" customHeight="1">
      <c r="A202" s="9" t="n">
        <v>201</v>
      </c>
      <c r="B202" s="10" t="inlineStr">
        <is>
          <t>GFS</t>
        </is>
      </c>
      <c r="C202" s="11" t="inlineStr">
        <is>
          <t>晶圓代工/IDM</t>
        </is>
      </c>
      <c r="D202" s="11" t="inlineStr">
        <is>
          <t>GLOBALFOUNDRIES Inc.</t>
        </is>
      </c>
      <c r="E202" s="11" t="inlineStr">
        <is>
          <t>B1 Foundry</t>
        </is>
      </c>
      <c r="F202" s="9" t="inlineStr">
        <is>
          <t>USD</t>
        </is>
      </c>
      <c r="G202" s="11" t="inlineStr">
        <is>
          <t>25Q2 / 25Q3 / 25Q4 / 26Q1 / 26Q2</t>
        </is>
      </c>
      <c r="H202" s="12" t="n">
        <v>1688</v>
      </c>
      <c r="I202" s="12" t="n">
        <v>1688</v>
      </c>
      <c r="J202" s="12" t="n">
        <v>1830</v>
      </c>
      <c r="K202" s="12" t="n">
        <v>1634</v>
      </c>
      <c r="L202" s="12" t="n">
        <v>1786</v>
      </c>
      <c r="M202" s="13">
        <f>IF(OR(N(H202)=0,L202=""),"",L202/H202-1)</f>
        <v>0.05805687203791465</v>
      </c>
      <c r="N202" s="14" t="n">
        <v>195</v>
      </c>
      <c r="O202" s="14" t="n">
        <v>255</v>
      </c>
      <c r="P202" s="14" t="n">
        <v>180</v>
      </c>
      <c r="Q202" s="14" t="n">
        <v>174</v>
      </c>
      <c r="R202" s="13">
        <f>IF(OR(N(L202)=0,Q202=""),"",Q202/L202)</f>
        <v>0.09742441209406495</v>
      </c>
      <c r="S202" s="14" t="n">
        <v>505</v>
      </c>
      <c r="T202" s="13">
        <f>IF(OR(N(L202)=0,S202=""),"",S202/L202)</f>
        <v>0.28275475923852184</v>
      </c>
      <c r="U202" s="14" t="n">
        <v>166</v>
      </c>
      <c r="V202" s="13">
        <f>IF(OR(N(L202)=0,U202=""),"",U202/L202)</f>
        <v>0.0929451287793953</v>
      </c>
      <c r="W202" s="14" t="n">
        <v>6791</v>
      </c>
      <c r="X202" s="14" t="n">
        <v>797</v>
      </c>
      <c r="Y202" s="13">
        <f>IF(OR(N(W202)=0,X202=""),"",X202/W202)</f>
        <v>0.11736121337063761</v>
      </c>
      <c r="Z202" s="11" t="str">
        <f>IF(AA202="A","四季持續盈利",IF(AA202="B","最新季為正/波動",IF(AA202="C","虧損收窄",IF(AA202="D","虧損擴大或轉虧","數據不足"))))</f>
        <v>四季持續盈利</v>
      </c>
      <c r="AA202" s="9" t="str">
        <f>IF(COUNT(N202:Q202)&lt;4,"—",IF(MIN(N202:Q202)&gt;0,"A",IF(Q202&gt;0,"B",IF(Q202&gt;N202,"C","D"))))</f>
        <v>A</v>
      </c>
      <c r="AB202" s="9" t="inlineStr">
        <is>
          <t>2026-06-30</t>
        </is>
      </c>
    </row>
    <row r="203" ht="15" customHeight="1">
      <c r="A203" s="9" t="n">
        <v>202</v>
      </c>
      <c r="B203" s="10" t="inlineStr">
        <is>
          <t>GILD</t>
        </is>
      </c>
      <c r="C203" s="11" t="inlineStr">
        <is>
          <t>大型生物科技</t>
        </is>
      </c>
      <c r="D203" s="11" t="inlineStr">
        <is>
          <t>Gilead Sciences, Inc.</t>
        </is>
      </c>
      <c r="E203" s="11" t="inlineStr">
        <is>
          <t>Drug Manufacturers - General</t>
        </is>
      </c>
      <c r="F203" s="9" t="inlineStr">
        <is>
          <t>USD</t>
        </is>
      </c>
      <c r="G203" s="11" t="inlineStr">
        <is>
          <t>25Q2 / 25Q3 / 25Q4 / 26Q1 / 26Q2</t>
        </is>
      </c>
      <c r="H203" s="12" t="n">
        <v>7081</v>
      </c>
      <c r="I203" s="12" t="n">
        <v>7769</v>
      </c>
      <c r="J203" s="12" t="n">
        <v>7924</v>
      </c>
      <c r="K203" s="12" t="n">
        <v>6960</v>
      </c>
      <c r="L203" s="12" t="n">
        <v>7803</v>
      </c>
      <c r="M203" s="13">
        <f>IF(OR(N(H203)=0,L203=""),"",L203/H203-1)</f>
        <v>0.10196299957633093</v>
      </c>
      <c r="N203" s="14" t="n">
        <v>3497</v>
      </c>
      <c r="O203" s="14" t="n">
        <v>2988</v>
      </c>
      <c r="P203" s="14" t="n">
        <v>2692</v>
      </c>
      <c r="Q203" s="14" t="n">
        <v>2539</v>
      </c>
      <c r="R203" s="13">
        <f>IF(OR(N(L203)=0,Q203=""),"",Q203/L203)</f>
        <v>0.32538767140843267</v>
      </c>
      <c r="S203" s="14" t="n">
        <v>6224</v>
      </c>
      <c r="T203" s="13">
        <f>IF(OR(N(L203)=0,S203=""),"",S203/L203)</f>
        <v>0.7976419325900295</v>
      </c>
      <c r="U203" s="14" t="n">
        <v>-10496</v>
      </c>
      <c r="V203" s="13">
        <f>IF(OR(N(L203)=0,U203=""),"",U203/L203)</f>
        <v>-1.345123670383186</v>
      </c>
      <c r="W203" s="14" t="n">
        <v>29442</v>
      </c>
      <c r="X203" s="14" t="n">
        <v>11701</v>
      </c>
      <c r="Y203" s="13">
        <f>IF(OR(N(W203)=0,X203=""),"",X203/W203)</f>
        <v>0.3974254466408532</v>
      </c>
      <c r="Z203" s="11" t="str">
        <f>IF(AA203="A","四季持續盈利",IF(AA203="B","最新季為正/波動",IF(AA203="C","虧損收窄",IF(AA203="D","虧損擴大或轉虧","數據不足"))))</f>
        <v>四季持續盈利</v>
      </c>
      <c r="AA203" s="9" t="str">
        <f>IF(COUNT(N203:Q203)&lt;4,"—",IF(MIN(N203:Q203)&gt;0,"A",IF(Q203&gt;0,"B",IF(Q203&gt;N203,"C","D"))))</f>
        <v>A</v>
      </c>
      <c r="AB203" s="9" t="inlineStr">
        <is>
          <t>2026-06-30</t>
        </is>
      </c>
    </row>
    <row r="204" ht="15" customHeight="1">
      <c r="A204" s="9" t="n">
        <v>203</v>
      </c>
      <c r="B204" s="10" t="inlineStr">
        <is>
          <t>GIS</t>
        </is>
      </c>
      <c r="C204" s="11" t="inlineStr">
        <is>
          <t>食品加工</t>
        </is>
      </c>
      <c r="D204" s="11" t="inlineStr">
        <is>
          <t>General Mills, Inc.</t>
        </is>
      </c>
      <c r="E204" s="11" t="inlineStr">
        <is>
          <t>Packaged Foods</t>
        </is>
      </c>
      <c r="F204" s="9" t="inlineStr">
        <is>
          <t>USD</t>
        </is>
      </c>
      <c r="G204" s="11" t="inlineStr">
        <is>
          <t>25Q2 / 25Q3 / 25Q4 / 26Q1 / 26Q2</t>
        </is>
      </c>
      <c r="H204" s="12" t="n">
        <v>4556.2</v>
      </c>
      <c r="I204" s="12" t="n">
        <v>4517.5</v>
      </c>
      <c r="J204" s="12" t="n">
        <v>4860.8</v>
      </c>
      <c r="K204" s="12" t="n">
        <v>4436.7</v>
      </c>
      <c r="L204" s="12" t="n">
        <v>4609.6</v>
      </c>
      <c r="M204" s="13">
        <f>IF(OR(N(H204)=0,L204=""),"",L204/H204-1)</f>
        <v>0.011720293226811895</v>
      </c>
      <c r="N204" s="14" t="n">
        <v>687.7</v>
      </c>
      <c r="O204" s="14" t="n">
        <v>850.1</v>
      </c>
      <c r="P204" s="14" t="n">
        <v>554</v>
      </c>
      <c r="Q204" s="14" t="n">
        <v>715.4</v>
      </c>
      <c r="R204" s="13">
        <f>IF(OR(N(L204)=0,Q204=""),"",Q204/L204)</f>
        <v>0.15519784796945504</v>
      </c>
      <c r="S204" s="14" t="n">
        <v>1603.5</v>
      </c>
      <c r="T204" s="13">
        <f>IF(OR(N(L204)=0,S204=""),"",S204/L204)</f>
        <v>0.34786098576883023</v>
      </c>
      <c r="U204" s="14" t="n">
        <v>-2007.9</v>
      </c>
      <c r="V204" s="13">
        <f>IF(OR(N(L204)=0,U204=""),"",U204/L204)</f>
        <v>-0.43559094064560916</v>
      </c>
      <c r="W204" s="14" t="n">
        <v>18424.6</v>
      </c>
      <c r="X204" s="14" t="n">
        <v>2807.2</v>
      </c>
      <c r="Y204" s="13">
        <f>IF(OR(N(W204)=0,X204=""),"",X204/W204)</f>
        <v>0.1523615166679331</v>
      </c>
      <c r="Z204" s="11" t="str">
        <f>IF(AA204="A","四季持續盈利",IF(AA204="B","最新季為正/波動",IF(AA204="C","虧損收窄",IF(AA204="D","虧損擴大或轉虧","數據不足"))))</f>
        <v>四季持續盈利</v>
      </c>
      <c r="AA204" s="9" t="str">
        <f>IF(COUNT(N204:Q204)&lt;4,"—",IF(MIN(N204:Q204)&gt;0,"A",IF(Q204&gt;0,"B",IF(Q204&gt;N204,"C","D"))))</f>
        <v>A</v>
      </c>
      <c r="AB204" s="9" t="inlineStr">
        <is>
          <t>2026-05-31</t>
        </is>
      </c>
    </row>
    <row r="205" ht="15" customHeight="1">
      <c r="A205" s="9" t="n">
        <v>204</v>
      </c>
      <c r="B205" s="10" t="inlineStr">
        <is>
          <t>GLNG</t>
        </is>
      </c>
      <c r="C205" s="11" t="inlineStr">
        <is>
          <t>LNG液化天然氣</t>
        </is>
      </c>
      <c r="D205" s="11" t="inlineStr">
        <is>
          <t>Golar LNG Limited</t>
        </is>
      </c>
      <c r="E205" s="11" t="inlineStr">
        <is>
          <t>Oil &amp; Gas Midstream</t>
        </is>
      </c>
      <c r="F205" s="9" t="inlineStr">
        <is>
          <t>USD</t>
        </is>
      </c>
      <c r="G205" s="11" t="inlineStr">
        <is>
          <t>25Q2 / 25Q3 / 25Q4 / 26Q1 / 26Q2</t>
        </is>
      </c>
      <c r="H205" s="12" t="n">
        <v>137.554</v>
      </c>
      <c r="I205" s="12" t="n"/>
      <c r="J205" s="12" t="n">
        <v>132.812</v>
      </c>
      <c r="K205" s="12" t="n">
        <v>137.554</v>
      </c>
      <c r="L205" s="12" t="n">
        <v>130.479</v>
      </c>
      <c r="M205" s="13">
        <f>IF(OR(N(H205)=0,L205=""),"",L205/H205-1)</f>
        <v>-0.05143434578420103</v>
      </c>
      <c r="N205" s="14" t="n">
        <v>69.854</v>
      </c>
      <c r="O205" s="14" t="n">
        <v>56.631</v>
      </c>
      <c r="P205" s="14" t="n">
        <v>69.325</v>
      </c>
      <c r="Q205" s="14" t="n">
        <v>65.20699999999999</v>
      </c>
      <c r="R205" s="13">
        <f>IF(OR(N(L205)=0,Q205=""),"",Q205/L205)</f>
        <v>0.4997509177722085</v>
      </c>
      <c r="S205" s="14" t="n">
        <v>74.06399999999999</v>
      </c>
      <c r="T205" s="13">
        <f>IF(OR(N(L205)=0,S205=""),"",S205/L205)</f>
        <v>0.5676315728967879</v>
      </c>
      <c r="U205" s="14" t="n">
        <v>38.265</v>
      </c>
      <c r="V205" s="13">
        <f>IF(OR(N(L205)=0,U205=""),"",U205/L205)</f>
        <v>0.29326558296737404</v>
      </c>
      <c r="W205" s="14" t="n">
        <v>393.522</v>
      </c>
      <c r="X205" s="14" t="n">
        <v>129.934</v>
      </c>
      <c r="Y205" s="13">
        <f>IF(OR(N(W205)=0,X205=""),"",X205/W205)</f>
        <v>0.33018230238716006</v>
      </c>
      <c r="Z205" s="11" t="str">
        <f>IF(AA205="A","四季持續盈利",IF(AA205="B","最新季為正/波動",IF(AA205="C","虧損收窄",IF(AA205="D","虧損擴大或轉虧","數據不足"))))</f>
        <v>四季持續盈利</v>
      </c>
      <c r="AA205" s="9" t="str">
        <f>IF(COUNT(N205:Q205)&lt;4,"—",IF(MIN(N205:Q205)&gt;0,"A",IF(Q205&gt;0,"B",IF(Q205&gt;N205,"C","D"))))</f>
        <v>A</v>
      </c>
      <c r="AB205" s="9" t="inlineStr">
        <is>
          <t>2026-06-30</t>
        </is>
      </c>
    </row>
    <row r="206" ht="15" customHeight="1">
      <c r="A206" s="9" t="n">
        <v>205</v>
      </c>
      <c r="B206" s="10" t="inlineStr">
        <is>
          <t>GLPI</t>
        </is>
      </c>
      <c r="C206" s="11" t="inlineStr">
        <is>
          <t>特殊型REIT（自存倉/賭場/廣告牌）</t>
        </is>
      </c>
      <c r="D206" s="11" t="inlineStr">
        <is>
          <t>Gaming and Leisure Properties, Inc.</t>
        </is>
      </c>
      <c r="E206" s="11" t="inlineStr">
        <is>
          <t>REIT - Specialty</t>
        </is>
      </c>
      <c r="F206" s="9" t="inlineStr">
        <is>
          <t>USD</t>
        </is>
      </c>
      <c r="G206" s="11" t="inlineStr">
        <is>
          <t>25Q2 / 25Q3 / 25Q4 / 26Q1 / 26Q2</t>
        </is>
      </c>
      <c r="H206" s="12" t="n">
        <v>394.876</v>
      </c>
      <c r="I206" s="12" t="n">
        <v>397.61</v>
      </c>
      <c r="J206" s="12" t="n">
        <v>407.031</v>
      </c>
      <c r="K206" s="12" t="n">
        <v>419.985</v>
      </c>
      <c r="L206" s="12" t="n">
        <v>430.519</v>
      </c>
      <c r="M206" s="13">
        <f>IF(OR(N(H206)=0,L206=""),"",L206/H206-1)</f>
        <v>0.09026377900910676</v>
      </c>
      <c r="N206" s="14" t="n">
        <v>337.163</v>
      </c>
      <c r="O206" s="14" t="n">
        <v>369.692</v>
      </c>
      <c r="P206" s="14" t="n">
        <v>333.349</v>
      </c>
      <c r="Q206" s="14" t="n">
        <v>333.562</v>
      </c>
      <c r="R206" s="13">
        <f>IF(OR(N(L206)=0,Q206=""),"",Q206/L206)</f>
        <v>0.7747904273678978</v>
      </c>
      <c r="S206" s="14" t="n">
        <v>416.37</v>
      </c>
      <c r="T206" s="13">
        <f>IF(OR(N(L206)=0,S206=""),"",S206/L206)</f>
        <v>0.9671350161084644</v>
      </c>
      <c r="U206" s="14" t="n">
        <v>228.416</v>
      </c>
      <c r="V206" s="13">
        <f>IF(OR(N(L206)=0,U206=""),"",U206/L206)</f>
        <v>0.5305596268689651</v>
      </c>
      <c r="W206" s="14" t="n">
        <v>1594.752</v>
      </c>
      <c r="X206" s="14" t="n">
        <v>1207.628</v>
      </c>
      <c r="Y206" s="13">
        <f>IF(OR(N(W206)=0,X206=""),"",X206/W206)</f>
        <v>0.757251284212216</v>
      </c>
      <c r="Z206" s="11" t="str">
        <f>IF(AA206="A","四季持續盈利",IF(AA206="B","最新季為正/波動",IF(AA206="C","虧損收窄",IF(AA206="D","虧損擴大或轉虧","數據不足"))))</f>
        <v>四季持續盈利</v>
      </c>
      <c r="AA206" s="9" t="str">
        <f>IF(COUNT(N206:Q206)&lt;4,"—",IF(MIN(N206:Q206)&gt;0,"A",IF(Q206&gt;0,"B",IF(Q206&gt;N206,"C","D"))))</f>
        <v>A</v>
      </c>
      <c r="AB206" s="9" t="inlineStr">
        <is>
          <t>2026-06-30</t>
        </is>
      </c>
    </row>
    <row r="207" ht="15" customHeight="1">
      <c r="A207" s="9" t="n">
        <v>206</v>
      </c>
      <c r="B207" s="10" t="inlineStr">
        <is>
          <t>GLW</t>
        </is>
      </c>
      <c r="C207" s="11" t="inlineStr">
        <is>
          <t>—</t>
        </is>
      </c>
      <c r="D207" s="11" t="inlineStr">
        <is>
          <t>Corning Incorporated</t>
        </is>
      </c>
      <c r="E207" s="11" t="inlineStr">
        <is>
          <t>D6 光纖</t>
        </is>
      </c>
      <c r="F207" s="9" t="inlineStr">
        <is>
          <t>USD</t>
        </is>
      </c>
      <c r="G207" s="11" t="inlineStr">
        <is>
          <t>25Q2 / 25Q3 / 25Q4 / 26Q1 / 26Q2</t>
        </is>
      </c>
      <c r="H207" s="12" t="n">
        <v>3862</v>
      </c>
      <c r="I207" s="12" t="n">
        <v>4100</v>
      </c>
      <c r="J207" s="12" t="n">
        <v>4215</v>
      </c>
      <c r="K207" s="12" t="n">
        <v>4144</v>
      </c>
      <c r="L207" s="12" t="n">
        <v>4505</v>
      </c>
      <c r="M207" s="13">
        <f>IF(OR(N(H207)=0,L207=""),"",L207/H207-1)</f>
        <v>0.1664940445365095</v>
      </c>
      <c r="N207" s="14" t="n">
        <v>589</v>
      </c>
      <c r="O207" s="14" t="n">
        <v>672</v>
      </c>
      <c r="P207" s="14" t="n">
        <v>639</v>
      </c>
      <c r="Q207" s="14" t="n">
        <v>698</v>
      </c>
      <c r="R207" s="13">
        <f>IF(OR(N(L207)=0,Q207=""),"",Q207/L207)</f>
        <v>0.15493895671476138</v>
      </c>
      <c r="S207" s="14" t="n">
        <v>1628</v>
      </c>
      <c r="T207" s="13">
        <f>IF(OR(N(L207)=0,S207=""),"",S207/L207)</f>
        <v>0.3613762486126526</v>
      </c>
      <c r="U207" s="14" t="n">
        <v>559</v>
      </c>
      <c r="V207" s="13">
        <f>IF(OR(N(L207)=0,U207=""),"",U207/L207)</f>
        <v>0.12408435072142064</v>
      </c>
      <c r="W207" s="14" t="n">
        <v>15629</v>
      </c>
      <c r="X207" s="14" t="n">
        <v>2279</v>
      </c>
      <c r="Y207" s="13">
        <f>IF(OR(N(W207)=0,X207=""),"",X207/W207)</f>
        <v>0.1458186704203724</v>
      </c>
      <c r="Z207" s="11" t="str">
        <f>IF(AA207="A","四季持續盈利",IF(AA207="B","最新季為正/波動",IF(AA207="C","虧損收窄",IF(AA207="D","虧損擴大或轉虧","數據不足"))))</f>
        <v>四季持續盈利</v>
      </c>
      <c r="AA207" s="9" t="str">
        <f>IF(COUNT(N207:Q207)&lt;4,"—",IF(MIN(N207:Q207)&gt;0,"A",IF(Q207&gt;0,"B",IF(Q207&gt;N207,"C","D"))))</f>
        <v>A</v>
      </c>
      <c r="AB207" s="9" t="inlineStr">
        <is>
          <t>2026-06-30</t>
        </is>
      </c>
    </row>
    <row r="208" ht="15" customHeight="1">
      <c r="A208" s="9" t="n">
        <v>207</v>
      </c>
      <c r="B208" s="10" t="inlineStr">
        <is>
          <t>GM</t>
        </is>
      </c>
      <c r="C208" s="11" t="inlineStr">
        <is>
          <t>傳統汽車與零部件</t>
        </is>
      </c>
      <c r="D208" s="11" t="inlineStr">
        <is>
          <t>General Motors Company</t>
        </is>
      </c>
      <c r="E208" s="11" t="inlineStr">
        <is>
          <t>Auto Manufacturers</t>
        </is>
      </c>
      <c r="F208" s="9" t="inlineStr">
        <is>
          <t>USD</t>
        </is>
      </c>
      <c r="G208" s="11" t="inlineStr">
        <is>
          <t>25Q2 / 25Q3 / 25Q4 / 26Q1 / 26Q2</t>
        </is>
      </c>
      <c r="H208" s="12" t="n">
        <v>47122</v>
      </c>
      <c r="I208" s="12" t="n">
        <v>48591</v>
      </c>
      <c r="J208" s="12" t="n">
        <v>45286</v>
      </c>
      <c r="K208" s="12" t="n">
        <v>43624</v>
      </c>
      <c r="L208" s="12" t="n">
        <v>48026</v>
      </c>
      <c r="M208" s="13">
        <f>IF(OR(N(H208)=0,L208=""),"",L208/H208-1)</f>
        <v>0.019184245150885015</v>
      </c>
      <c r="N208" s="14" t="n">
        <v>1076</v>
      </c>
      <c r="O208" s="14" t="n">
        <v>-3647</v>
      </c>
      <c r="P208" s="14" t="n">
        <v>2926</v>
      </c>
      <c r="Q208" s="14" t="n">
        <v>1459</v>
      </c>
      <c r="R208" s="13">
        <f>IF(OR(N(L208)=0,Q208=""),"",Q208/L208)</f>
        <v>0.030379377837004954</v>
      </c>
      <c r="S208" s="14" t="n">
        <v>3656</v>
      </c>
      <c r="T208" s="13">
        <f>IF(OR(N(L208)=0,S208=""),"",S208/L208)</f>
        <v>0.07612543205763544</v>
      </c>
      <c r="U208" s="14" t="n">
        <v>1305</v>
      </c>
      <c r="V208" s="13">
        <f>IF(OR(N(L208)=0,U208=""),"",U208/L208)</f>
        <v>0.027172781410069544</v>
      </c>
      <c r="W208" s="14" t="n">
        <v>185019</v>
      </c>
      <c r="X208" s="14" t="n">
        <v>2909</v>
      </c>
      <c r="Y208" s="13">
        <f>IF(OR(N(W208)=0,X208=""),"",X208/W208)</f>
        <v>0.015722709559558748</v>
      </c>
      <c r="Z208" s="11" t="str">
        <f>IF(AA208="A","四季持續盈利",IF(AA208="B","最新季為正/波動",IF(AA208="C","虧損收窄",IF(AA208="D","虧損擴大或轉虧","數據不足"))))</f>
        <v>最新季為正/波動</v>
      </c>
      <c r="AA208" s="9" t="str">
        <f>IF(COUNT(N208:Q208)&lt;4,"—",IF(MIN(N208:Q208)&gt;0,"A",IF(Q208&gt;0,"B",IF(Q208&gt;N208,"C","D"))))</f>
        <v>B</v>
      </c>
      <c r="AB208" s="9" t="inlineStr">
        <is>
          <t>2026-06-30</t>
        </is>
      </c>
    </row>
    <row r="209" ht="15" customHeight="1">
      <c r="A209" s="9" t="n">
        <v>208</v>
      </c>
      <c r="B209" s="10" t="inlineStr">
        <is>
          <t>GNRC</t>
        </is>
      </c>
      <c r="C209" s="11" t="inlineStr">
        <is>
          <t>—</t>
        </is>
      </c>
      <c r="D209" s="11" t="inlineStr">
        <is>
          <t>Generac Holdings Inc.</t>
        </is>
      </c>
      <c r="E209" s="11" t="inlineStr">
        <is>
          <t>F1 電源</t>
        </is>
      </c>
      <c r="F209" s="9" t="inlineStr">
        <is>
          <t>USD</t>
        </is>
      </c>
      <c r="G209" s="11" t="inlineStr">
        <is>
          <t>25Q2 / 25Q3 / 25Q4 / 26Q1 / 26Q2</t>
        </is>
      </c>
      <c r="H209" s="12" t="n">
        <v>1061.169</v>
      </c>
      <c r="I209" s="12" t="n">
        <v>1114.353</v>
      </c>
      <c r="J209" s="12" t="n">
        <v>1091.504</v>
      </c>
      <c r="K209" s="12" t="n">
        <v>1059.365</v>
      </c>
      <c r="L209" s="12" t="n">
        <v>1173.51</v>
      </c>
      <c r="M209" s="13">
        <f>IF(OR(N(H209)=0,L209=""),"",L209/H209-1)</f>
        <v>0.10586532399646043</v>
      </c>
      <c r="N209" s="14" t="n">
        <v>103.079</v>
      </c>
      <c r="O209" s="14" t="n">
        <v>-9.315</v>
      </c>
      <c r="P209" s="14" t="n">
        <v>117.291</v>
      </c>
      <c r="Q209" s="14" t="n">
        <v>210.433</v>
      </c>
      <c r="R209" s="13">
        <f>IF(OR(N(L209)=0,Q209=""),"",Q209/L209)</f>
        <v>0.17931930703615648</v>
      </c>
      <c r="S209" s="14" t="n">
        <v>521.811</v>
      </c>
      <c r="T209" s="13">
        <f>IF(OR(N(L209)=0,S209=""),"",S209/L209)</f>
        <v>0.44465833269422506</v>
      </c>
      <c r="U209" s="14" t="n">
        <v>143.244</v>
      </c>
      <c r="V209" s="13">
        <f>IF(OR(N(L209)=0,U209=""),"",U209/L209)</f>
        <v>0.12206457550425646</v>
      </c>
      <c r="W209" s="14" t="n">
        <v>4209.147</v>
      </c>
      <c r="X209" s="14" t="n">
        <v>289.191</v>
      </c>
      <c r="Y209" s="13">
        <f>IF(OR(N(W209)=0,X209=""),"",X209/W209)</f>
        <v>0.0687053695202377</v>
      </c>
      <c r="Z209" s="11" t="str">
        <f>IF(AA209="A","四季持續盈利",IF(AA209="B","最新季為正/波動",IF(AA209="C","虧損收窄",IF(AA209="D","虧損擴大或轉虧","數據不足"))))</f>
        <v>最新季為正/波動</v>
      </c>
      <c r="AA209" s="9" t="str">
        <f>IF(COUNT(N209:Q209)&lt;4,"—",IF(MIN(N209:Q209)&gt;0,"A",IF(Q209&gt;0,"B",IF(Q209&gt;N209,"C","D"))))</f>
        <v>B</v>
      </c>
      <c r="AB209" s="9" t="inlineStr">
        <is>
          <t>2026-06-30</t>
        </is>
      </c>
    </row>
    <row r="210" ht="15" customHeight="1">
      <c r="A210" s="9" t="n">
        <v>209</v>
      </c>
      <c r="B210" s="10" t="inlineStr">
        <is>
          <t>GOLD</t>
        </is>
      </c>
      <c r="C210" s="11" t="inlineStr">
        <is>
          <t>黃金與貴金屬礦</t>
        </is>
      </c>
      <c r="D210" s="11" t="inlineStr">
        <is>
          <t>Gold.com, Inc.</t>
        </is>
      </c>
      <c r="E210" s="11" t="inlineStr">
        <is>
          <t>Capital Markets</t>
        </is>
      </c>
      <c r="F210" s="9" t="inlineStr">
        <is>
          <t>USD</t>
        </is>
      </c>
      <c r="G210" s="11" t="inlineStr">
        <is>
          <t>25Q1 / 25Q2 / 25Q3 / 25Q4 / 26Q1</t>
        </is>
      </c>
      <c r="H210" s="12" t="n">
        <v>3009.125</v>
      </c>
      <c r="I210" s="12" t="n">
        <v>2512.048</v>
      </c>
      <c r="J210" s="12" t="n">
        <v>3680.766</v>
      </c>
      <c r="K210" s="12" t="n">
        <v>6476.9</v>
      </c>
      <c r="L210" s="12" t="n">
        <v>10350.729</v>
      </c>
      <c r="M210" s="13">
        <f>IF(OR(N(H210)=0,L210=""),"",L210/H210-1)</f>
        <v>2.439780334814938</v>
      </c>
      <c r="N210" s="14" t="n">
        <v>19.695</v>
      </c>
      <c r="O210" s="14" t="n">
        <v>5.492</v>
      </c>
      <c r="P210" s="14" t="n">
        <v>25.948</v>
      </c>
      <c r="Q210" s="14" t="n">
        <v>89.129</v>
      </c>
      <c r="R210" s="13">
        <f>IF(OR(N(L210)=0,Q210=""),"",Q210/L210)</f>
        <v>0.008610891078299897</v>
      </c>
      <c r="S210" s="14" t="n">
        <v>176.58</v>
      </c>
      <c r="T210" s="13">
        <f>IF(OR(N(L210)=0,S210=""),"",S210/L210)</f>
        <v>0.017059667971212465</v>
      </c>
      <c r="U210" s="14" t="n">
        <v>59.487</v>
      </c>
      <c r="V210" s="13">
        <f>IF(OR(N(L210)=0,U210=""),"",U210/L210)</f>
        <v>0.005747131433930886</v>
      </c>
      <c r="W210" s="14" t="n">
        <v>10978.614</v>
      </c>
      <c r="X210" s="14" t="n">
        <v>48.803</v>
      </c>
      <c r="Y210" s="13">
        <f>IF(OR(N(W210)=0,X210=""),"",X210/W210)</f>
        <v>0.004445278793844105</v>
      </c>
      <c r="Z210" s="11" t="str">
        <f>IF(AA210="A","四季持續盈利",IF(AA210="B","最新季為正/波動",IF(AA210="C","虧損收窄",IF(AA210="D","虧損擴大或轉虧","數據不足"))))</f>
        <v>四季持續盈利</v>
      </c>
      <c r="AA210" s="9" t="str">
        <f>IF(COUNT(N210:Q210)&lt;4,"—",IF(MIN(N210:Q210)&gt;0,"A",IF(Q210&gt;0,"B",IF(Q210&gt;N210,"C","D"))))</f>
        <v>A</v>
      </c>
      <c r="AB210" s="9" t="inlineStr">
        <is>
          <t>2026-03-31</t>
        </is>
      </c>
    </row>
    <row r="211" ht="15" customHeight="1">
      <c r="A211" s="9" t="n">
        <v>210</v>
      </c>
      <c r="B211" s="10" t="inlineStr">
        <is>
          <t>GOOGL</t>
        </is>
      </c>
      <c r="C211" s="11" t="inlineStr">
        <is>
          <t>大型網絡平台與數位廣告、雲端基建/IaaS/Neocloud</t>
        </is>
      </c>
      <c r="D211" s="11" t="inlineStr">
        <is>
          <t>Alphabet Inc.</t>
        </is>
      </c>
      <c r="E211" s="11" t="inlineStr">
        <is>
          <t>AA2 Hyperscaler</t>
        </is>
      </c>
      <c r="F211" s="9" t="inlineStr">
        <is>
          <t>USD</t>
        </is>
      </c>
      <c r="G211" s="11" t="inlineStr">
        <is>
          <t>25Q2 / 25Q3 / 25Q4 / 26Q1 / 26Q2</t>
        </is>
      </c>
      <c r="H211" s="12" t="n">
        <v>96428</v>
      </c>
      <c r="I211" s="12" t="n">
        <v>102346</v>
      </c>
      <c r="J211" s="12" t="n">
        <v>113829</v>
      </c>
      <c r="K211" s="12" t="n">
        <v>109896</v>
      </c>
      <c r="L211" s="12" t="n">
        <v>119796</v>
      </c>
      <c r="M211" s="13">
        <f>IF(OR(N(H211)=0,L211=""),"",L211/H211-1)</f>
        <v>0.2423362508814868</v>
      </c>
      <c r="N211" s="14" t="n">
        <v>31228</v>
      </c>
      <c r="O211" s="14" t="n">
        <v>35934</v>
      </c>
      <c r="P211" s="14" t="n">
        <v>39696</v>
      </c>
      <c r="Q211" s="14" t="n">
        <v>40770</v>
      </c>
      <c r="R211" s="13">
        <f>IF(OR(N(L211)=0,Q211=""),"",Q211/L211)</f>
        <v>0.3403285585495342</v>
      </c>
      <c r="S211" s="14" t="n">
        <v>73853</v>
      </c>
      <c r="T211" s="13">
        <f>IF(OR(N(L211)=0,S211=""),"",S211/L211)</f>
        <v>0.6164896991552306</v>
      </c>
      <c r="U211" s="14" t="n">
        <v>112193</v>
      </c>
      <c r="V211" s="13">
        <f>IF(OR(N(L211)=0,U211=""),"",U211/L211)</f>
        <v>0.9365337740826071</v>
      </c>
      <c r="W211" s="14" t="n">
        <v>402836</v>
      </c>
      <c r="X211" s="14" t="n">
        <v>129039</v>
      </c>
      <c r="Y211" s="13">
        <f>IF(OR(N(W211)=0,X211=""),"",X211/W211)</f>
        <v>0.32032638592380025</v>
      </c>
      <c r="Z211" s="11" t="str">
        <f>IF(AA211="A","四季持續盈利",IF(AA211="B","最新季為正/波動",IF(AA211="C","虧損收窄",IF(AA211="D","虧損擴大或轉虧","數據不足"))))</f>
        <v>四季持續盈利</v>
      </c>
      <c r="AA211" s="9" t="str">
        <f>IF(COUNT(N211:Q211)&lt;4,"—",IF(MIN(N211:Q211)&gt;0,"A",IF(Q211&gt;0,"B",IF(Q211&gt;N211,"C","D"))))</f>
        <v>A</v>
      </c>
      <c r="AB211" s="9" t="inlineStr">
        <is>
          <t>2026-06-30</t>
        </is>
      </c>
    </row>
    <row r="212" ht="15" customHeight="1">
      <c r="A212" s="9" t="n">
        <v>211</v>
      </c>
      <c r="B212" s="10" t="inlineStr">
        <is>
          <t>GPN</t>
        </is>
      </c>
      <c r="C212" s="11" t="inlineStr">
        <is>
          <t>支付與收單</t>
        </is>
      </c>
      <c r="D212" s="11" t="inlineStr">
        <is>
          <t>Global Payments Inc.</t>
        </is>
      </c>
      <c r="E212" s="11" t="inlineStr">
        <is>
          <t>Specialty Business Services</t>
        </is>
      </c>
      <c r="F212" s="9" t="inlineStr">
        <is>
          <t>USD</t>
        </is>
      </c>
      <c r="G212" s="11" t="inlineStr">
        <is>
          <t>25Q2 / 25Q3 / 25Q4 / 26Q1 / 26Q2</t>
        </is>
      </c>
      <c r="H212" s="12" t="n">
        <v>1969.287</v>
      </c>
      <c r="I212" s="12" t="n">
        <v>2007.637</v>
      </c>
      <c r="J212" s="12" t="n">
        <v>1932.807</v>
      </c>
      <c r="K212" s="12" t="n">
        <v>2969.682</v>
      </c>
      <c r="L212" s="12" t="n">
        <v>3320.791</v>
      </c>
      <c r="M212" s="13">
        <f>IF(OR(N(H212)=0,L212=""),"",L212/H212-1)</f>
        <v>0.6862910281741565</v>
      </c>
      <c r="N212" s="14" t="n">
        <v>434.123</v>
      </c>
      <c r="O212" s="14" t="n">
        <v>234.701</v>
      </c>
      <c r="P212" s="14" t="n">
        <v>-15.646</v>
      </c>
      <c r="Q212" s="14" t="n">
        <v>337.121</v>
      </c>
      <c r="R212" s="13">
        <f>IF(OR(N(L212)=0,Q212=""),"",Q212/L212)</f>
        <v>0.10151828284285279</v>
      </c>
      <c r="S212" s="14" t="n">
        <v>2026.912</v>
      </c>
      <c r="T212" s="13">
        <f>IF(OR(N(L212)=0,S212=""),"",S212/L212)</f>
        <v>0.6103702401024335</v>
      </c>
      <c r="U212" s="14" t="n">
        <v>12.971</v>
      </c>
      <c r="V212" s="13">
        <f>IF(OR(N(L212)=0,U212=""),"",U212/L212)</f>
        <v>0.0039059970952703736</v>
      </c>
      <c r="W212" s="14" t="n">
        <v>7705.878</v>
      </c>
      <c r="X212" s="14" t="n">
        <v>1471.866</v>
      </c>
      <c r="Y212" s="13">
        <f>IF(OR(N(W212)=0,X212=""),"",X212/W212)</f>
        <v>0.19100561934668575</v>
      </c>
      <c r="Z212" s="11" t="str">
        <f>IF(AA212="A","四季持續盈利",IF(AA212="B","最新季為正/波動",IF(AA212="C","虧損收窄",IF(AA212="D","虧損擴大或轉虧","數據不足"))))</f>
        <v>最新季為正/波動</v>
      </c>
      <c r="AA212" s="9" t="str">
        <f>IF(COUNT(N212:Q212)&lt;4,"—",IF(MIN(N212:Q212)&gt;0,"A",IF(Q212&gt;0,"B",IF(Q212&gt;N212,"C","D"))))</f>
        <v>B</v>
      </c>
      <c r="AB212" s="9" t="inlineStr">
        <is>
          <t>2026-06-30</t>
        </is>
      </c>
    </row>
    <row r="213" ht="15" customHeight="1">
      <c r="A213" s="9" t="n">
        <v>212</v>
      </c>
      <c r="B213" s="10" t="inlineStr">
        <is>
          <t>GS</t>
        </is>
      </c>
      <c r="C213" s="11" t="inlineStr">
        <is>
          <t>投行與資本巿場</t>
        </is>
      </c>
      <c r="D213" s="11" t="inlineStr">
        <is>
          <t>The Goldman Sachs Group, Inc.</t>
        </is>
      </c>
      <c r="E213" s="11" t="inlineStr">
        <is>
          <t>Capital Markets</t>
        </is>
      </c>
      <c r="F213" s="9" t="inlineStr">
        <is>
          <t>USD</t>
        </is>
      </c>
      <c r="G213" s="11" t="inlineStr">
        <is>
          <t>25Q2 / 25Q3 / 25Q4 / 26Q1 / 26Q2</t>
        </is>
      </c>
      <c r="H213" s="12" t="n">
        <v>14583</v>
      </c>
      <c r="I213" s="12" t="n">
        <v>15184</v>
      </c>
      <c r="J213" s="12" t="n">
        <v>13454</v>
      </c>
      <c r="K213" s="12" t="n">
        <v>17227</v>
      </c>
      <c r="L213" s="12" t="n"/>
      <c r="M213" s="13" t="str">
        <f>IF(OR(N(H213)=0,L213=""),"",L213/H213-1)</f>
        <v/>
      </c>
      <c r="N213" s="14" t="n"/>
      <c r="O213" s="14" t="n"/>
      <c r="P213" s="14" t="n"/>
      <c r="Q213" s="14" t="n"/>
      <c r="R213" s="13" t="str">
        <f>IF(OR(N(L213)=0,Q213=""),"",Q213/L213)</f>
        <v/>
      </c>
      <c r="S213" s="14" t="n"/>
      <c r="T213" s="13" t="str">
        <f>IF(OR(N(L213)=0,S213=""),"",S213/L213)</f>
        <v/>
      </c>
      <c r="U213" s="14" t="n"/>
      <c r="V213" s="13" t="str">
        <f>IF(OR(N(L213)=0,U213=""),"",U213/L213)</f>
        <v/>
      </c>
      <c r="W213" s="14" t="n">
        <v>58283</v>
      </c>
      <c r="X213" s="14" t="n"/>
      <c r="Y213" s="13" t="str">
        <f>IF(OR(N(W213)=0,X213=""),"",X213/W213)</f>
        <v/>
      </c>
      <c r="Z213" s="11" t="str">
        <f>IF(AA213="A","四季持續盈利",IF(AA213="B","最新季為正/波動",IF(AA213="C","虧損收窄",IF(AA213="D","虧損擴大或轉虧","數據不足"))))</f>
        <v>數據不足</v>
      </c>
      <c r="AA213" s="9" t="str">
        <f>IF(COUNT(N213:Q213)&lt;4,"—",IF(MIN(N213:Q213)&gt;0,"A",IF(Q213&gt;0,"B",IF(Q213&gt;N213,"C","D"))))</f>
        <v>—</v>
      </c>
      <c r="AB213" s="9" t="inlineStr">
        <is>
          <t>2026-06-30</t>
        </is>
      </c>
    </row>
    <row r="214" ht="15" customHeight="1">
      <c r="A214" s="9" t="n">
        <v>213</v>
      </c>
      <c r="B214" s="10" t="inlineStr">
        <is>
          <t>HAL</t>
        </is>
      </c>
      <c r="C214" s="11" t="inlineStr">
        <is>
          <t>油田服務</t>
        </is>
      </c>
      <c r="D214" s="11" t="inlineStr">
        <is>
          <t>Halliburton Company</t>
        </is>
      </c>
      <c r="E214" s="11" t="inlineStr">
        <is>
          <t>Oil &amp; Gas Equipment &amp; Services</t>
        </is>
      </c>
      <c r="F214" s="9" t="inlineStr">
        <is>
          <t>USD</t>
        </is>
      </c>
      <c r="G214" s="11" t="inlineStr">
        <is>
          <t>25Q2 / 25Q3 / 25Q4 / 26Q1 / 26Q2</t>
        </is>
      </c>
      <c r="H214" s="12" t="n">
        <v>5510</v>
      </c>
      <c r="I214" s="12" t="n">
        <v>5600</v>
      </c>
      <c r="J214" s="12" t="n">
        <v>5657</v>
      </c>
      <c r="K214" s="12" t="n">
        <v>5402</v>
      </c>
      <c r="L214" s="12" t="n">
        <v>5714</v>
      </c>
      <c r="M214" s="13">
        <f>IF(OR(N(H214)=0,L214=""),"",L214/H214-1)</f>
        <v>0.0370235934664247</v>
      </c>
      <c r="N214" s="14" t="n">
        <v>748</v>
      </c>
      <c r="O214" s="14" t="n">
        <v>829</v>
      </c>
      <c r="P214" s="14" t="n">
        <v>679</v>
      </c>
      <c r="Q214" s="14" t="n">
        <v>683</v>
      </c>
      <c r="R214" s="13">
        <f>IF(OR(N(L214)=0,Q214=""),"",Q214/L214)</f>
        <v>0.11953097654882744</v>
      </c>
      <c r="S214" s="14" t="n">
        <v>804</v>
      </c>
      <c r="T214" s="13">
        <f>IF(OR(N(L214)=0,S214=""),"",S214/L214)</f>
        <v>0.1407070353517676</v>
      </c>
      <c r="U214" s="14" t="n">
        <v>534</v>
      </c>
      <c r="V214" s="13">
        <f>IF(OR(N(L214)=0,U214=""),"",U214/L214)</f>
        <v>0.09345467273363668</v>
      </c>
      <c r="W214" s="14" t="n">
        <v>22184</v>
      </c>
      <c r="X214" s="14" t="n">
        <v>3091</v>
      </c>
      <c r="Y214" s="13">
        <f>IF(OR(N(W214)=0,X214=""),"",X214/W214)</f>
        <v>0.13933465560764516</v>
      </c>
      <c r="Z214" s="11" t="str">
        <f>IF(AA214="A","四季持續盈利",IF(AA214="B","最新季為正/波動",IF(AA214="C","虧損收窄",IF(AA214="D","虧損擴大或轉虧","數據不足"))))</f>
        <v>四季持續盈利</v>
      </c>
      <c r="AA214" s="9" t="str">
        <f>IF(COUNT(N214:Q214)&lt;4,"—",IF(MIN(N214:Q214)&gt;0,"A",IF(Q214&gt;0,"B",IF(Q214&gt;N214,"C","D"))))</f>
        <v>A</v>
      </c>
      <c r="AB214" s="9" t="inlineStr">
        <is>
          <t>2026-06-30</t>
        </is>
      </c>
    </row>
    <row r="215" ht="15" customHeight="1">
      <c r="A215" s="9" t="n">
        <v>214</v>
      </c>
      <c r="B215" s="10" t="inlineStr">
        <is>
          <t>HBM</t>
        </is>
      </c>
      <c r="C215" s="11" t="inlineStr">
        <is>
          <t>銅與基本金屬</t>
        </is>
      </c>
      <c r="D215" s="11" t="inlineStr">
        <is>
          <t>Hudbay Minerals Inc.</t>
        </is>
      </c>
      <c r="E215" s="11" t="inlineStr">
        <is>
          <t>Copper</t>
        </is>
      </c>
      <c r="F215" s="9" t="inlineStr">
        <is>
          <t>USD</t>
        </is>
      </c>
      <c r="G215" s="11" t="inlineStr">
        <is>
          <t>25Q2 / 25Q3 / 25Q4 / 26Q1 / 26Q2</t>
        </is>
      </c>
      <c r="H215" s="12" t="n">
        <v>536.4</v>
      </c>
      <c r="I215" s="12" t="n">
        <v>346.8</v>
      </c>
      <c r="J215" s="12" t="n">
        <v>732.9</v>
      </c>
      <c r="K215" s="12" t="n">
        <v>757.3</v>
      </c>
      <c r="L215" s="12" t="n">
        <v>631.3</v>
      </c>
      <c r="M215" s="13">
        <f>IF(OR(N(H215)=0,L215=""),"",L215/H215-1)</f>
        <v>0.1769202087994033</v>
      </c>
      <c r="N215" s="14" t="n">
        <v>10.4</v>
      </c>
      <c r="O215" s="14" t="n">
        <v>217.2</v>
      </c>
      <c r="P215" s="14" t="n">
        <v>302.6</v>
      </c>
      <c r="Q215" s="14" t="n">
        <v>204.5</v>
      </c>
      <c r="R215" s="13">
        <f>IF(OR(N(L215)=0,Q215=""),"",Q215/L215)</f>
        <v>0.32393473784254717</v>
      </c>
      <c r="S215" s="14" t="n">
        <v>269</v>
      </c>
      <c r="T215" s="13">
        <f>IF(OR(N(L215)=0,S215=""),"",S215/L215)</f>
        <v>0.42610486298115</v>
      </c>
      <c r="U215" s="14" t="n">
        <v>137.4</v>
      </c>
      <c r="V215" s="13">
        <f>IF(OR(N(L215)=0,U215=""),"",U215/L215)</f>
        <v>0.21764612703944244</v>
      </c>
      <c r="W215" s="14" t="n">
        <v>2211</v>
      </c>
      <c r="X215" s="14" t="n">
        <v>561.6</v>
      </c>
      <c r="Y215" s="13">
        <f>IF(OR(N(W215)=0,X215=""),"",X215/W215)</f>
        <v>0.25400271370420624</v>
      </c>
      <c r="Z215" s="11" t="str">
        <f>IF(AA215="A","四季持續盈利",IF(AA215="B","最新季為正/波動",IF(AA215="C","虧損收窄",IF(AA215="D","虧損擴大或轉虧","數據不足"))))</f>
        <v>四季持續盈利</v>
      </c>
      <c r="AA215" s="9" t="str">
        <f>IF(COUNT(N215:Q215)&lt;4,"—",IF(MIN(N215:Q215)&gt;0,"A",IF(Q215&gt;0,"B",IF(Q215&gt;N215,"C","D"))))</f>
        <v>A</v>
      </c>
      <c r="AB215" s="9" t="inlineStr">
        <is>
          <t>2026-06-30</t>
        </is>
      </c>
    </row>
    <row r="216" ht="15" customHeight="1">
      <c r="A216" s="9" t="n">
        <v>215</v>
      </c>
      <c r="B216" s="10" t="inlineStr">
        <is>
          <t>HCA</t>
        </is>
      </c>
      <c r="C216" s="11" t="inlineStr">
        <is>
          <t>醫院與醫療服務</t>
        </is>
      </c>
      <c r="D216" s="11" t="inlineStr">
        <is>
          <t>HCA Healthcare, Inc.</t>
        </is>
      </c>
      <c r="E216" s="11" t="inlineStr">
        <is>
          <t>Medical Care Facilities</t>
        </is>
      </c>
      <c r="F216" s="9" t="inlineStr">
        <is>
          <t>USD</t>
        </is>
      </c>
      <c r="G216" s="11" t="inlineStr">
        <is>
          <t>25Q2 / 25Q3 / 25Q4 / 26Q1 / 26Q2</t>
        </is>
      </c>
      <c r="H216" s="12" t="n">
        <v>18605</v>
      </c>
      <c r="I216" s="12" t="n">
        <v>19161</v>
      </c>
      <c r="J216" s="12" t="n">
        <v>19513</v>
      </c>
      <c r="K216" s="12" t="n">
        <v>19109</v>
      </c>
      <c r="L216" s="12" t="n">
        <v>20230</v>
      </c>
      <c r="M216" s="13">
        <f>IF(OR(N(H216)=0,L216=""),"",L216/H216-1)</f>
        <v>0.08734211233539368</v>
      </c>
      <c r="N216" s="14" t="n">
        <v>2965</v>
      </c>
      <c r="O216" s="14" t="n">
        <v>3178</v>
      </c>
      <c r="P216" s="14" t="n">
        <v>2863</v>
      </c>
      <c r="Q216" s="14" t="n">
        <v>3067</v>
      </c>
      <c r="R216" s="13">
        <f>IF(OR(N(L216)=0,Q216=""),"",Q216/L216)</f>
        <v>0.15160652496292634</v>
      </c>
      <c r="S216" s="14" t="n">
        <v>9054</v>
      </c>
      <c r="T216" s="13">
        <f>IF(OR(N(L216)=0,S216=""),"",S216/L216)</f>
        <v>0.4475531389026199</v>
      </c>
      <c r="U216" s="14" t="n">
        <v>1699</v>
      </c>
      <c r="V216" s="13">
        <f>IF(OR(N(L216)=0,U216=""),"",U216/L216)</f>
        <v>0.08398418190805734</v>
      </c>
      <c r="W216" s="14" t="n">
        <v>75600</v>
      </c>
      <c r="X216" s="14" t="n">
        <v>11965</v>
      </c>
      <c r="Y216" s="13">
        <f>IF(OR(N(W216)=0,X216=""),"",X216/W216)</f>
        <v>0.15826719576719578</v>
      </c>
      <c r="Z216" s="11" t="str">
        <f>IF(AA216="A","四季持續盈利",IF(AA216="B","最新季為正/波動",IF(AA216="C","虧損收窄",IF(AA216="D","虧損擴大或轉虧","數據不足"))))</f>
        <v>四季持續盈利</v>
      </c>
      <c r="AA216" s="9" t="str">
        <f>IF(COUNT(N216:Q216)&lt;4,"—",IF(MIN(N216:Q216)&gt;0,"A",IF(Q216&gt;0,"B",IF(Q216&gt;N216,"C","D"))))</f>
        <v>A</v>
      </c>
      <c r="AB216" s="9" t="inlineStr">
        <is>
          <t>2026-06-30</t>
        </is>
      </c>
    </row>
    <row r="217" ht="15" customHeight="1">
      <c r="A217" s="9" t="n">
        <v>216</v>
      </c>
      <c r="B217" s="10" t="inlineStr">
        <is>
          <t>HCC</t>
        </is>
      </c>
      <c r="C217" s="11" t="inlineStr">
        <is>
          <t>煤炭</t>
        </is>
      </c>
      <c r="D217" s="11" t="inlineStr">
        <is>
          <t>Warrior Met Coal, Inc.</t>
        </is>
      </c>
      <c r="E217" s="11" t="inlineStr">
        <is>
          <t>Coking Coal</t>
        </is>
      </c>
      <c r="F217" s="9" t="inlineStr">
        <is>
          <t>USD</t>
        </is>
      </c>
      <c r="G217" s="11" t="inlineStr">
        <is>
          <t>25Q2 / 25Q3 / 25Q4 / 26Q1 / 26Q2</t>
        </is>
      </c>
      <c r="H217" s="12" t="n">
        <v>297.523</v>
      </c>
      <c r="I217" s="12" t="n">
        <v>328.589</v>
      </c>
      <c r="J217" s="12" t="n">
        <v>383.988</v>
      </c>
      <c r="K217" s="12" t="n">
        <v>458.588</v>
      </c>
      <c r="L217" s="12" t="n">
        <v>509.69</v>
      </c>
      <c r="M217" s="13">
        <f>IF(OR(N(H217)=0,L217=""),"",L217/H217-1)</f>
        <v>0.7131112552642986</v>
      </c>
      <c r="N217" s="14" t="n">
        <v>20.724</v>
      </c>
      <c r="O217" s="14" t="n">
        <v>34.666</v>
      </c>
      <c r="P217" s="14" t="n">
        <v>79.36799999999999</v>
      </c>
      <c r="Q217" s="14" t="n">
        <v>94.521</v>
      </c>
      <c r="R217" s="13">
        <f>IF(OR(N(L217)=0,Q217=""),"",Q217/L217)</f>
        <v>0.18544801742235476</v>
      </c>
      <c r="S217" s="14" t="n">
        <v>104.318</v>
      </c>
      <c r="T217" s="13">
        <f>IF(OR(N(L217)=0,S217=""),"",S217/L217)</f>
        <v>0.20466950499323117</v>
      </c>
      <c r="U217" s="14" t="n">
        <v>87.429</v>
      </c>
      <c r="V217" s="13">
        <f>IF(OR(N(L217)=0,U217=""),"",U217/L217)</f>
        <v>0.171533677333281</v>
      </c>
      <c r="W217" s="14" t="n">
        <v>1310.043</v>
      </c>
      <c r="X217" s="14" t="n">
        <v>45.728</v>
      </c>
      <c r="Y217" s="13">
        <f>IF(OR(N(W217)=0,X217=""),"",X217/W217)</f>
        <v>0.03490572446858615</v>
      </c>
      <c r="Z217" s="11" t="str">
        <f>IF(AA217="A","四季持續盈利",IF(AA217="B","最新季為正/波動",IF(AA217="C","虧損收窄",IF(AA217="D","虧損擴大或轉虧","數據不足"))))</f>
        <v>四季持續盈利</v>
      </c>
      <c r="AA217" s="9" t="str">
        <f>IF(COUNT(N217:Q217)&lt;4,"—",IF(MIN(N217:Q217)&gt;0,"A",IF(Q217&gt;0,"B",IF(Q217&gt;N217,"C","D"))))</f>
        <v>A</v>
      </c>
      <c r="AB217" s="9" t="inlineStr">
        <is>
          <t>2026-06-30</t>
        </is>
      </c>
    </row>
    <row r="218" ht="15" customHeight="1">
      <c r="A218" s="9" t="n">
        <v>217</v>
      </c>
      <c r="B218" s="10" t="inlineStr">
        <is>
          <t>HD</t>
        </is>
      </c>
      <c r="C218" s="11" t="inlineStr">
        <is>
          <t>專門零售</t>
        </is>
      </c>
      <c r="D218" s="11" t="inlineStr">
        <is>
          <t>The Home Depot, Inc.</t>
        </is>
      </c>
      <c r="E218" s="11" t="inlineStr">
        <is>
          <t>Home Improvement Retail</t>
        </is>
      </c>
      <c r="F218" s="9" t="inlineStr">
        <is>
          <t>USD</t>
        </is>
      </c>
      <c r="G218" s="11" t="inlineStr">
        <is>
          <t>25Q3 / 25Q4 / 26Q1 / 26Q2 / 26Q3</t>
        </is>
      </c>
      <c r="H218" s="12" t="n">
        <v>45277</v>
      </c>
      <c r="I218" s="12" t="n">
        <v>41352</v>
      </c>
      <c r="J218" s="12" t="n">
        <v>38198</v>
      </c>
      <c r="K218" s="12" t="n">
        <v>41765</v>
      </c>
      <c r="L218" s="12" t="n">
        <v>47861</v>
      </c>
      <c r="M218" s="13">
        <f>IF(OR(N(H218)=0,L218=""),"",L218/H218-1)</f>
        <v>0.057070919009651666</v>
      </c>
      <c r="N218" s="14" t="n">
        <v>5353</v>
      </c>
      <c r="O218" s="14" t="n">
        <v>3849</v>
      </c>
      <c r="P218" s="14" t="n">
        <v>4981</v>
      </c>
      <c r="Q218" s="14" t="n">
        <v>6839</v>
      </c>
      <c r="R218" s="13">
        <f>IF(OR(N(L218)=0,Q218=""),"",Q218/L218)</f>
        <v>0.14289296086584066</v>
      </c>
      <c r="S218" s="14" t="n">
        <v>16115</v>
      </c>
      <c r="T218" s="13">
        <f>IF(OR(N(L218)=0,S218=""),"",S218/L218)</f>
        <v>0.3367042059296713</v>
      </c>
      <c r="U218" s="14" t="n">
        <v>4766</v>
      </c>
      <c r="V218" s="13">
        <f>IF(OR(N(L218)=0,U218=""),"",U218/L218)</f>
        <v>0.09958003384801822</v>
      </c>
      <c r="W218" s="14" t="n">
        <v>164683</v>
      </c>
      <c r="X218" s="14" t="n">
        <v>20890</v>
      </c>
      <c r="Y218" s="13">
        <f>IF(OR(N(W218)=0,X218=""),"",X218/W218)</f>
        <v>0.12684976591390731</v>
      </c>
      <c r="Z218" s="11" t="str">
        <f>IF(AA218="A","四季持續盈利",IF(AA218="B","最新季為正/波動",IF(AA218="C","虧損收窄",IF(AA218="D","虧損擴大或轉虧","數據不足"))))</f>
        <v>四季持續盈利</v>
      </c>
      <c r="AA218" s="9" t="str">
        <f>IF(COUNT(N218:Q218)&lt;4,"—",IF(MIN(N218:Q218)&gt;0,"A",IF(Q218&gt;0,"B",IF(Q218&gt;N218,"C","D"))))</f>
        <v>A</v>
      </c>
      <c r="AB218" s="9" t="inlineStr">
        <is>
          <t>2026-07-31</t>
        </is>
      </c>
    </row>
    <row r="219" ht="15" customHeight="1">
      <c r="A219" s="9" t="n">
        <v>218</v>
      </c>
      <c r="B219" s="10" t="inlineStr">
        <is>
          <t>HIMS</t>
        </is>
      </c>
      <c r="C219" s="11" t="inlineStr">
        <is>
          <t>數位醫療與遠距醫療</t>
        </is>
      </c>
      <c r="D219" s="11" t="inlineStr">
        <is>
          <t>Hims &amp; Hers Health, Inc.</t>
        </is>
      </c>
      <c r="E219" s="11" t="inlineStr">
        <is>
          <t>Drug Manufacturers - Specialty &amp; Generic</t>
        </is>
      </c>
      <c r="F219" s="9" t="inlineStr">
        <is>
          <t>USD</t>
        </is>
      </c>
      <c r="G219" s="11" t="inlineStr">
        <is>
          <t>25Q2 / 25Q3 / 25Q4 / 26Q1 / 26Q2</t>
        </is>
      </c>
      <c r="H219" s="12" t="n">
        <v>544.833</v>
      </c>
      <c r="I219" s="12" t="n">
        <v>598.976</v>
      </c>
      <c r="J219" s="12" t="n">
        <v>617.818</v>
      </c>
      <c r="K219" s="12" t="n">
        <v>608.104</v>
      </c>
      <c r="L219" s="12" t="n">
        <v>753.2140000000001</v>
      </c>
      <c r="M219" s="13">
        <f>IF(OR(N(H219)=0,L219=""),"",L219/H219-1)</f>
        <v>0.3824676552264641</v>
      </c>
      <c r="N219" s="14" t="n">
        <v>11.807</v>
      </c>
      <c r="O219" s="14" t="n">
        <v>9.186</v>
      </c>
      <c r="P219" s="14" t="n">
        <v>-78.32299999999999</v>
      </c>
      <c r="Q219" s="14" t="n">
        <v>-97.19199999999999</v>
      </c>
      <c r="R219" s="13">
        <f>IF(OR(N(L219)=0,Q219=""),"",Q219/L219)</f>
        <v>-0.12903636947799693</v>
      </c>
      <c r="S219" s="14" t="n">
        <v>480.803</v>
      </c>
      <c r="T219" s="13">
        <f>IF(OR(N(L219)=0,S219=""),"",S219/L219)</f>
        <v>0.6383351876093646</v>
      </c>
      <c r="U219" s="14" t="n">
        <v>-86.29000000000001</v>
      </c>
      <c r="V219" s="13">
        <f>IF(OR(N(L219)=0,U219=""),"",U219/L219)</f>
        <v>-0.1145623952820845</v>
      </c>
      <c r="W219" s="14" t="n">
        <v>2347.637</v>
      </c>
      <c r="X219" s="14" t="n">
        <v>105.613</v>
      </c>
      <c r="Y219" s="13">
        <f>IF(OR(N(W219)=0,X219=""),"",X219/W219)</f>
        <v>0.04498693792950102</v>
      </c>
      <c r="Z219" s="11" t="str">
        <f>IF(AA219="A","四季持續盈利",IF(AA219="B","最新季為正/波動",IF(AA219="C","虧損收窄",IF(AA219="D","虧損擴大或轉虧","數據不足"))))</f>
        <v>虧損擴大或轉虧</v>
      </c>
      <c r="AA219" s="9" t="str">
        <f>IF(COUNT(N219:Q219)&lt;4,"—",IF(MIN(N219:Q219)&gt;0,"A",IF(Q219&gt;0,"B",IF(Q219&gt;N219,"C","D"))))</f>
        <v>D</v>
      </c>
      <c r="AB219" s="9" t="inlineStr">
        <is>
          <t>2026-06-30</t>
        </is>
      </c>
    </row>
    <row r="220" ht="15" customHeight="1">
      <c r="A220" s="9" t="n">
        <v>219</v>
      </c>
      <c r="B220" s="10" t="inlineStr">
        <is>
          <t>HIW</t>
        </is>
      </c>
      <c r="C220" s="11" t="inlineStr">
        <is>
          <t>辦公樓REIT</t>
        </is>
      </c>
      <c r="D220" s="11" t="inlineStr">
        <is>
          <t>Highwoods Properties, Inc.</t>
        </is>
      </c>
      <c r="E220" s="11" t="inlineStr">
        <is>
          <t>REIT - Office</t>
        </is>
      </c>
      <c r="F220" s="9" t="inlineStr">
        <is>
          <t>USD</t>
        </is>
      </c>
      <c r="G220" s="11" t="inlineStr">
        <is>
          <t>25Q2 / 25Q3 / 25Q4 / 26Q1 / 26Q2</t>
        </is>
      </c>
      <c r="H220" s="12" t="n">
        <v>200.6</v>
      </c>
      <c r="I220" s="12" t="n">
        <v>201.773</v>
      </c>
      <c r="J220" s="12" t="n">
        <v>203.356</v>
      </c>
      <c r="K220" s="12" t="n">
        <v>214.034</v>
      </c>
      <c r="L220" s="12" t="n"/>
      <c r="M220" s="13" t="str">
        <f>IF(OR(N(H220)=0,L220=""),"",L220/H220-1)</f>
        <v/>
      </c>
      <c r="N220" s="14" t="n">
        <v>52.957</v>
      </c>
      <c r="O220" s="14" t="n">
        <v>53.087</v>
      </c>
      <c r="P220" s="14" t="n">
        <v>51.945</v>
      </c>
      <c r="Q220" s="14" t="n"/>
      <c r="R220" s="13" t="str">
        <f>IF(OR(N(L220)=0,Q220=""),"",Q220/L220)</f>
        <v/>
      </c>
      <c r="S220" s="14" t="n"/>
      <c r="T220" s="13" t="str">
        <f>IF(OR(N(L220)=0,S220=""),"",S220/L220)</f>
        <v/>
      </c>
      <c r="U220" s="14" t="n"/>
      <c r="V220" s="13" t="str">
        <f>IF(OR(N(L220)=0,U220=""),"",U220/L220)</f>
        <v/>
      </c>
      <c r="W220" s="14" t="n">
        <v>806.112</v>
      </c>
      <c r="X220" s="14" t="n">
        <v>209.478</v>
      </c>
      <c r="Y220" s="13">
        <f>IF(OR(N(W220)=0,X220=""),"",X220/W220)</f>
        <v>0.25986215314993455</v>
      </c>
      <c r="Z220" s="11" t="str">
        <f>IF(AA220="A","四季持續盈利",IF(AA220="B","最新季為正/波動",IF(AA220="C","虧損收窄",IF(AA220="D","虧損擴大或轉虧","數據不足"))))</f>
        <v>數據不足</v>
      </c>
      <c r="AA220" s="9" t="str">
        <f>IF(COUNT(N220:Q220)&lt;4,"—",IF(MIN(N220:Q220)&gt;0,"A",IF(Q220&gt;0,"B",IF(Q220&gt;N220,"C","D"))))</f>
        <v>—</v>
      </c>
      <c r="AB220" s="9" t="inlineStr">
        <is>
          <t>2026-06-30</t>
        </is>
      </c>
    </row>
    <row r="221" ht="15" customHeight="1">
      <c r="A221" s="9" t="n">
        <v>220</v>
      </c>
      <c r="B221" s="10" t="inlineStr">
        <is>
          <t>HL</t>
        </is>
      </c>
      <c r="C221" s="11" t="inlineStr">
        <is>
          <t>白銀礦</t>
        </is>
      </c>
      <c r="D221" s="11" t="inlineStr">
        <is>
          <t>Hecla Mining Company</t>
        </is>
      </c>
      <c r="E221" s="11" t="inlineStr">
        <is>
          <t>Other Precious Metals &amp; Mining</t>
        </is>
      </c>
      <c r="F221" s="9" t="inlineStr">
        <is>
          <t>USD</t>
        </is>
      </c>
      <c r="G221" s="11" t="inlineStr">
        <is>
          <t>25Q2 / 25Q3 / 25Q4 / 26Q1 / 26Q2</t>
        </is>
      </c>
      <c r="H221" s="12" t="n">
        <v>218.992</v>
      </c>
      <c r="I221" s="12" t="n">
        <v>409.542</v>
      </c>
      <c r="J221" s="12" t="n">
        <v>448.111</v>
      </c>
      <c r="K221" s="12" t="n">
        <v>411.433</v>
      </c>
      <c r="L221" s="12" t="n"/>
      <c r="M221" s="13" t="str">
        <f>IF(OR(N(H221)=0,L221=""),"",L221/H221-1)</f>
        <v/>
      </c>
      <c r="N221" s="14" t="n">
        <v>153.17</v>
      </c>
      <c r="O221" s="14" t="n">
        <v>228.281</v>
      </c>
      <c r="P221" s="14" t="n">
        <v>227.65</v>
      </c>
      <c r="Q221" s="14" t="n"/>
      <c r="R221" s="13" t="str">
        <f>IF(OR(N(L221)=0,Q221=""),"",Q221/L221)</f>
        <v/>
      </c>
      <c r="S221" s="14" t="n"/>
      <c r="T221" s="13" t="str">
        <f>IF(OR(N(L221)=0,S221=""),"",S221/L221)</f>
        <v/>
      </c>
      <c r="U221" s="14" t="n"/>
      <c r="V221" s="13" t="str">
        <f>IF(OR(N(L221)=0,U221=""),"",U221/L221)</f>
        <v/>
      </c>
      <c r="W221" s="14" t="n">
        <v>1423.019</v>
      </c>
      <c r="X221" s="14" t="n">
        <v>536.667</v>
      </c>
      <c r="Y221" s="13">
        <f>IF(OR(N(W221)=0,X221=""),"",X221/W221)</f>
        <v>0.37713270167158697</v>
      </c>
      <c r="Z221" s="11" t="str">
        <f>IF(AA221="A","四季持續盈利",IF(AA221="B","最新季為正/波動",IF(AA221="C","虧損收窄",IF(AA221="D","虧損擴大或轉虧","數據不足"))))</f>
        <v>數據不足</v>
      </c>
      <c r="AA221" s="9" t="str">
        <f>IF(COUNT(N221:Q221)&lt;4,"—",IF(MIN(N221:Q221)&gt;0,"A",IF(Q221&gt;0,"B",IF(Q221&gt;N221,"C","D"))))</f>
        <v>—</v>
      </c>
      <c r="AB221" s="9" t="inlineStr">
        <is>
          <t>2026-06-30</t>
        </is>
      </c>
    </row>
    <row r="222" ht="15" customHeight="1">
      <c r="A222" s="9" t="n">
        <v>221</v>
      </c>
      <c r="B222" s="10" t="inlineStr">
        <is>
          <t>HLT</t>
        </is>
      </c>
      <c r="C222" s="11" t="inlineStr">
        <is>
          <t>酒店與郵輪</t>
        </is>
      </c>
      <c r="D222" s="11" t="inlineStr">
        <is>
          <t>Hilton Worldwide Holdings Inc.</t>
        </is>
      </c>
      <c r="E222" s="11" t="inlineStr">
        <is>
          <t>Lodging</t>
        </is>
      </c>
      <c r="F222" s="9" t="inlineStr">
        <is>
          <t>USD</t>
        </is>
      </c>
      <c r="G222" s="11" t="inlineStr">
        <is>
          <t>25Q2 / 25Q3 / 25Q4 / 26Q1 / 26Q2</t>
        </is>
      </c>
      <c r="H222" s="12" t="n">
        <v>3137</v>
      </c>
      <c r="I222" s="12" t="n">
        <v>3120</v>
      </c>
      <c r="J222" s="12" t="n">
        <v>3087</v>
      </c>
      <c r="K222" s="12" t="n">
        <v>2937</v>
      </c>
      <c r="L222" s="12" t="n">
        <v>3341</v>
      </c>
      <c r="M222" s="13">
        <f>IF(OR(N(H222)=0,L222=""),"",L222/H222-1)</f>
        <v>0.06503028371055142</v>
      </c>
      <c r="N222" s="14" t="n">
        <v>777</v>
      </c>
      <c r="O222" s="14" t="n">
        <v>602</v>
      </c>
      <c r="P222" s="14" t="n">
        <v>678</v>
      </c>
      <c r="Q222" s="14" t="n">
        <v>858</v>
      </c>
      <c r="R222" s="13">
        <f>IF(OR(N(L222)=0,Q222=""),"",Q222/L222)</f>
        <v>0.25680933852140075</v>
      </c>
      <c r="S222" s="14" t="n">
        <v>1067</v>
      </c>
      <c r="T222" s="13">
        <f>IF(OR(N(L222)=0,S222=""),"",S222/L222)</f>
        <v>0.31936545944328043</v>
      </c>
      <c r="U222" s="14" t="n">
        <v>482</v>
      </c>
      <c r="V222" s="13">
        <f>IF(OR(N(L222)=0,U222=""),"",U222/L222)</f>
        <v>0.144268183178689</v>
      </c>
      <c r="W222" s="14" t="n">
        <v>12039</v>
      </c>
      <c r="X222" s="14" t="n">
        <v>2693</v>
      </c>
      <c r="Y222" s="13">
        <f>IF(OR(N(W222)=0,X222=""),"",X222/W222)</f>
        <v>0.22368967522219455</v>
      </c>
      <c r="Z222" s="11" t="str">
        <f>IF(AA222="A","四季持續盈利",IF(AA222="B","最新季為正/波動",IF(AA222="C","虧損收窄",IF(AA222="D","虧損擴大或轉虧","數據不足"))))</f>
        <v>四季持續盈利</v>
      </c>
      <c r="AA222" s="9" t="str">
        <f>IF(COUNT(N222:Q222)&lt;4,"—",IF(MIN(N222:Q222)&gt;0,"A",IF(Q222&gt;0,"B",IF(Q222&gt;N222,"C","D"))))</f>
        <v>A</v>
      </c>
      <c r="AB222" s="9" t="inlineStr">
        <is>
          <t>2026-06-30</t>
        </is>
      </c>
    </row>
    <row r="223" ht="15" customHeight="1">
      <c r="A223" s="9" t="n">
        <v>222</v>
      </c>
      <c r="B223" s="10" t="inlineStr">
        <is>
          <t>HON</t>
        </is>
      </c>
      <c r="C223" s="11" t="inlineStr">
        <is>
          <t>機械與重工</t>
        </is>
      </c>
      <c r="D223" s="11" t="inlineStr">
        <is>
          <t>Honeywell International Inc.</t>
        </is>
      </c>
      <c r="E223" s="11" t="inlineStr">
        <is>
          <t>Conglomerates</t>
        </is>
      </c>
      <c r="F223" s="9" t="inlineStr">
        <is>
          <t>USD</t>
        </is>
      </c>
      <c r="G223" s="11" t="inlineStr">
        <is>
          <t>25Q2 / 25Q3 / 25Q4 / 26Q1 / 26Q2</t>
        </is>
      </c>
      <c r="H223" s="12" t="n">
        <v>9322</v>
      </c>
      <c r="I223" s="12" t="n">
        <v>10408</v>
      </c>
      <c r="J223" s="12" t="n">
        <v>6860</v>
      </c>
      <c r="K223" s="12" t="n">
        <v>9143</v>
      </c>
      <c r="L223" s="12" t="n">
        <v>9719</v>
      </c>
      <c r="M223" s="13">
        <f>IF(OR(N(H223)=0,L223=""),"",L223/H223-1)</f>
        <v>0.04258742759064571</v>
      </c>
      <c r="N223" s="14" t="n">
        <v>1754</v>
      </c>
      <c r="O223" s="14" t="n">
        <v>714</v>
      </c>
      <c r="P223" s="14" t="n">
        <v>1737</v>
      </c>
      <c r="Q223" s="14" t="n">
        <v>1785</v>
      </c>
      <c r="R223" s="13">
        <f>IF(OR(N(L223)=0,Q223=""),"",Q223/L223)</f>
        <v>0.18366087045992385</v>
      </c>
      <c r="S223" s="14" t="n">
        <v>3653</v>
      </c>
      <c r="T223" s="13">
        <f>IF(OR(N(L223)=0,S223=""),"",S223/L223)</f>
        <v>0.3758617141681243</v>
      </c>
      <c r="U223" s="14" t="n">
        <v>5682</v>
      </c>
      <c r="V223" s="13">
        <f>IF(OR(N(L223)=0,U223=""),"",U223/L223)</f>
        <v>0.5846280481531022</v>
      </c>
      <c r="W223" s="14" t="n">
        <v>37442</v>
      </c>
      <c r="X223" s="14" t="n">
        <v>6567</v>
      </c>
      <c r="Y223" s="13">
        <f>IF(OR(N(W223)=0,X223=""),"",X223/W223)</f>
        <v>0.17539127183376957</v>
      </c>
      <c r="Z223" s="11" t="str">
        <f>IF(AA223="A","四季持續盈利",IF(AA223="B","最新季為正/波動",IF(AA223="C","虧損收窄",IF(AA223="D","虧損擴大或轉虧","數據不足"))))</f>
        <v>四季持續盈利</v>
      </c>
      <c r="AA223" s="9" t="str">
        <f>IF(COUNT(N223:Q223)&lt;4,"—",IF(MIN(N223:Q223)&gt;0,"A",IF(Q223&gt;0,"B",IF(Q223&gt;N223,"C","D"))))</f>
        <v>A</v>
      </c>
      <c r="AB223" s="9" t="inlineStr">
        <is>
          <t>2026-06-30</t>
        </is>
      </c>
    </row>
    <row r="224" ht="15" customHeight="1">
      <c r="A224" s="9" t="n">
        <v>223</v>
      </c>
      <c r="B224" s="10" t="inlineStr">
        <is>
          <t>HOOD</t>
        </is>
      </c>
      <c r="C224" s="11" t="inlineStr">
        <is>
          <t>數位資產金融與礦業轉HPC</t>
        </is>
      </c>
      <c r="D224" s="11" t="inlineStr">
        <is>
          <t>Robinhood Markets, Inc.</t>
        </is>
      </c>
      <c r="E224" s="11" t="inlineStr">
        <is>
          <t>Capital Markets</t>
        </is>
      </c>
      <c r="F224" s="9" t="inlineStr">
        <is>
          <t>USD</t>
        </is>
      </c>
      <c r="G224" s="11" t="inlineStr">
        <is>
          <t>25Q2 / 25Q3 / 25Q4 / 26Q1 / 26Q2</t>
        </is>
      </c>
      <c r="H224" s="12" t="n">
        <v>989</v>
      </c>
      <c r="I224" s="12" t="n">
        <v>1274</v>
      </c>
      <c r="J224" s="12" t="n">
        <v>1283</v>
      </c>
      <c r="K224" s="12" t="n">
        <v>1067</v>
      </c>
      <c r="L224" s="12" t="n">
        <v>1308</v>
      </c>
      <c r="M224" s="13">
        <f>IF(OR(N(H224)=0,L224=""),"",L224/H224-1)</f>
        <v>0.3225480283114257</v>
      </c>
      <c r="N224" s="14" t="n">
        <v>635</v>
      </c>
      <c r="O224" s="14" t="n">
        <v>650</v>
      </c>
      <c r="P224" s="14" t="n">
        <v>411</v>
      </c>
      <c r="Q224" s="14" t="n">
        <v>574</v>
      </c>
      <c r="R224" s="13">
        <f>IF(OR(N(L224)=0,Q224=""),"",Q224/L224)</f>
        <v>0.43883792048929665</v>
      </c>
      <c r="S224" s="14" t="n">
        <v>1072</v>
      </c>
      <c r="T224" s="13">
        <f>IF(OR(N(L224)=0,S224=""),"",S224/L224)</f>
        <v>0.8195718654434251</v>
      </c>
      <c r="U224" s="14" t="n">
        <v>561</v>
      </c>
      <c r="V224" s="13">
        <f>IF(OR(N(L224)=0,U224=""),"",U224/L224)</f>
        <v>0.4288990825688073</v>
      </c>
      <c r="W224" s="14" t="n">
        <v>4473</v>
      </c>
      <c r="X224" s="14" t="n">
        <v>2094</v>
      </c>
      <c r="Y224" s="13">
        <f>IF(OR(N(W224)=0,X224=""),"",X224/W224)</f>
        <v>0.4681421864520456</v>
      </c>
      <c r="Z224" s="11" t="str">
        <f>IF(AA224="A","四季持續盈利",IF(AA224="B","最新季為正/波動",IF(AA224="C","虧損收窄",IF(AA224="D","虧損擴大或轉虧","數據不足"))))</f>
        <v>四季持續盈利</v>
      </c>
      <c r="AA224" s="9" t="str">
        <f>IF(COUNT(N224:Q224)&lt;4,"—",IF(MIN(N224:Q224)&gt;0,"A",IF(Q224&gt;0,"B",IF(Q224&gt;N224,"C","D"))))</f>
        <v>A</v>
      </c>
      <c r="AB224" s="9" t="inlineStr">
        <is>
          <t>2026-06-30</t>
        </is>
      </c>
    </row>
    <row r="225" ht="15" customHeight="1">
      <c r="A225" s="9" t="n">
        <v>224</v>
      </c>
      <c r="B225" s="10" t="inlineStr">
        <is>
          <t>HPE</t>
        </is>
      </c>
      <c r="C225" s="11" t="inlineStr">
        <is>
          <t>—</t>
        </is>
      </c>
      <c r="D225" s="11" t="inlineStr">
        <is>
          <t>Hewlett Packard Enterprise Company</t>
        </is>
      </c>
      <c r="E225" s="11" t="inlineStr">
        <is>
          <t>E1 Server</t>
        </is>
      </c>
      <c r="F225" s="9" t="inlineStr">
        <is>
          <t>USD</t>
        </is>
      </c>
      <c r="G225" s="11" t="inlineStr">
        <is>
          <t>25Q3 / 25Q4 / 26Q1 / 26Q2 / 26Q3</t>
        </is>
      </c>
      <c r="H225" s="12" t="n">
        <v>9136</v>
      </c>
      <c r="I225" s="12" t="n">
        <v>9679</v>
      </c>
      <c r="J225" s="12" t="n">
        <v>9301</v>
      </c>
      <c r="K225" s="12" t="n">
        <v>10678</v>
      </c>
      <c r="L225" s="12" t="n"/>
      <c r="M225" s="13" t="str">
        <f>IF(OR(N(H225)=0,L225=""),"",L225/H225-1)</f>
        <v/>
      </c>
      <c r="N225" s="14" t="n">
        <v>408</v>
      </c>
      <c r="O225" s="14" t="n">
        <v>587</v>
      </c>
      <c r="P225" s="14" t="n">
        <v>825</v>
      </c>
      <c r="Q225" s="14" t="n"/>
      <c r="R225" s="13" t="str">
        <f>IF(OR(N(L225)=0,Q225=""),"",Q225/L225)</f>
        <v/>
      </c>
      <c r="S225" s="14" t="n"/>
      <c r="T225" s="13" t="str">
        <f>IF(OR(N(L225)=0,S225=""),"",S225/L225)</f>
        <v/>
      </c>
      <c r="U225" s="14" t="n"/>
      <c r="V225" s="13" t="str">
        <f>IF(OR(N(L225)=0,U225=""),"",U225/L225)</f>
        <v/>
      </c>
      <c r="W225" s="14" t="n">
        <v>34296</v>
      </c>
      <c r="X225" s="14" t="n">
        <v>1644</v>
      </c>
      <c r="Y225" s="13">
        <f>IF(OR(N(W225)=0,X225=""),"",X225/W225)</f>
        <v>0.04793561931420574</v>
      </c>
      <c r="Z225" s="11" t="str">
        <f>IF(AA225="A","四季持續盈利",IF(AA225="B","最新季為正/波動",IF(AA225="C","虧損收窄",IF(AA225="D","虧損擴大或轉虧","數據不足"))))</f>
        <v>數據不足</v>
      </c>
      <c r="AA225" s="9" t="str">
        <f>IF(COUNT(N225:Q225)&lt;4,"—",IF(MIN(N225:Q225)&gt;0,"A",IF(Q225&gt;0,"B",IF(Q225&gt;N225,"C","D"))))</f>
        <v>—</v>
      </c>
      <c r="AB225" s="9" t="inlineStr">
        <is>
          <t>2026-07-31</t>
        </is>
      </c>
    </row>
    <row r="226" ht="15" customHeight="1">
      <c r="A226" s="9" t="n">
        <v>225</v>
      </c>
      <c r="B226" s="10" t="inlineStr">
        <is>
          <t>HRB</t>
        </is>
      </c>
      <c r="C226" s="11" t="inlineStr">
        <is>
          <t>教育與消費服務</t>
        </is>
      </c>
      <c r="D226" s="11" t="inlineStr">
        <is>
          <t>H&amp;R Block, Inc.</t>
        </is>
      </c>
      <c r="E226" s="11" t="inlineStr">
        <is>
          <t>Personal Services</t>
        </is>
      </c>
      <c r="F226" s="9" t="inlineStr">
        <is>
          <t>USD</t>
        </is>
      </c>
      <c r="G226" s="11" t="inlineStr">
        <is>
          <t>25Q2 / 25Q3 / 25Q4 / 26Q1 / 26Q2</t>
        </is>
      </c>
      <c r="H226" s="12" t="n">
        <v>1111.011</v>
      </c>
      <c r="I226" s="12" t="n">
        <v>203.551</v>
      </c>
      <c r="J226" s="12" t="n">
        <v>198.865</v>
      </c>
      <c r="K226" s="12" t="n">
        <v>2398.107</v>
      </c>
      <c r="L226" s="12" t="n">
        <v>1144.869</v>
      </c>
      <c r="M226" s="13">
        <f>IF(OR(N(H226)=0,L226=""),"",L226/H226-1)</f>
        <v>0.030474945792615893</v>
      </c>
      <c r="N226" s="14" t="n">
        <v>-207.031</v>
      </c>
      <c r="O226" s="14" t="n">
        <v>-298.879</v>
      </c>
      <c r="P226" s="14" t="n">
        <v>1036.824</v>
      </c>
      <c r="Q226" s="14" t="n">
        <v>376.772</v>
      </c>
      <c r="R226" s="13">
        <f>IF(OR(N(L226)=0,Q226=""),"",Q226/L226)</f>
        <v>0.32909616733442865</v>
      </c>
      <c r="S226" s="14" t="n">
        <v>594.349</v>
      </c>
      <c r="T226" s="13">
        <f>IF(OR(N(L226)=0,S226=""),"",S226/L226)</f>
        <v>0.5191414912972576</v>
      </c>
      <c r="U226" s="14" t="n">
        <v>293.68</v>
      </c>
      <c r="V226" s="13">
        <f>IF(OR(N(L226)=0,U226=""),"",U226/L226)</f>
        <v>0.2565184313663834</v>
      </c>
      <c r="W226" s="14" t="n">
        <v>3945.392</v>
      </c>
      <c r="X226" s="14" t="n">
        <v>907.686</v>
      </c>
      <c r="Y226" s="13">
        <f>IF(OR(N(W226)=0,X226=""),"",X226/W226)</f>
        <v>0.23006231066520136</v>
      </c>
      <c r="Z226" s="11" t="str">
        <f>IF(AA226="A","四季持續盈利",IF(AA226="B","最新季為正/波動",IF(AA226="C","虧損收窄",IF(AA226="D","虧損擴大或轉虧","數據不足"))))</f>
        <v>最新季為正/波動</v>
      </c>
      <c r="AA226" s="9" t="str">
        <f>IF(COUNT(N226:Q226)&lt;4,"—",IF(MIN(N226:Q226)&gt;0,"A",IF(Q226&gt;0,"B",IF(Q226&gt;N226,"C","D"))))</f>
        <v>B</v>
      </c>
      <c r="AB226" s="9" t="inlineStr">
        <is>
          <t>2026-06-30</t>
        </is>
      </c>
    </row>
    <row r="227" ht="15" customHeight="1">
      <c r="A227" s="9" t="n">
        <v>226</v>
      </c>
      <c r="B227" s="10" t="inlineStr">
        <is>
          <t>HSY</t>
        </is>
      </c>
      <c r="C227" s="11" t="inlineStr">
        <is>
          <t>食品加工</t>
        </is>
      </c>
      <c r="D227" s="11" t="inlineStr">
        <is>
          <t>The Hershey Company</t>
        </is>
      </c>
      <c r="E227" s="11" t="inlineStr">
        <is>
          <t>Confectioners</t>
        </is>
      </c>
      <c r="F227" s="9" t="inlineStr">
        <is>
          <t>USD</t>
        </is>
      </c>
      <c r="G227" s="11" t="inlineStr">
        <is>
          <t>25Q2 / 25Q3 / 25Q4 / 26Q1 / 26Q2</t>
        </is>
      </c>
      <c r="H227" s="12" t="n">
        <v>2614.718</v>
      </c>
      <c r="I227" s="12" t="n">
        <v>3181.418</v>
      </c>
      <c r="J227" s="12" t="n">
        <v>3091.021</v>
      </c>
      <c r="K227" s="12" t="n">
        <v>3104.167</v>
      </c>
      <c r="L227" s="12" t="n">
        <v>2787.306</v>
      </c>
      <c r="M227" s="13">
        <f>IF(OR(N(H227)=0,L227=""),"",L227/H227-1)</f>
        <v>0.06600635326639437</v>
      </c>
      <c r="N227" s="14" t="n">
        <v>436.794</v>
      </c>
      <c r="O227" s="14" t="n">
        <v>446.667</v>
      </c>
      <c r="P227" s="14" t="n">
        <v>646.691</v>
      </c>
      <c r="Q227" s="14" t="n">
        <v>642.756</v>
      </c>
      <c r="R227" s="13">
        <f>IF(OR(N(L227)=0,Q227=""),"",Q227/L227)</f>
        <v>0.2306011611211686</v>
      </c>
      <c r="S227" s="14" t="n">
        <v>1263.308</v>
      </c>
      <c r="T227" s="13">
        <f>IF(OR(N(L227)=0,S227=""),"",S227/L227)</f>
        <v>0.453236207291198</v>
      </c>
      <c r="U227" s="14" t="n">
        <v>457.665</v>
      </c>
      <c r="V227" s="13">
        <f>IF(OR(N(L227)=0,U227=""),"",U227/L227)</f>
        <v>0.16419618082836976</v>
      </c>
      <c r="W227" s="14" t="n">
        <v>11692.576</v>
      </c>
      <c r="X227" s="14" t="n">
        <v>1462.122</v>
      </c>
      <c r="Y227" s="13">
        <f>IF(OR(N(W227)=0,X227=""),"",X227/W227)</f>
        <v>0.12504703839427686</v>
      </c>
      <c r="Z227" s="11" t="str">
        <f>IF(AA227="A","四季持續盈利",IF(AA227="B","最新季為正/波動",IF(AA227="C","虧損收窄",IF(AA227="D","虧損擴大或轉虧","數據不足"))))</f>
        <v>四季持續盈利</v>
      </c>
      <c r="AA227" s="9" t="str">
        <f>IF(COUNT(N227:Q227)&lt;4,"—",IF(MIN(N227:Q227)&gt;0,"A",IF(Q227&gt;0,"B",IF(Q227&gt;N227,"C","D"))))</f>
        <v>A</v>
      </c>
      <c r="AB227" s="9" t="inlineStr">
        <is>
          <t>2026-06-30</t>
        </is>
      </c>
    </row>
    <row r="228" ht="15" customHeight="1">
      <c r="A228" s="9" t="n">
        <v>227</v>
      </c>
      <c r="B228" s="10" t="inlineStr">
        <is>
          <t>HTO</t>
        </is>
      </c>
      <c r="C228" s="11" t="inlineStr">
        <is>
          <t>水務公用</t>
        </is>
      </c>
      <c r="D228" s="11" t="inlineStr">
        <is>
          <t>H2O America</t>
        </is>
      </c>
      <c r="E228" s="11" t="inlineStr">
        <is>
          <t>Utilities - Regulated Water</t>
        </is>
      </c>
      <c r="F228" s="9" t="inlineStr">
        <is>
          <t>USD</t>
        </is>
      </c>
      <c r="G228" s="11" t="inlineStr">
        <is>
          <t>25Q1 / 25Q2 / 25Q4 / 26Q1 / 26Q2</t>
        </is>
      </c>
      <c r="H228" s="12" t="n">
        <v>167.599</v>
      </c>
      <c r="I228" s="12" t="n">
        <v>198.255</v>
      </c>
      <c r="J228" s="12" t="n">
        <v>194.186</v>
      </c>
      <c r="K228" s="12" t="n">
        <v>183.293</v>
      </c>
      <c r="L228" s="12" t="n">
        <v>210.474</v>
      </c>
      <c r="M228" s="13">
        <f>IF(OR(N(H228)=0,L228=""),"",L228/H228-1)</f>
        <v>0.25581894880041056</v>
      </c>
      <c r="N228" s="14" t="n">
        <v>43.865</v>
      </c>
      <c r="O228" s="14" t="n">
        <v>33.139</v>
      </c>
      <c r="P228" s="14" t="n">
        <v>37.426</v>
      </c>
      <c r="Q228" s="14" t="n">
        <v>42.754</v>
      </c>
      <c r="R228" s="13">
        <f>IF(OR(N(L228)=0,Q228=""),"",Q228/L228)</f>
        <v>0.2031319782966067</v>
      </c>
      <c r="S228" s="14" t="n">
        <v>117.538</v>
      </c>
      <c r="T228" s="13">
        <f>IF(OR(N(L228)=0,S228=""),"",S228/L228)</f>
        <v>0.5584442734019404</v>
      </c>
      <c r="U228" s="14" t="n">
        <v>26.589</v>
      </c>
      <c r="V228" s="13">
        <f>IF(OR(N(L228)=0,U228=""),"",U228/L228)</f>
        <v>0.12632914279198382</v>
      </c>
      <c r="W228" s="14" t="n">
        <v>800.59</v>
      </c>
      <c r="X228" s="14" t="n">
        <v>177.527</v>
      </c>
      <c r="Y228" s="13">
        <f>IF(OR(N(W228)=0,X228=""),"",X228/W228)</f>
        <v>0.2217452129054822</v>
      </c>
      <c r="Z228" s="11" t="str">
        <f>IF(AA228="A","四季持續盈利",IF(AA228="B","最新季為正/波動",IF(AA228="C","虧損收窄",IF(AA228="D","虧損擴大或轉虧","數據不足"))))</f>
        <v>四季持續盈利</v>
      </c>
      <c r="AA228" s="9" t="str">
        <f>IF(COUNT(N228:Q228)&lt;4,"—",IF(MIN(N228:Q228)&gt;0,"A",IF(Q228&gt;0,"B",IF(Q228&gt;N228,"C","D"))))</f>
        <v>A</v>
      </c>
      <c r="AB228" s="9" t="inlineStr">
        <is>
          <t>2026-06-30</t>
        </is>
      </c>
    </row>
    <row r="229" ht="15" customHeight="1">
      <c r="A229" s="9" t="n">
        <v>228</v>
      </c>
      <c r="B229" s="10" t="inlineStr">
        <is>
          <t>HUBB</t>
        </is>
      </c>
      <c r="C229" s="11" t="inlineStr">
        <is>
          <t>電氣設備與電網</t>
        </is>
      </c>
      <c r="D229" s="11" t="inlineStr">
        <is>
          <t>Hubbell Incorporated</t>
        </is>
      </c>
      <c r="E229" s="11" t="inlineStr">
        <is>
          <t>Electrical Equipment &amp; Parts</t>
        </is>
      </c>
      <c r="F229" s="9" t="inlineStr">
        <is>
          <t>USD</t>
        </is>
      </c>
      <c r="G229" s="11" t="inlineStr">
        <is>
          <t>25Q2 / 25Q3 / 25Q4 / 26Q1 / 26Q2</t>
        </is>
      </c>
      <c r="H229" s="12" t="n">
        <v>1484.3</v>
      </c>
      <c r="I229" s="12" t="n">
        <v>1502.4</v>
      </c>
      <c r="J229" s="12" t="n">
        <v>1492.7</v>
      </c>
      <c r="K229" s="12" t="n">
        <v>1516.7</v>
      </c>
      <c r="L229" s="12" t="n">
        <v>1711.8</v>
      </c>
      <c r="M229" s="13">
        <f>IF(OR(N(H229)=0,L229=""),"",L229/H229-1)</f>
        <v>0.15327090210873817</v>
      </c>
      <c r="N229" s="14" t="n">
        <v>330.6</v>
      </c>
      <c r="O229" s="14" t="n">
        <v>311.5</v>
      </c>
      <c r="P229" s="14" t="n">
        <v>263.8</v>
      </c>
      <c r="Q229" s="14" t="n">
        <v>348.6</v>
      </c>
      <c r="R229" s="13">
        <f>IF(OR(N(L229)=0,Q229=""),"",Q229/L229)</f>
        <v>0.20364528566421314</v>
      </c>
      <c r="S229" s="14" t="n">
        <v>613</v>
      </c>
      <c r="T229" s="13">
        <f>IF(OR(N(L229)=0,S229=""),"",S229/L229)</f>
        <v>0.3581025820773455</v>
      </c>
      <c r="U229" s="14" t="n">
        <v>240.4</v>
      </c>
      <c r="V229" s="13">
        <f>IF(OR(N(L229)=0,U229=""),"",U229/L229)</f>
        <v>0.14043696693538965</v>
      </c>
      <c r="W229" s="14" t="n">
        <v>5844.6</v>
      </c>
      <c r="X229" s="14" t="n">
        <v>1208.8</v>
      </c>
      <c r="Y229" s="13">
        <f>IF(OR(N(W229)=0,X229=""),"",X229/W229)</f>
        <v>0.20682339253327855</v>
      </c>
      <c r="Z229" s="11" t="str">
        <f>IF(AA229="A","四季持續盈利",IF(AA229="B","最新季為正/波動",IF(AA229="C","虧損收窄",IF(AA229="D","虧損擴大或轉虧","數據不足"))))</f>
        <v>四季持續盈利</v>
      </c>
      <c r="AA229" s="9" t="str">
        <f>IF(COUNT(N229:Q229)&lt;4,"—",IF(MIN(N229:Q229)&gt;0,"A",IF(Q229&gt;0,"B",IF(Q229&gt;N229,"C","D"))))</f>
        <v>A</v>
      </c>
      <c r="AB229" s="9" t="inlineStr">
        <is>
          <t>2026-06-30</t>
        </is>
      </c>
    </row>
    <row r="230" ht="15" customHeight="1">
      <c r="A230" s="9" t="n">
        <v>229</v>
      </c>
      <c r="B230" s="10" t="inlineStr">
        <is>
          <t>HUM</t>
        </is>
      </c>
      <c r="C230" s="11" t="inlineStr">
        <is>
          <t>醫療保險與管理式醫療</t>
        </is>
      </c>
      <c r="D230" s="11" t="inlineStr">
        <is>
          <t>Humana Inc.</t>
        </is>
      </c>
      <c r="E230" s="11" t="inlineStr">
        <is>
          <t>Healthcare Plans</t>
        </is>
      </c>
      <c r="F230" s="9" t="inlineStr">
        <is>
          <t>USD</t>
        </is>
      </c>
      <c r="G230" s="11" t="inlineStr">
        <is>
          <t>25Q2 / 25Q3 / 25Q4 / 26Q1 / 26Q2</t>
        </is>
      </c>
      <c r="H230" s="12" t="n">
        <v>32388</v>
      </c>
      <c r="I230" s="12" t="n">
        <v>32649</v>
      </c>
      <c r="J230" s="12" t="n">
        <v>32515</v>
      </c>
      <c r="K230" s="12" t="n">
        <v>39648</v>
      </c>
      <c r="L230" s="12" t="n">
        <v>40867</v>
      </c>
      <c r="M230" s="13">
        <f>IF(OR(N(H230)=0,L230=""),"",L230/H230-1)</f>
        <v>0.2617944917870816</v>
      </c>
      <c r="N230" s="14" t="n">
        <v>302</v>
      </c>
      <c r="O230" s="14" t="n">
        <v>-865</v>
      </c>
      <c r="P230" s="14" t="n">
        <v>1788</v>
      </c>
      <c r="Q230" s="14" t="n">
        <v>1149</v>
      </c>
      <c r="R230" s="13">
        <f>IF(OR(N(L230)=0,Q230=""),"",Q230/L230)</f>
        <v>0.02811559448944136</v>
      </c>
      <c r="S230" s="14" t="n"/>
      <c r="T230" s="13" t="str">
        <f>IF(OR(N(L230)=0,S230=""),"",S230/L230)</f>
        <v/>
      </c>
      <c r="U230" s="14" t="n">
        <v>694</v>
      </c>
      <c r="V230" s="13">
        <f>IF(OR(N(L230)=0,U230=""),"",U230/L230)</f>
        <v>0.01698191695010644</v>
      </c>
      <c r="W230" s="14" t="n">
        <v>129664</v>
      </c>
      <c r="X230" s="14" t="n">
        <v>2186</v>
      </c>
      <c r="Y230" s="13">
        <f>IF(OR(N(W230)=0,X230=""),"",X230/W230)</f>
        <v>0.01685895853899309</v>
      </c>
      <c r="Z230" s="11" t="str">
        <f>IF(AA230="A","四季持續盈利",IF(AA230="B","最新季為正/波動",IF(AA230="C","虧損收窄",IF(AA230="D","虧損擴大或轉虧","數據不足"))))</f>
        <v>最新季為正/波動</v>
      </c>
      <c r="AA230" s="9" t="str">
        <f>IF(COUNT(N230:Q230)&lt;4,"—",IF(MIN(N230:Q230)&gt;0,"A",IF(Q230&gt;0,"B",IF(Q230&gt;N230,"C","D"))))</f>
        <v>B</v>
      </c>
      <c r="AB230" s="9" t="inlineStr">
        <is>
          <t>2026-06-30</t>
        </is>
      </c>
    </row>
    <row r="231" ht="15" customHeight="1">
      <c r="A231" s="9" t="n">
        <v>230</v>
      </c>
      <c r="B231" s="10" t="inlineStr">
        <is>
          <t>IBM</t>
        </is>
      </c>
      <c r="C231" s="11" t="inlineStr">
        <is>
          <t>IT服務與系統整合</t>
        </is>
      </c>
      <c r="D231" s="11" t="inlineStr">
        <is>
          <t>International Business Machines Corporation</t>
        </is>
      </c>
      <c r="E231" s="11" t="inlineStr">
        <is>
          <t>Information Technology Services</t>
        </is>
      </c>
      <c r="F231" s="9" t="inlineStr">
        <is>
          <t>USD</t>
        </is>
      </c>
      <c r="G231" s="11" t="inlineStr">
        <is>
          <t>25Q2 / 25Q3 / 25Q4 / 26Q1 / 26Q2</t>
        </is>
      </c>
      <c r="H231" s="12" t="n">
        <v>16977</v>
      </c>
      <c r="I231" s="12" t="n">
        <v>16331</v>
      </c>
      <c r="J231" s="12" t="n">
        <v>19687</v>
      </c>
      <c r="K231" s="12" t="n">
        <v>15917</v>
      </c>
      <c r="L231" s="12" t="n">
        <v>17162</v>
      </c>
      <c r="M231" s="13">
        <f>IF(OR(N(H231)=0,L231=""),"",L231/H231-1)</f>
        <v>0.010897096071155188</v>
      </c>
      <c r="N231" s="14" t="n">
        <v>2792</v>
      </c>
      <c r="O231" s="14" t="n">
        <v>4849</v>
      </c>
      <c r="P231" s="14" t="n">
        <v>2219</v>
      </c>
      <c r="Q231" s="14" t="n">
        <v>2845</v>
      </c>
      <c r="R231" s="13">
        <f>IF(OR(N(L231)=0,Q231=""),"",Q231/L231)</f>
        <v>0.16577321990444005</v>
      </c>
      <c r="S231" s="14" t="n">
        <v>9907</v>
      </c>
      <c r="T231" s="13">
        <f>IF(OR(N(L231)=0,S231=""),"",S231/L231)</f>
        <v>0.5772637221769025</v>
      </c>
      <c r="U231" s="14" t="n">
        <v>2165</v>
      </c>
      <c r="V231" s="13">
        <f>IF(OR(N(L231)=0,U231=""),"",U231/L231)</f>
        <v>0.1261507982752593</v>
      </c>
      <c r="W231" s="14" t="n">
        <v>67536</v>
      </c>
      <c r="X231" s="14" t="n">
        <v>12492</v>
      </c>
      <c r="Y231" s="13">
        <f>IF(OR(N(W231)=0,X231=""),"",X231/W231)</f>
        <v>0.1849680170575693</v>
      </c>
      <c r="Z231" s="11" t="str">
        <f>IF(AA231="A","四季持續盈利",IF(AA231="B","最新季為正/波動",IF(AA231="C","虧損收窄",IF(AA231="D","虧損擴大或轉虧","數據不足"))))</f>
        <v>四季持續盈利</v>
      </c>
      <c r="AA231" s="9" t="str">
        <f>IF(COUNT(N231:Q231)&lt;4,"—",IF(MIN(N231:Q231)&gt;0,"A",IF(Q231&gt;0,"B",IF(Q231&gt;N231,"C","D"))))</f>
        <v>A</v>
      </c>
      <c r="AB231" s="9" t="inlineStr">
        <is>
          <t>2026-06-30</t>
        </is>
      </c>
    </row>
    <row r="232" ht="15" customHeight="1">
      <c r="A232" s="9" t="n">
        <v>231</v>
      </c>
      <c r="B232" s="10" t="inlineStr">
        <is>
          <t>ICE</t>
        </is>
      </c>
      <c r="C232" s="11" t="inlineStr">
        <is>
          <t>交易所與金融數據</t>
        </is>
      </c>
      <c r="D232" s="11" t="inlineStr">
        <is>
          <t>Intercontinental Exchange, Inc.</t>
        </is>
      </c>
      <c r="E232" s="11" t="inlineStr">
        <is>
          <t>Financial Data &amp; Stock Exchanges</t>
        </is>
      </c>
      <c r="F232" s="9" t="inlineStr">
        <is>
          <t>USD</t>
        </is>
      </c>
      <c r="G232" s="11" t="inlineStr">
        <is>
          <t>25Q2 / 25Q3 / 25Q4 / 26Q1 / 26Q2</t>
        </is>
      </c>
      <c r="H232" s="12" t="n">
        <v>3262</v>
      </c>
      <c r="I232" s="12" t="n">
        <v>3007</v>
      </c>
      <c r="J232" s="12" t="n">
        <v>3142</v>
      </c>
      <c r="K232" s="12" t="n">
        <v>3666</v>
      </c>
      <c r="L232" s="12" t="n">
        <v>3611</v>
      </c>
      <c r="M232" s="13">
        <f>IF(OR(N(H232)=0,L232=""),"",L232/H232-1)</f>
        <v>0.10698957694665845</v>
      </c>
      <c r="N232" s="14" t="n">
        <v>1183</v>
      </c>
      <c r="O232" s="14" t="n">
        <v>1256</v>
      </c>
      <c r="P232" s="14" t="n">
        <v>1706</v>
      </c>
      <c r="Q232" s="14" t="n">
        <v>1403</v>
      </c>
      <c r="R232" s="13">
        <f>IF(OR(N(L232)=0,Q232=""),"",Q232/L232)</f>
        <v>0.3885350318471338</v>
      </c>
      <c r="S232" s="14" t="n">
        <v>1915</v>
      </c>
      <c r="T232" s="13">
        <f>IF(OR(N(L232)=0,S232=""),"",S232/L232)</f>
        <v>0.5303240099695375</v>
      </c>
      <c r="U232" s="14" t="n">
        <v>958</v>
      </c>
      <c r="V232" s="13">
        <f>IF(OR(N(L232)=0,U232=""),"",U232/L232)</f>
        <v>0.26530047078371644</v>
      </c>
      <c r="W232" s="14" t="n">
        <v>12640</v>
      </c>
      <c r="X232" s="14" t="n">
        <v>4999</v>
      </c>
      <c r="Y232" s="13">
        <f>IF(OR(N(W232)=0,X232=""),"",X232/W232)</f>
        <v>0.3954905063291139</v>
      </c>
      <c r="Z232" s="11" t="str">
        <f>IF(AA232="A","四季持續盈利",IF(AA232="B","最新季為正/波動",IF(AA232="C","虧損收窄",IF(AA232="D","虧損擴大或轉虧","數據不足"))))</f>
        <v>四季持續盈利</v>
      </c>
      <c r="AA232" s="9" t="str">
        <f>IF(COUNT(N232:Q232)&lt;4,"—",IF(MIN(N232:Q232)&gt;0,"A",IF(Q232&gt;0,"B",IF(Q232&gt;N232,"C","D"))))</f>
        <v>A</v>
      </c>
      <c r="AB232" s="9" t="inlineStr">
        <is>
          <t>2026-06-30</t>
        </is>
      </c>
    </row>
    <row r="233" ht="15" customHeight="1">
      <c r="A233" s="9" t="n">
        <v>232</v>
      </c>
      <c r="B233" s="10" t="inlineStr">
        <is>
          <t>ILMN</t>
        </is>
      </c>
      <c r="C233" s="11" t="inlineStr">
        <is>
          <t>診斷與生命科學工具</t>
        </is>
      </c>
      <c r="D233" s="11" t="inlineStr">
        <is>
          <t>Illumina, Inc.</t>
        </is>
      </c>
      <c r="E233" s="11" t="inlineStr">
        <is>
          <t>Diagnostics &amp; Research</t>
        </is>
      </c>
      <c r="F233" s="9" t="inlineStr">
        <is>
          <t>USD</t>
        </is>
      </c>
      <c r="G233" s="11" t="inlineStr">
        <is>
          <t>25Q2 / 25Q3 / 25Q4 / 26Q1 / 26Q2</t>
        </is>
      </c>
      <c r="H233" s="12" t="n">
        <v>1059</v>
      </c>
      <c r="I233" s="12" t="n">
        <v>1084</v>
      </c>
      <c r="J233" s="12" t="n">
        <v>1159</v>
      </c>
      <c r="K233" s="12" t="n">
        <v>1091</v>
      </c>
      <c r="L233" s="12" t="n"/>
      <c r="M233" s="13" t="str">
        <f>IF(OR(N(H233)=0,L233=""),"",L233/H233-1)</f>
        <v/>
      </c>
      <c r="N233" s="14" t="n">
        <v>227</v>
      </c>
      <c r="O233" s="14" t="n">
        <v>211</v>
      </c>
      <c r="P233" s="14" t="n">
        <v>209</v>
      </c>
      <c r="Q233" s="14" t="n"/>
      <c r="R233" s="13" t="str">
        <f>IF(OR(N(L233)=0,Q233=""),"",Q233/L233)</f>
        <v/>
      </c>
      <c r="S233" s="14" t="n"/>
      <c r="T233" s="13" t="str">
        <f>IF(OR(N(L233)=0,S233=""),"",S233/L233)</f>
        <v/>
      </c>
      <c r="U233" s="14" t="n"/>
      <c r="V233" s="13" t="str">
        <f>IF(OR(N(L233)=0,U233=""),"",U233/L233)</f>
        <v/>
      </c>
      <c r="W233" s="14" t="n">
        <v>4343</v>
      </c>
      <c r="X233" s="14" t="n">
        <v>817</v>
      </c>
      <c r="Y233" s="13">
        <f>IF(OR(N(W233)=0,X233=""),"",X233/W233)</f>
        <v>0.18811881188118812</v>
      </c>
      <c r="Z233" s="11" t="str">
        <f>IF(AA233="A","四季持續盈利",IF(AA233="B","最新季為正/波動",IF(AA233="C","虧損收窄",IF(AA233="D","虧損擴大或轉虧","數據不足"))))</f>
        <v>數據不足</v>
      </c>
      <c r="AA233" s="9" t="str">
        <f>IF(COUNT(N233:Q233)&lt;4,"—",IF(MIN(N233:Q233)&gt;0,"A",IF(Q233&gt;0,"B",IF(Q233&gt;N233,"C","D"))))</f>
        <v>—</v>
      </c>
      <c r="AB233" s="9" t="inlineStr">
        <is>
          <t>2026-06-30</t>
        </is>
      </c>
    </row>
    <row r="234" ht="15" customHeight="1">
      <c r="A234" s="9" t="n">
        <v>233</v>
      </c>
      <c r="B234" s="10" t="inlineStr">
        <is>
          <t>INFY</t>
        </is>
      </c>
      <c r="C234" s="11" t="inlineStr">
        <is>
          <t>IT服務與系統整合</t>
        </is>
      </c>
      <c r="D234" s="11" t="inlineStr">
        <is>
          <t>Infosys Limited</t>
        </is>
      </c>
      <c r="E234" s="11" t="inlineStr">
        <is>
          <t>Information Technology Services</t>
        </is>
      </c>
      <c r="F234" s="9" t="inlineStr">
        <is>
          <t>USD</t>
        </is>
      </c>
      <c r="G234" s="11" t="inlineStr">
        <is>
          <t>25Q2 / 25Q3 / 25Q4 / 26Q1 / 26Q2</t>
        </is>
      </c>
      <c r="H234" s="12" t="n">
        <v>4941</v>
      </c>
      <c r="I234" s="12" t="n">
        <v>5076</v>
      </c>
      <c r="J234" s="12" t="n">
        <v>5099</v>
      </c>
      <c r="K234" s="12" t="n">
        <v>5040</v>
      </c>
      <c r="L234" s="12" t="n">
        <v>5082</v>
      </c>
      <c r="M234" s="13">
        <f>IF(OR(N(H234)=0,L234=""),"",L234/H234-1)</f>
        <v>0.02853673345476615</v>
      </c>
      <c r="N234" s="14" t="n">
        <v>1065</v>
      </c>
      <c r="O234" s="14" t="n">
        <v>943</v>
      </c>
      <c r="P234" s="14" t="n">
        <v>1055</v>
      </c>
      <c r="Q234" s="14" t="n">
        <v>1072</v>
      </c>
      <c r="R234" s="13">
        <f>IF(OR(N(L234)=0,Q234=""),"",Q234/L234)</f>
        <v>0.2109405745769382</v>
      </c>
      <c r="S234" s="14" t="n">
        <v>1600</v>
      </c>
      <c r="T234" s="13">
        <f>IF(OR(N(L234)=0,S234=""),"",S234/L234)</f>
        <v>0.3148366784730421</v>
      </c>
      <c r="U234" s="14" t="n">
        <v>819</v>
      </c>
      <c r="V234" s="13">
        <f>IF(OR(N(L234)=0,U234=""),"",U234/L234)</f>
        <v>0.16115702479338842</v>
      </c>
      <c r="W234" s="14" t="n">
        <v>20158</v>
      </c>
      <c r="X234" s="14" t="n">
        <v>4089</v>
      </c>
      <c r="Y234" s="13">
        <f>IF(OR(N(W234)=0,X234=""),"",X234/W234)</f>
        <v>0.20284750471276913</v>
      </c>
      <c r="Z234" s="11" t="str">
        <f>IF(AA234="A","四季持續盈利",IF(AA234="B","最新季為正/波動",IF(AA234="C","虧損收窄",IF(AA234="D","虧損擴大或轉虧","數據不足"))))</f>
        <v>四季持續盈利</v>
      </c>
      <c r="AA234" s="9" t="str">
        <f>IF(COUNT(N234:Q234)&lt;4,"—",IF(MIN(N234:Q234)&gt;0,"A",IF(Q234&gt;0,"B",IF(Q234&gt;N234,"C","D"))))</f>
        <v>A</v>
      </c>
      <c r="AB234" s="9" t="inlineStr">
        <is>
          <t>2026-06-30</t>
        </is>
      </c>
    </row>
    <row r="235" ht="15" customHeight="1">
      <c r="A235" s="9" t="n">
        <v>234</v>
      </c>
      <c r="B235" s="10" t="inlineStr">
        <is>
          <t>INGR</t>
        </is>
      </c>
      <c r="C235" s="11" t="inlineStr">
        <is>
          <t>農產品與農業投入</t>
        </is>
      </c>
      <c r="D235" s="11" t="inlineStr">
        <is>
          <t>Ingredion Incorporated</t>
        </is>
      </c>
      <c r="E235" s="11" t="inlineStr">
        <is>
          <t>Packaged Foods</t>
        </is>
      </c>
      <c r="F235" s="9" t="inlineStr">
        <is>
          <t>USD</t>
        </is>
      </c>
      <c r="G235" s="11" t="inlineStr">
        <is>
          <t>25Q2 / 25Q3 / 25Q4 / 26Q1 / 26Q2</t>
        </is>
      </c>
      <c r="H235" s="12" t="n">
        <v>1833</v>
      </c>
      <c r="I235" s="12" t="n">
        <v>1816</v>
      </c>
      <c r="J235" s="12" t="n">
        <v>1757</v>
      </c>
      <c r="K235" s="12" t="n">
        <v>1792</v>
      </c>
      <c r="L235" s="12" t="n">
        <v>1850</v>
      </c>
      <c r="M235" s="13">
        <f>IF(OR(N(H235)=0,L235=""),"",L235/H235-1)</f>
        <v>0.009274413529732684</v>
      </c>
      <c r="N235" s="14" t="n">
        <v>252</v>
      </c>
      <c r="O235" s="14" t="n">
        <v>228</v>
      </c>
      <c r="P235" s="14" t="n">
        <v>214</v>
      </c>
      <c r="Q235" s="14" t="n">
        <v>233</v>
      </c>
      <c r="R235" s="13">
        <f>IF(OR(N(L235)=0,Q235=""),"",Q235/L235)</f>
        <v>0.12594594594594594</v>
      </c>
      <c r="S235" s="14" t="n">
        <v>426</v>
      </c>
      <c r="T235" s="13">
        <f>IF(OR(N(L235)=0,S235=""),"",S235/L235)</f>
        <v>0.23027027027027028</v>
      </c>
      <c r="U235" s="14" t="n">
        <v>114</v>
      </c>
      <c r="V235" s="13">
        <f>IF(OR(N(L235)=0,U235=""),"",U235/L235)</f>
        <v>0.061621621621621624</v>
      </c>
      <c r="W235" s="14" t="n">
        <v>7219</v>
      </c>
      <c r="X235" s="14" t="n">
        <v>1037</v>
      </c>
      <c r="Y235" s="13">
        <f>IF(OR(N(W235)=0,X235=""),"",X235/W235)</f>
        <v>0.14364870480675995</v>
      </c>
      <c r="Z235" s="11" t="str">
        <f>IF(AA235="A","四季持續盈利",IF(AA235="B","最新季為正/波動",IF(AA235="C","虧損收窄",IF(AA235="D","虧損擴大或轉虧","數據不足"))))</f>
        <v>四季持續盈利</v>
      </c>
      <c r="AA235" s="9" t="str">
        <f>IF(COUNT(N235:Q235)&lt;4,"—",IF(MIN(N235:Q235)&gt;0,"A",IF(Q235&gt;0,"B",IF(Q235&gt;N235,"C","D"))))</f>
        <v>A</v>
      </c>
      <c r="AB235" s="9" t="inlineStr">
        <is>
          <t>2026-06-30</t>
        </is>
      </c>
    </row>
    <row r="236" ht="15" customHeight="1">
      <c r="A236" s="9" t="n">
        <v>235</v>
      </c>
      <c r="B236" s="10" t="inlineStr">
        <is>
          <t>INTC</t>
        </is>
      </c>
      <c r="C236" s="11" t="inlineStr">
        <is>
          <t>晶圓代工/IDM</t>
        </is>
      </c>
      <c r="D236" s="11" t="inlineStr">
        <is>
          <t>Intel Corporation</t>
        </is>
      </c>
      <c r="E236" s="11" t="inlineStr">
        <is>
          <t>A1 GPU</t>
        </is>
      </c>
      <c r="F236" s="9" t="inlineStr">
        <is>
          <t>USD</t>
        </is>
      </c>
      <c r="G236" s="11" t="inlineStr">
        <is>
          <t>25Q2 / 25Q3 / 25Q4 / 26Q1 / 26Q2</t>
        </is>
      </c>
      <c r="H236" s="12" t="n">
        <v>12859</v>
      </c>
      <c r="I236" s="12" t="n">
        <v>13653</v>
      </c>
      <c r="J236" s="12" t="n">
        <v>13674</v>
      </c>
      <c r="K236" s="12" t="n">
        <v>13577</v>
      </c>
      <c r="L236" s="12" t="n">
        <v>16128</v>
      </c>
      <c r="M236" s="13">
        <f>IF(OR(N(H236)=0,L236=""),"",L236/H236-1)</f>
        <v>0.25421883505715837</v>
      </c>
      <c r="N236" s="14" t="n">
        <v>858</v>
      </c>
      <c r="O236" s="14" t="n">
        <v>550</v>
      </c>
      <c r="P236" s="14" t="n">
        <v>934</v>
      </c>
      <c r="Q236" s="14" t="n">
        <v>1966</v>
      </c>
      <c r="R236" s="13">
        <f>IF(OR(N(L236)=0,Q236=""),"",Q236/L236)</f>
        <v>0.12189980158730158</v>
      </c>
      <c r="S236" s="14" t="n">
        <v>6509</v>
      </c>
      <c r="T236" s="13">
        <f>IF(OR(N(L236)=0,S236=""),"",S236/L236)</f>
        <v>0.40358382936507936</v>
      </c>
      <c r="U236" s="14" t="n">
        <v>-11033</v>
      </c>
      <c r="V236" s="13">
        <f>IF(OR(N(L236)=0,U236=""),"",U236/L236)</f>
        <v>-0.6840897817460317</v>
      </c>
      <c r="W236" s="14" t="n">
        <v>52853</v>
      </c>
      <c r="X236" s="14" t="n">
        <v>-23</v>
      </c>
      <c r="Y236" s="13">
        <f>IF(OR(N(W236)=0,X236=""),"",X236/W236)</f>
        <v>-0.0004351692429947212</v>
      </c>
      <c r="Z236" s="11" t="str">
        <f>IF(AA236="A","四季持續盈利",IF(AA236="B","最新季為正/波動",IF(AA236="C","虧損收窄",IF(AA236="D","虧損擴大或轉虧","數據不足"))))</f>
        <v>四季持續盈利</v>
      </c>
      <c r="AA236" s="9" t="str">
        <f>IF(COUNT(N236:Q236)&lt;4,"—",IF(MIN(N236:Q236)&gt;0,"A",IF(Q236&gt;0,"B",IF(Q236&gt;N236,"C","D"))))</f>
        <v>A</v>
      </c>
      <c r="AB236" s="9" t="inlineStr">
        <is>
          <t>2026-06-30</t>
        </is>
      </c>
    </row>
    <row r="237" ht="15" customHeight="1">
      <c r="A237" s="9" t="n">
        <v>236</v>
      </c>
      <c r="B237" s="10" t="inlineStr">
        <is>
          <t>INVH</t>
        </is>
      </c>
      <c r="C237" s="11" t="inlineStr">
        <is>
          <t>住宅公寓REIT</t>
        </is>
      </c>
      <c r="D237" s="11" t="inlineStr">
        <is>
          <t>Invitation Homes Inc.</t>
        </is>
      </c>
      <c r="E237" s="11" t="inlineStr">
        <is>
          <t>REIT - Residential</t>
        </is>
      </c>
      <c r="F237" s="9" t="inlineStr">
        <is>
          <t>USD</t>
        </is>
      </c>
      <c r="G237" s="11" t="inlineStr">
        <is>
          <t>25Q2 / 25Q3 / 25Q4 / 26Q1 / 26Q2</t>
        </is>
      </c>
      <c r="H237" s="12" t="n">
        <v>681.401</v>
      </c>
      <c r="I237" s="12" t="n">
        <v>688.1660000000001</v>
      </c>
      <c r="J237" s="12" t="n">
        <v>685.25</v>
      </c>
      <c r="K237" s="12" t="n">
        <v>734.112</v>
      </c>
      <c r="L237" s="12" t="n">
        <v>747.55</v>
      </c>
      <c r="M237" s="13">
        <f>IF(OR(N(H237)=0,L237=""),"",L237/H237-1)</f>
        <v>0.09707793208404447</v>
      </c>
      <c r="N237" s="14" t="n">
        <v>185.155</v>
      </c>
      <c r="O237" s="14" t="n">
        <v>187.37</v>
      </c>
      <c r="P237" s="14" t="n">
        <v>179.058</v>
      </c>
      <c r="Q237" s="14" t="n">
        <v>188.266</v>
      </c>
      <c r="R237" s="13">
        <f>IF(OR(N(L237)=0,Q237=""),"",Q237/L237)</f>
        <v>0.2518440238111163</v>
      </c>
      <c r="S237" s="14" t="n">
        <v>411.897</v>
      </c>
      <c r="T237" s="13">
        <f>IF(OR(N(L237)=0,S237=""),"",S237/L237)</f>
        <v>0.5509959200053508</v>
      </c>
      <c r="U237" s="14" t="n">
        <v>218.847</v>
      </c>
      <c r="V237" s="13">
        <f>IF(OR(N(L237)=0,U237=""),"",U237/L237)</f>
        <v>0.2927523242592469</v>
      </c>
      <c r="W237" s="14" t="n">
        <v>2729.296</v>
      </c>
      <c r="X237" s="14" t="n">
        <v>752.396</v>
      </c>
      <c r="Y237" s="13">
        <f>IF(OR(N(W237)=0,X237=""),"",X237/W237)</f>
        <v>0.27567401996705376</v>
      </c>
      <c r="Z237" s="11" t="str">
        <f>IF(AA237="A","四季持續盈利",IF(AA237="B","最新季為正/波動",IF(AA237="C","虧損收窄",IF(AA237="D","虧損擴大或轉虧","數據不足"))))</f>
        <v>四季持續盈利</v>
      </c>
      <c r="AA237" s="9" t="str">
        <f>IF(COUNT(N237:Q237)&lt;4,"—",IF(MIN(N237:Q237)&gt;0,"A",IF(Q237&gt;0,"B",IF(Q237&gt;N237,"C","D"))))</f>
        <v>A</v>
      </c>
      <c r="AB237" s="9" t="inlineStr">
        <is>
          <t>2026-06-30</t>
        </is>
      </c>
    </row>
    <row r="238" ht="15" customHeight="1">
      <c r="A238" s="9" t="n">
        <v>237</v>
      </c>
      <c r="B238" s="10" t="inlineStr">
        <is>
          <t>IONQ</t>
        </is>
      </c>
      <c r="C238" s="11" t="inlineStr">
        <is>
          <t>量子運算</t>
        </is>
      </c>
      <c r="D238" s="11" t="inlineStr">
        <is>
          <t>IonQ, Inc.</t>
        </is>
      </c>
      <c r="E238" s="11" t="inlineStr">
        <is>
          <t>Computer Hardware</t>
        </is>
      </c>
      <c r="F238" s="9" t="inlineStr">
        <is>
          <t>USD</t>
        </is>
      </c>
      <c r="G238" s="11" t="inlineStr">
        <is>
          <t>25Q2 / 25Q3 / 25Q4 / 26Q1 / 26Q2</t>
        </is>
      </c>
      <c r="H238" s="12" t="n">
        <v>20.694</v>
      </c>
      <c r="I238" s="12" t="n">
        <v>39.866</v>
      </c>
      <c r="J238" s="12" t="n">
        <v>61.89</v>
      </c>
      <c r="K238" s="12" t="n">
        <v>64.66800000000001</v>
      </c>
      <c r="L238" s="12" t="n">
        <v>80.05</v>
      </c>
      <c r="M238" s="13">
        <f>IF(OR(N(H238)=0,L238=""),"",L238/H238-1)</f>
        <v>2.8682709964240845</v>
      </c>
      <c r="N238" s="14" t="n">
        <v>-168.813</v>
      </c>
      <c r="O238" s="14" t="n">
        <v>-228.631</v>
      </c>
      <c r="P238" s="14" t="n">
        <v>-271.507</v>
      </c>
      <c r="Q238" s="14" t="n">
        <v>-337.243</v>
      </c>
      <c r="R238" s="13">
        <f>IF(OR(N(L238)=0,Q238=""),"",Q238/L238)</f>
        <v>-4.212904434728295</v>
      </c>
      <c r="S238" s="14" t="n">
        <v>19.94</v>
      </c>
      <c r="T238" s="13">
        <f>IF(OR(N(L238)=0,S238=""),"",S238/L238)</f>
        <v>0.24909431605246724</v>
      </c>
      <c r="U238" s="14" t="n">
        <v>-1867.742</v>
      </c>
      <c r="V238" s="13">
        <f>IF(OR(N(L238)=0,U238=""),"",U238/L238)</f>
        <v>-23.33219237976265</v>
      </c>
      <c r="W238" s="14" t="n">
        <v>130.016</v>
      </c>
      <c r="X238" s="14" t="n">
        <v>-633.715</v>
      </c>
      <c r="Y238" s="13">
        <f>IF(OR(N(W238)=0,X238=""),"",X238/W238)</f>
        <v>-4.874130876199853</v>
      </c>
      <c r="Z238" s="11" t="str">
        <f>IF(AA238="A","四季持續盈利",IF(AA238="B","最新季為正/波動",IF(AA238="C","虧損收窄",IF(AA238="D","虧損擴大或轉虧","數據不足"))))</f>
        <v>虧損擴大或轉虧</v>
      </c>
      <c r="AA238" s="9" t="str">
        <f>IF(COUNT(N238:Q238)&lt;4,"—",IF(MIN(N238:Q238)&gt;0,"A",IF(Q238&gt;0,"B",IF(Q238&gt;N238,"C","D"))))</f>
        <v>D</v>
      </c>
      <c r="AB238" s="9" t="inlineStr">
        <is>
          <t>2026-06-30</t>
        </is>
      </c>
    </row>
    <row r="239" ht="15" customHeight="1">
      <c r="A239" s="9" t="n">
        <v>238</v>
      </c>
      <c r="B239" s="10" t="inlineStr">
        <is>
          <t>IONS</t>
        </is>
      </c>
      <c r="C239" s="11" t="inlineStr">
        <is>
          <t>臨床期中小型生技</t>
        </is>
      </c>
      <c r="D239" s="11" t="inlineStr">
        <is>
          <t>Ionis Pharmaceuticals, Inc.</t>
        </is>
      </c>
      <c r="E239" s="11" t="inlineStr">
        <is>
          <t>Biotechnology</t>
        </is>
      </c>
      <c r="F239" s="9" t="inlineStr">
        <is>
          <t>USD</t>
        </is>
      </c>
      <c r="G239" s="11" t="inlineStr">
        <is>
          <t>25Q2 / 25Q3 / 25Q4 / 26Q1 / 26Q2</t>
        </is>
      </c>
      <c r="H239" s="12" t="n">
        <v>452.049</v>
      </c>
      <c r="I239" s="12" t="n">
        <v>156.719</v>
      </c>
      <c r="J239" s="12" t="n">
        <v>203.33</v>
      </c>
      <c r="K239" s="12" t="n">
        <v>246.091</v>
      </c>
      <c r="L239" s="12" t="n">
        <v>267.949</v>
      </c>
      <c r="M239" s="13">
        <f>IF(OR(N(H239)=0,L239=""),"",L239/H239-1)</f>
        <v>-0.4072567354423967</v>
      </c>
      <c r="N239" s="14" t="n">
        <v>-160.173</v>
      </c>
      <c r="O239" s="14" t="n">
        <v>-214.473</v>
      </c>
      <c r="P239" s="14" t="n">
        <v>-117.482</v>
      </c>
      <c r="Q239" s="14" t="n">
        <v>-102.297</v>
      </c>
      <c r="R239" s="13">
        <f>IF(OR(N(L239)=0,Q239=""),"",Q239/L239)</f>
        <v>-0.38177787564051363</v>
      </c>
      <c r="S239" s="14" t="n">
        <v>265.21</v>
      </c>
      <c r="T239" s="13">
        <f>IF(OR(N(L239)=0,S239=""),"",S239/L239)</f>
        <v>0.9897779054969414</v>
      </c>
      <c r="U239" s="14" t="n">
        <v>-114.646</v>
      </c>
      <c r="V239" s="13">
        <f>IF(OR(N(L239)=0,U239=""),"",U239/L239)</f>
        <v>-0.4278650041612396</v>
      </c>
      <c r="W239" s="14" t="n">
        <v>943.711</v>
      </c>
      <c r="X239" s="14" t="n">
        <v>-381.717</v>
      </c>
      <c r="Y239" s="13">
        <f>IF(OR(N(W239)=0,X239=""),"",X239/W239)</f>
        <v>-0.4044850595150422</v>
      </c>
      <c r="Z239" s="11" t="str">
        <f>IF(AA239="A","四季持續盈利",IF(AA239="B","最新季為正/波動",IF(AA239="C","虧損收窄",IF(AA239="D","虧損擴大或轉虧","數據不足"))))</f>
        <v>虧損收窄</v>
      </c>
      <c r="AA239" s="9" t="str">
        <f>IF(COUNT(N239:Q239)&lt;4,"—",IF(MIN(N239:Q239)&gt;0,"A",IF(Q239&gt;0,"B",IF(Q239&gt;N239,"C","D"))))</f>
        <v>C</v>
      </c>
      <c r="AB239" s="9" t="inlineStr">
        <is>
          <t>2026-06-30</t>
        </is>
      </c>
    </row>
    <row r="240" ht="15" customHeight="1">
      <c r="A240" s="9" t="n">
        <v>239</v>
      </c>
      <c r="B240" s="10" t="inlineStr">
        <is>
          <t>IOVA</t>
        </is>
      </c>
      <c r="C240" s="11" t="inlineStr">
        <is>
          <t>腫瘤與細胞治療</t>
        </is>
      </c>
      <c r="D240" s="11" t="inlineStr">
        <is>
          <t>Iovance Biotherapeutics, Inc.</t>
        </is>
      </c>
      <c r="E240" s="11" t="inlineStr">
        <is>
          <t>Biotechnology</t>
        </is>
      </c>
      <c r="F240" s="9" t="inlineStr">
        <is>
          <t>USD</t>
        </is>
      </c>
      <c r="G240" s="11" t="inlineStr">
        <is>
          <t>25Q2 / 25Q3 / 25Q4 / 26Q1 / 26Q2</t>
        </is>
      </c>
      <c r="H240" s="12" t="n">
        <v>59.952</v>
      </c>
      <c r="I240" s="12" t="n">
        <v>67.455</v>
      </c>
      <c r="J240" s="12" t="n">
        <v>86.771</v>
      </c>
      <c r="K240" s="12" t="n">
        <v>71.43000000000001</v>
      </c>
      <c r="L240" s="12" t="n">
        <v>99.313</v>
      </c>
      <c r="M240" s="13">
        <f>IF(OR(N(H240)=0,L240=""),"",L240/H240-1)</f>
        <v>0.6565419001868162</v>
      </c>
      <c r="N240" s="14" t="n">
        <v>-89.758</v>
      </c>
      <c r="O240" s="14" t="n">
        <v>-73.45999999999999</v>
      </c>
      <c r="P240" s="14" t="n">
        <v>-81.04300000000001</v>
      </c>
      <c r="Q240" s="14" t="n">
        <v>-51.905</v>
      </c>
      <c r="R240" s="13">
        <f>IF(OR(N(L240)=0,Q240=""),"",Q240/L240)</f>
        <v>-0.5226405405133265</v>
      </c>
      <c r="S240" s="14" t="n">
        <v>55.718</v>
      </c>
      <c r="T240" s="13">
        <f>IF(OR(N(L240)=0,S240=""),"",S240/L240)</f>
        <v>0.5610343056800218</v>
      </c>
      <c r="U240" s="14" t="n">
        <v>-47.315</v>
      </c>
      <c r="V240" s="13">
        <f>IF(OR(N(L240)=0,U240=""),"",U240/L240)</f>
        <v>-0.47642302618992477</v>
      </c>
      <c r="W240" s="14" t="n">
        <v>263.502</v>
      </c>
      <c r="X240" s="14" t="n">
        <v>-398.213</v>
      </c>
      <c r="Y240" s="13">
        <f>IF(OR(N(W240)=0,X240=""),"",X240/W240)</f>
        <v>-1.5112333113221152</v>
      </c>
      <c r="Z240" s="11" t="str">
        <f>IF(AA240="A","四季持續盈利",IF(AA240="B","最新季為正/波動",IF(AA240="C","虧損收窄",IF(AA240="D","虧損擴大或轉虧","數據不足"))))</f>
        <v>虧損收窄</v>
      </c>
      <c r="AA240" s="9" t="str">
        <f>IF(COUNT(N240:Q240)&lt;4,"—",IF(MIN(N240:Q240)&gt;0,"A",IF(Q240&gt;0,"B",IF(Q240&gt;N240,"C","D"))))</f>
        <v>C</v>
      </c>
      <c r="AB240" s="9" t="inlineStr">
        <is>
          <t>2026-06-30</t>
        </is>
      </c>
    </row>
    <row r="241" ht="15" customHeight="1">
      <c r="A241" s="9" t="n">
        <v>240</v>
      </c>
      <c r="B241" s="10" t="inlineStr">
        <is>
          <t>IP</t>
        </is>
      </c>
      <c r="C241" s="11" t="inlineStr">
        <is>
          <t>包裝與建材</t>
        </is>
      </c>
      <c r="D241" s="11" t="inlineStr">
        <is>
          <t>International Paper Company</t>
        </is>
      </c>
      <c r="E241" s="11" t="inlineStr">
        <is>
          <t>Packaging &amp; Containers</t>
        </is>
      </c>
      <c r="F241" s="9" t="inlineStr">
        <is>
          <t>USD</t>
        </is>
      </c>
      <c r="G241" s="11" t="inlineStr">
        <is>
          <t>25Q2 / 25Q3 / 25Q4 / 26Q1 / 26Q2</t>
        </is>
      </c>
      <c r="H241" s="12" t="n">
        <v>6142</v>
      </c>
      <c r="I241" s="12" t="n">
        <v>6222</v>
      </c>
      <c r="J241" s="12" t="n">
        <v>6006</v>
      </c>
      <c r="K241" s="12" t="n">
        <v>5971</v>
      </c>
      <c r="L241" s="12" t="n">
        <v>6004</v>
      </c>
      <c r="M241" s="13">
        <f>IF(OR(N(H241)=0,L241=""),"",L241/H241-1)</f>
        <v>-0.022468251383914062</v>
      </c>
      <c r="N241" s="14" t="n">
        <v>-221</v>
      </c>
      <c r="O241" s="14" t="n">
        <v>56</v>
      </c>
      <c r="P241" s="14" t="n">
        <v>174</v>
      </c>
      <c r="Q241" s="14" t="n">
        <v>43</v>
      </c>
      <c r="R241" s="13">
        <f>IF(OR(N(L241)=0,Q241=""),"",Q241/L241)</f>
        <v>0.007161892071952032</v>
      </c>
      <c r="S241" s="14" t="n">
        <v>1660</v>
      </c>
      <c r="T241" s="13">
        <f>IF(OR(N(L241)=0,S241=""),"",S241/L241)</f>
        <v>0.27648234510326447</v>
      </c>
      <c r="U241" s="14" t="n">
        <v>-12</v>
      </c>
      <c r="V241" s="13">
        <f>IF(OR(N(L241)=0,U241=""),"",U241/L241)</f>
        <v>-0.001998667554963358</v>
      </c>
      <c r="W241" s="14" t="n">
        <v>23634</v>
      </c>
      <c r="X241" s="14" t="n">
        <v>-10</v>
      </c>
      <c r="Y241" s="13">
        <f>IF(OR(N(W241)=0,X241=""),"",X241/W241)</f>
        <v>-0.0004231192350004231</v>
      </c>
      <c r="Z241" s="11" t="str">
        <f>IF(AA241="A","四季持續盈利",IF(AA241="B","最新季為正/波動",IF(AA241="C","虧損收窄",IF(AA241="D","虧損擴大或轉虧","數據不足"))))</f>
        <v>最新季為正/波動</v>
      </c>
      <c r="AA241" s="9" t="str">
        <f>IF(COUNT(N241:Q241)&lt;4,"—",IF(MIN(N241:Q241)&gt;0,"A",IF(Q241&gt;0,"B",IF(Q241&gt;N241,"C","D"))))</f>
        <v>B</v>
      </c>
      <c r="AB241" s="9" t="inlineStr">
        <is>
          <t>2026-06-30</t>
        </is>
      </c>
    </row>
    <row r="242" ht="15" customHeight="1">
      <c r="A242" s="9" t="n">
        <v>241</v>
      </c>
      <c r="B242" s="10" t="inlineStr">
        <is>
          <t>IPGP</t>
        </is>
      </c>
      <c r="C242" s="11" t="inlineStr">
        <is>
          <t>—</t>
        </is>
      </c>
      <c r="D242" s="11" t="inlineStr">
        <is>
          <t>IPG Photonics Corporation</t>
        </is>
      </c>
      <c r="E242" s="11" t="inlineStr">
        <is>
          <t>D9 光模塊上游</t>
        </is>
      </c>
      <c r="F242" s="9" t="inlineStr">
        <is>
          <t>USD</t>
        </is>
      </c>
      <c r="G242" s="11" t="inlineStr">
        <is>
          <t>25Q2 / 25Q3 / 25Q4 / 26Q1 / 26Q2</t>
        </is>
      </c>
      <c r="H242" s="12" t="n">
        <v>250.721</v>
      </c>
      <c r="I242" s="12" t="n">
        <v>250.792</v>
      </c>
      <c r="J242" s="12" t="n">
        <v>274.471</v>
      </c>
      <c r="K242" s="12" t="n">
        <v>265.497</v>
      </c>
      <c r="L242" s="12" t="n">
        <v>278.58</v>
      </c>
      <c r="M242" s="13">
        <f>IF(OR(N(H242)=0,L242=""),"",L242/H242-1)</f>
        <v>0.11111554277463775</v>
      </c>
      <c r="N242" s="14" t="n">
        <v>9.784000000000001</v>
      </c>
      <c r="O242" s="14" t="n">
        <v>5.835</v>
      </c>
      <c r="P242" s="14" t="n">
        <v>5.564</v>
      </c>
      <c r="Q242" s="14" t="n">
        <v>21.157</v>
      </c>
      <c r="R242" s="13">
        <f>IF(OR(N(L242)=0,Q242=""),"",Q242/L242)</f>
        <v>0.07594586833225644</v>
      </c>
      <c r="S242" s="14" t="n">
        <v>112.524</v>
      </c>
      <c r="T242" s="13">
        <f>IF(OR(N(L242)=0,S242=""),"",S242/L242)</f>
        <v>0.4039198793883265</v>
      </c>
      <c r="U242" s="14" t="n">
        <v>5.242</v>
      </c>
      <c r="V242" s="13">
        <f>IF(OR(N(L242)=0,U242=""),"",U242/L242)</f>
        <v>0.01881685691722306</v>
      </c>
      <c r="W242" s="14" t="n">
        <v>1003.777</v>
      </c>
      <c r="X242" s="14" t="n">
        <v>23.059</v>
      </c>
      <c r="Y242" s="13">
        <f>IF(OR(N(W242)=0,X242=""),"",X242/W242)</f>
        <v>0.02297223387266295</v>
      </c>
      <c r="Z242" s="11" t="str">
        <f>IF(AA242="A","四季持續盈利",IF(AA242="B","最新季為正/波動",IF(AA242="C","虧損收窄",IF(AA242="D","虧損擴大或轉虧","數據不足"))))</f>
        <v>四季持續盈利</v>
      </c>
      <c r="AA242" s="9" t="str">
        <f>IF(COUNT(N242:Q242)&lt;4,"—",IF(MIN(N242:Q242)&gt;0,"A",IF(Q242&gt;0,"B",IF(Q242&gt;N242,"C","D"))))</f>
        <v>A</v>
      </c>
      <c r="AB242" s="9" t="inlineStr">
        <is>
          <t>2026-06-30</t>
        </is>
      </c>
    </row>
    <row r="243" ht="15" customHeight="1">
      <c r="A243" s="9" t="n">
        <v>242</v>
      </c>
      <c r="B243" s="10" t="inlineStr">
        <is>
          <t>IREN</t>
        </is>
      </c>
      <c r="C243" s="11" t="inlineStr">
        <is>
          <t>數位資產金融與礦業轉HPC</t>
        </is>
      </c>
      <c r="D243" s="11" t="inlineStr">
        <is>
          <t>IREN Limited</t>
        </is>
      </c>
      <c r="E243" s="11" t="inlineStr">
        <is>
          <t>AA1 Neo</t>
        </is>
      </c>
      <c r="F243" s="9" t="inlineStr">
        <is>
          <t>USD</t>
        </is>
      </c>
      <c r="G243" s="11" t="inlineStr">
        <is>
          <t>25Q2 / 25Q3 / 25Q4 / 26Q1 / 26Q2</t>
        </is>
      </c>
      <c r="H243" s="12" t="n">
        <v>187.292</v>
      </c>
      <c r="I243" s="12" t="n">
        <v>240.295</v>
      </c>
      <c r="J243" s="12" t="n">
        <v>184.692</v>
      </c>
      <c r="K243" s="12" t="n">
        <v>144.795</v>
      </c>
      <c r="L243" s="12" t="n">
        <v>137.225</v>
      </c>
      <c r="M243" s="13">
        <f>IF(OR(N(H243)=0,L243=""),"",L243/H243-1)</f>
        <v>-0.26732054759413115</v>
      </c>
      <c r="N243" s="14" t="n">
        <v>-60.135</v>
      </c>
      <c r="O243" s="14" t="n">
        <v>-84.655</v>
      </c>
      <c r="P243" s="14" t="n">
        <v>-93.346</v>
      </c>
      <c r="Q243" s="14" t="n">
        <v>-140.615</v>
      </c>
      <c r="R243" s="13">
        <f>IF(OR(N(L243)=0,Q243=""),"",Q243/L243)</f>
        <v>-1.024703953361268</v>
      </c>
      <c r="S243" s="14" t="n">
        <v>85.431</v>
      </c>
      <c r="T243" s="13">
        <f>IF(OR(N(L243)=0,S243=""),"",S243/L243)</f>
        <v>0.6225614866095828</v>
      </c>
      <c r="U243" s="14" t="n">
        <v>-683.999</v>
      </c>
      <c r="V243" s="13">
        <f>IF(OR(N(L243)=0,U243=""),"",U243/L243)</f>
        <v>-4.984507196210603</v>
      </c>
      <c r="W243" s="14" t="n">
        <v>707.0069999999999</v>
      </c>
      <c r="X243" s="14" t="n">
        <v>-378.751</v>
      </c>
      <c r="Y243" s="13">
        <f>IF(OR(N(W243)=0,X243=""),"",X243/W243)</f>
        <v>-0.5357103960781152</v>
      </c>
      <c r="Z243" s="11" t="str">
        <f>IF(AA243="A","四季持續盈利",IF(AA243="B","最新季為正/波動",IF(AA243="C","虧損收窄",IF(AA243="D","虧損擴大或轉虧","數據不足"))))</f>
        <v>虧損擴大或轉虧</v>
      </c>
      <c r="AA243" s="9" t="str">
        <f>IF(COUNT(N243:Q243)&lt;4,"—",IF(MIN(N243:Q243)&gt;0,"A",IF(Q243&gt;0,"B",IF(Q243&gt;N243,"C","D"))))</f>
        <v>D</v>
      </c>
      <c r="AB243" s="9" t="inlineStr">
        <is>
          <t>2026-06-30</t>
        </is>
      </c>
    </row>
    <row r="244" ht="15" customHeight="1">
      <c r="A244" s="9" t="n">
        <v>243</v>
      </c>
      <c r="B244" s="10" t="inlineStr">
        <is>
          <t>ISRG</t>
        </is>
      </c>
      <c r="C244" s="11" t="inlineStr">
        <is>
          <t>醫療器械</t>
        </is>
      </c>
      <c r="D244" s="11" t="inlineStr">
        <is>
          <t>Intuitive Surgical, Inc.</t>
        </is>
      </c>
      <c r="E244" s="11" t="inlineStr">
        <is>
          <t>G4 機器人</t>
        </is>
      </c>
      <c r="F244" s="9" t="inlineStr">
        <is>
          <t>USD</t>
        </is>
      </c>
      <c r="G244" s="11" t="inlineStr">
        <is>
          <t>25Q2 / 25Q3 / 25Q4 / 26Q1 / 26Q2</t>
        </is>
      </c>
      <c r="H244" s="12" t="n">
        <v>2440</v>
      </c>
      <c r="I244" s="12" t="n">
        <v>2505.1</v>
      </c>
      <c r="J244" s="12" t="n">
        <v>2866.2</v>
      </c>
      <c r="K244" s="12" t="n">
        <v>2770.8</v>
      </c>
      <c r="L244" s="12" t="n">
        <v>2892.3</v>
      </c>
      <c r="M244" s="13">
        <f>IF(OR(N(H244)=0,L244=""),"",L244/H244-1)</f>
        <v>0.18536885245901646</v>
      </c>
      <c r="N244" s="14" t="n">
        <v>759.7</v>
      </c>
      <c r="O244" s="14" t="n">
        <v>864.3</v>
      </c>
      <c r="P244" s="14" t="n">
        <v>855.3</v>
      </c>
      <c r="Q244" s="14" t="n">
        <v>971.9</v>
      </c>
      <c r="R244" s="13">
        <f>IF(OR(N(L244)=0,Q244=""),"",Q244/L244)</f>
        <v>0.33603014901635375</v>
      </c>
      <c r="S244" s="14" t="n">
        <v>1960.4</v>
      </c>
      <c r="T244" s="13">
        <f>IF(OR(N(L244)=0,S244=""),"",S244/L244)</f>
        <v>0.6777996749991356</v>
      </c>
      <c r="U244" s="14" t="n">
        <v>818.1</v>
      </c>
      <c r="V244" s="13">
        <f>IF(OR(N(L244)=0,U244=""),"",U244/L244)</f>
        <v>0.282854475676797</v>
      </c>
      <c r="W244" s="14" t="n">
        <v>10064.7</v>
      </c>
      <c r="X244" s="14" t="n">
        <v>2945.5</v>
      </c>
      <c r="Y244" s="13">
        <f>IF(OR(N(W244)=0,X244=""),"",X244/W244)</f>
        <v>0.29265651236499846</v>
      </c>
      <c r="Z244" s="11" t="str">
        <f>IF(AA244="A","四季持續盈利",IF(AA244="B","最新季為正/波動",IF(AA244="C","虧損收窄",IF(AA244="D","虧損擴大或轉虧","數據不足"))))</f>
        <v>四季持續盈利</v>
      </c>
      <c r="AA244" s="9" t="str">
        <f>IF(COUNT(N244:Q244)&lt;4,"—",IF(MIN(N244:Q244)&gt;0,"A",IF(Q244&gt;0,"B",IF(Q244&gt;N244,"C","D"))))</f>
        <v>A</v>
      </c>
      <c r="AB244" s="9" t="inlineStr">
        <is>
          <t>2026-06-30</t>
        </is>
      </c>
    </row>
    <row r="245" ht="15" customHeight="1">
      <c r="A245" s="9" t="n">
        <v>244</v>
      </c>
      <c r="B245" s="10" t="inlineStr">
        <is>
          <t>J</t>
        </is>
      </c>
      <c r="C245" s="11" t="inlineStr">
        <is>
          <t>工程建設/EPC</t>
        </is>
      </c>
      <c r="D245" s="11" t="inlineStr">
        <is>
          <t>Jacobs Solutions Inc.</t>
        </is>
      </c>
      <c r="E245" s="11" t="inlineStr">
        <is>
          <t>Engineering &amp; Construction</t>
        </is>
      </c>
      <c r="F245" s="9" t="inlineStr">
        <is>
          <t>USD</t>
        </is>
      </c>
      <c r="G245" s="11" t="inlineStr">
        <is>
          <t>25Q2 / 25Q3 / 25Q4 / 26Q1 / 26Q2</t>
        </is>
      </c>
      <c r="H245" s="12" t="n">
        <v>3031.768</v>
      </c>
      <c r="I245" s="12" t="n">
        <v>3154.644</v>
      </c>
      <c r="J245" s="12" t="n">
        <v>3293.281</v>
      </c>
      <c r="K245" s="12" t="n">
        <v>3694.881</v>
      </c>
      <c r="L245" s="12" t="n">
        <v>4076.41</v>
      </c>
      <c r="M245" s="13">
        <f>IF(OR(N(H245)=0,L245=""),"",L245/H245-1)</f>
        <v>0.3445652833594126</v>
      </c>
      <c r="N245" s="14" t="n">
        <v>211.555</v>
      </c>
      <c r="O245" s="14" t="n">
        <v>232.561</v>
      </c>
      <c r="P245" s="14" t="n">
        <v>-81.176</v>
      </c>
      <c r="Q245" s="14" t="n">
        <v>286.703</v>
      </c>
      <c r="R245" s="13">
        <f>IF(OR(N(L245)=0,Q245=""),"",Q245/L245)</f>
        <v>0.0703322286031091</v>
      </c>
      <c r="S245" s="14" t="n">
        <v>810.703</v>
      </c>
      <c r="T245" s="13">
        <f>IF(OR(N(L245)=0,S245=""),"",S245/L245)</f>
        <v>0.19887670769132643</v>
      </c>
      <c r="U245" s="14" t="n">
        <v>136.553</v>
      </c>
      <c r="V245" s="13">
        <f>IF(OR(N(L245)=0,U245=""),"",U245/L245)</f>
        <v>0.03349834781094149</v>
      </c>
      <c r="W245" s="14" t="n">
        <v>12029.783</v>
      </c>
      <c r="X245" s="14" t="n">
        <v>863.634</v>
      </c>
      <c r="Y245" s="13">
        <f>IF(OR(N(W245)=0,X245=""),"",X245/W245)</f>
        <v>0.0717913199265523</v>
      </c>
      <c r="Z245" s="11" t="str">
        <f>IF(AA245="A","四季持續盈利",IF(AA245="B","最新季為正/波動",IF(AA245="C","虧損收窄",IF(AA245="D","虧損擴大或轉虧","數據不足"))))</f>
        <v>最新季為正/波動</v>
      </c>
      <c r="AA245" s="9" t="str">
        <f>IF(COUNT(N245:Q245)&lt;4,"—",IF(MIN(N245:Q245)&gt;0,"A",IF(Q245&gt;0,"B",IF(Q245&gt;N245,"C","D"))))</f>
        <v>B</v>
      </c>
      <c r="AB245" s="9" t="inlineStr">
        <is>
          <t>2026-06-30</t>
        </is>
      </c>
    </row>
    <row r="246" ht="15" customHeight="1">
      <c r="A246" s="9" t="n">
        <v>245</v>
      </c>
      <c r="B246" s="10" t="inlineStr">
        <is>
          <t>JBHT</t>
        </is>
      </c>
      <c r="C246" s="11" t="inlineStr">
        <is>
          <t>貨運與物流</t>
        </is>
      </c>
      <c r="D246" s="11" t="inlineStr">
        <is>
          <t>J.B. Hunt Transport Services, Inc.</t>
        </is>
      </c>
      <c r="E246" s="11" t="inlineStr">
        <is>
          <t>Integrated Freight &amp; Logistics</t>
        </is>
      </c>
      <c r="F246" s="9" t="inlineStr">
        <is>
          <t>USD</t>
        </is>
      </c>
      <c r="G246" s="11" t="inlineStr">
        <is>
          <t>25Q2 / 25Q3 / 25Q4 / 26Q1 / 26Q2</t>
        </is>
      </c>
      <c r="H246" s="12" t="n">
        <v>2928.181</v>
      </c>
      <c r="I246" s="12" t="n">
        <v>3052.897</v>
      </c>
      <c r="J246" s="12" t="n">
        <v>3096.626</v>
      </c>
      <c r="K246" s="12" t="n">
        <v>3056.491</v>
      </c>
      <c r="L246" s="12" t="n">
        <v>3495.296</v>
      </c>
      <c r="M246" s="13">
        <f>IF(OR(N(H246)=0,L246=""),"",L246/H246-1)</f>
        <v>0.19367484455366646</v>
      </c>
      <c r="N246" s="14" t="n">
        <v>242.657</v>
      </c>
      <c r="O246" s="14" t="n">
        <v>246.457</v>
      </c>
      <c r="P246" s="14" t="n">
        <v>207.048</v>
      </c>
      <c r="Q246" s="14" t="n">
        <v>259.452</v>
      </c>
      <c r="R246" s="13">
        <f>IF(OR(N(L246)=0,Q246=""),"",Q246/L246)</f>
        <v>0.07422890650748892</v>
      </c>
      <c r="S246" s="14" t="n">
        <v>442.976</v>
      </c>
      <c r="T246" s="13">
        <f>IF(OR(N(L246)=0,S246=""),"",S246/L246)</f>
        <v>0.12673490313838942</v>
      </c>
      <c r="U246" s="14" t="n">
        <v>181.034</v>
      </c>
      <c r="V246" s="13">
        <f>IF(OR(N(L246)=0,U246=""),"",U246/L246)</f>
        <v>0.05179361061266342</v>
      </c>
      <c r="W246" s="14" t="n">
        <v>11999.096</v>
      </c>
      <c r="X246" s="14" t="n">
        <v>865.069</v>
      </c>
      <c r="Y246" s="13">
        <f>IF(OR(N(W246)=0,X246=""),"",X246/W246)</f>
        <v>0.07209451445342216</v>
      </c>
      <c r="Z246" s="11" t="str">
        <f>IF(AA246="A","四季持續盈利",IF(AA246="B","最新季為正/波動",IF(AA246="C","虧損收窄",IF(AA246="D","虧損擴大或轉虧","數據不足"))))</f>
        <v>四季持續盈利</v>
      </c>
      <c r="AA246" s="9" t="str">
        <f>IF(COUNT(N246:Q246)&lt;4,"—",IF(MIN(N246:Q246)&gt;0,"A",IF(Q246&gt;0,"B",IF(Q246&gt;N246,"C","D"))))</f>
        <v>A</v>
      </c>
      <c r="AB246" s="9" t="inlineStr">
        <is>
          <t>2026-06-30</t>
        </is>
      </c>
    </row>
    <row r="247" ht="15" customHeight="1">
      <c r="A247" s="9" t="n">
        <v>246</v>
      </c>
      <c r="B247" s="10" t="inlineStr">
        <is>
          <t>JBL</t>
        </is>
      </c>
      <c r="C247" s="11" t="inlineStr">
        <is>
          <t>電子硬件與EMS/連接器</t>
        </is>
      </c>
      <c r="D247" s="11" t="inlineStr">
        <is>
          <t>Jabil Inc.</t>
        </is>
      </c>
      <c r="E247" s="11" t="inlineStr">
        <is>
          <t>Electronic Components</t>
        </is>
      </c>
      <c r="F247" s="9" t="inlineStr">
        <is>
          <t>USD</t>
        </is>
      </c>
      <c r="G247" s="11" t="inlineStr">
        <is>
          <t>25Q2 / 25Q3 / 25Q4 / 26Q1 / 26Q2</t>
        </is>
      </c>
      <c r="H247" s="12" t="n">
        <v>7828</v>
      </c>
      <c r="I247" s="12" t="n">
        <v>8252</v>
      </c>
      <c r="J247" s="12" t="n">
        <v>8305</v>
      </c>
      <c r="K247" s="12" t="n">
        <v>8282</v>
      </c>
      <c r="L247" s="12" t="n">
        <v>8751</v>
      </c>
      <c r="M247" s="13">
        <f>IF(OR(N(H247)=0,L247=""),"",L247/H247-1)</f>
        <v>0.11791006642820645</v>
      </c>
      <c r="N247" s="14" t="n">
        <v>475</v>
      </c>
      <c r="O247" s="14" t="n">
        <v>372</v>
      </c>
      <c r="P247" s="14" t="n">
        <v>387</v>
      </c>
      <c r="Q247" s="14" t="n">
        <v>456</v>
      </c>
      <c r="R247" s="13">
        <f>IF(OR(N(L247)=0,Q247=""),"",Q247/L247)</f>
        <v>0.052108330476516966</v>
      </c>
      <c r="S247" s="14" t="n">
        <v>828</v>
      </c>
      <c r="T247" s="13">
        <f>IF(OR(N(L247)=0,S247=""),"",S247/L247)</f>
        <v>0.09461775797051765</v>
      </c>
      <c r="U247" s="14" t="n">
        <v>275</v>
      </c>
      <c r="V247" s="13">
        <f>IF(OR(N(L247)=0,U247=""),"",U247/L247)</f>
        <v>0.031424980002285455</v>
      </c>
      <c r="W247" s="14" t="n">
        <v>29802</v>
      </c>
      <c r="X247" s="14" t="n">
        <v>1436</v>
      </c>
      <c r="Y247" s="13">
        <f>IF(OR(N(W247)=0,X247=""),"",X247/W247)</f>
        <v>0.04818468559157103</v>
      </c>
      <c r="Z247" s="11" t="str">
        <f>IF(AA247="A","四季持續盈利",IF(AA247="B","最新季為正/波動",IF(AA247="C","虧損收窄",IF(AA247="D","虧損擴大或轉虧","數據不足"))))</f>
        <v>四季持續盈利</v>
      </c>
      <c r="AA247" s="9" t="str">
        <f>IF(COUNT(N247:Q247)&lt;4,"—",IF(MIN(N247:Q247)&gt;0,"A",IF(Q247&gt;0,"B",IF(Q247&gt;N247,"C","D"))))</f>
        <v>A</v>
      </c>
      <c r="AB247" s="9" t="inlineStr">
        <is>
          <t>2026-05-31</t>
        </is>
      </c>
    </row>
    <row r="248" ht="15" customHeight="1">
      <c r="A248" s="9" t="n">
        <v>247</v>
      </c>
      <c r="B248" s="10" t="inlineStr">
        <is>
          <t>JCI</t>
        </is>
      </c>
      <c r="C248" s="11" t="inlineStr">
        <is>
          <t>樓宇產品與HVAC</t>
        </is>
      </c>
      <c r="D248" s="11" t="inlineStr">
        <is>
          <t>Johnson Controls International plc</t>
        </is>
      </c>
      <c r="E248" s="11" t="inlineStr">
        <is>
          <t>Building Products &amp; Equipment</t>
        </is>
      </c>
      <c r="F248" s="9" t="inlineStr">
        <is>
          <t>USD</t>
        </is>
      </c>
      <c r="G248" s="11" t="inlineStr">
        <is>
          <t>25Q2 / 25Q3 / 25Q4 / 26Q1 / 26Q2</t>
        </is>
      </c>
      <c r="H248" s="12" t="n">
        <v>6052</v>
      </c>
      <c r="I248" s="12" t="n">
        <v>6442</v>
      </c>
      <c r="J248" s="12" t="n">
        <v>5797</v>
      </c>
      <c r="K248" s="12" t="n">
        <v>6142</v>
      </c>
      <c r="L248" s="12" t="n">
        <v>6614</v>
      </c>
      <c r="M248" s="13">
        <f>IF(OR(N(H248)=0,L248=""),"",L248/H248-1)</f>
        <v>0.09286186384666228</v>
      </c>
      <c r="N248" s="14" t="n">
        <v>830</v>
      </c>
      <c r="O248" s="14" t="n">
        <v>853</v>
      </c>
      <c r="P248" s="14" t="n">
        <v>861</v>
      </c>
      <c r="Q248" s="14" t="n">
        <v>1067</v>
      </c>
      <c r="R248" s="13">
        <f>IF(OR(N(L248)=0,Q248=""),"",Q248/L248)</f>
        <v>0.16132446325975205</v>
      </c>
      <c r="S248" s="14" t="n">
        <v>2474</v>
      </c>
      <c r="T248" s="13">
        <f>IF(OR(N(L248)=0,S248=""),"",S248/L248)</f>
        <v>0.3740550347747203</v>
      </c>
      <c r="U248" s="14" t="n">
        <v>749</v>
      </c>
      <c r="V248" s="13">
        <f>IF(OR(N(L248)=0,U248=""),"",U248/L248)</f>
        <v>0.1132446325975204</v>
      </c>
      <c r="W248" s="14" t="n">
        <v>23596</v>
      </c>
      <c r="X248" s="14" t="n">
        <v>2828</v>
      </c>
      <c r="Y248" s="13">
        <f>IF(OR(N(W248)=0,X248=""),"",X248/W248)</f>
        <v>0.1198508221732497</v>
      </c>
      <c r="Z248" s="11" t="str">
        <f>IF(AA248="A","四季持續盈利",IF(AA248="B","最新季為正/波動",IF(AA248="C","虧損收窄",IF(AA248="D","虧損擴大或轉虧","數據不足"))))</f>
        <v>四季持續盈利</v>
      </c>
      <c r="AA248" s="9" t="str">
        <f>IF(COUNT(N248:Q248)&lt;4,"—",IF(MIN(N248:Q248)&gt;0,"A",IF(Q248&gt;0,"B",IF(Q248&gt;N248,"C","D"))))</f>
        <v>A</v>
      </c>
      <c r="AB248" s="9" t="inlineStr">
        <is>
          <t>2026-06-30</t>
        </is>
      </c>
    </row>
    <row r="249" ht="15" customHeight="1">
      <c r="A249" s="9" t="n">
        <v>248</v>
      </c>
      <c r="B249" s="10" t="inlineStr">
        <is>
          <t>JEF</t>
        </is>
      </c>
      <c r="C249" s="11" t="inlineStr">
        <is>
          <t>投行與資本巿場</t>
        </is>
      </c>
      <c r="D249" s="11" t="inlineStr">
        <is>
          <t>Jefferies Financial Group Inc.</t>
        </is>
      </c>
      <c r="E249" s="11" t="inlineStr">
        <is>
          <t>Capital Markets</t>
        </is>
      </c>
      <c r="F249" s="9" t="inlineStr">
        <is>
          <t>USD</t>
        </is>
      </c>
      <c r="G249" s="11" t="inlineStr">
        <is>
          <t>25Q2 / 25Q3 / 25Q4 / 26Q1 / 26Q2</t>
        </is>
      </c>
      <c r="H249" s="12" t="n">
        <v>2494.315</v>
      </c>
      <c r="I249" s="12" t="n">
        <v>2907.674</v>
      </c>
      <c r="J249" s="12" t="n">
        <v>2948.824</v>
      </c>
      <c r="K249" s="12" t="n">
        <v>2871.265</v>
      </c>
      <c r="L249" s="12" t="n">
        <v>3118.197</v>
      </c>
      <c r="M249" s="13">
        <f>IF(OR(N(H249)=0,L249=""),"",L249/H249-1)</f>
        <v>0.2501215764648812</v>
      </c>
      <c r="N249" s="14" t="n">
        <v>1252.601</v>
      </c>
      <c r="O249" s="14" t="n">
        <v>1195.747</v>
      </c>
      <c r="P249" s="14" t="n">
        <v>1187.991</v>
      </c>
      <c r="Q249" s="14" t="n">
        <v>1291.893</v>
      </c>
      <c r="R249" s="13">
        <f>IF(OR(N(L249)=0,Q249=""),"",Q249/L249)</f>
        <v>0.4143076912715906</v>
      </c>
      <c r="S249" s="14" t="n">
        <v>1751.253</v>
      </c>
      <c r="T249" s="13">
        <f>IF(OR(N(L249)=0,S249=""),"",S249/L249)</f>
        <v>0.5616235920950472</v>
      </c>
      <c r="U249" s="14" t="n">
        <v>255.418</v>
      </c>
      <c r="V249" s="13">
        <f>IF(OR(N(L249)=0,U249=""),"",U249/L249)</f>
        <v>0.0819120793201969</v>
      </c>
      <c r="W249" s="14" t="n">
        <v>10823.677</v>
      </c>
      <c r="X249" s="14" t="n">
        <v>4631.061</v>
      </c>
      <c r="Y249" s="13">
        <f>IF(OR(N(W249)=0,X249=""),"",X249/W249)</f>
        <v>0.4278639320075793</v>
      </c>
      <c r="Z249" s="11" t="str">
        <f>IF(AA249="A","四季持續盈利",IF(AA249="B","最新季為正/波動",IF(AA249="C","虧損收窄",IF(AA249="D","虧損擴大或轉虧","數據不足"))))</f>
        <v>四季持續盈利</v>
      </c>
      <c r="AA249" s="9" t="str">
        <f>IF(COUNT(N249:Q249)&lt;4,"—",IF(MIN(N249:Q249)&gt;0,"A",IF(Q249&gt;0,"B",IF(Q249&gt;N249,"C","D"))))</f>
        <v>A</v>
      </c>
      <c r="AB249" s="9" t="inlineStr">
        <is>
          <t>2026-05-31</t>
        </is>
      </c>
    </row>
    <row r="250" ht="15" customHeight="1">
      <c r="A250" s="9" t="n">
        <v>249</v>
      </c>
      <c r="B250" s="10" t="inlineStr">
        <is>
          <t>JLL</t>
        </is>
      </c>
      <c r="C250" s="11" t="inlineStr">
        <is>
          <t>地產開發與服務</t>
        </is>
      </c>
      <c r="D250" s="11" t="inlineStr">
        <is>
          <t>Jones Lang LaSalle Incorporated</t>
        </is>
      </c>
      <c r="E250" s="11" t="inlineStr">
        <is>
          <t>Real Estate Services</t>
        </is>
      </c>
      <c r="F250" s="9" t="inlineStr">
        <is>
          <t>USD</t>
        </is>
      </c>
      <c r="G250" s="11" t="inlineStr">
        <is>
          <t>25Q2 / 25Q3 / 25Q4 / 26Q1 / 26Q2</t>
        </is>
      </c>
      <c r="H250" s="12" t="n">
        <v>6250.1</v>
      </c>
      <c r="I250" s="12" t="n">
        <v>6510.4</v>
      </c>
      <c r="J250" s="12" t="n">
        <v>7608.7</v>
      </c>
      <c r="K250" s="12" t="n">
        <v>6386.5</v>
      </c>
      <c r="L250" s="12" t="n">
        <v>6927.9</v>
      </c>
      <c r="M250" s="13">
        <f>IF(OR(N(H250)=0,L250=""),"",L250/H250-1)</f>
        <v>0.10844626485976216</v>
      </c>
      <c r="N250" s="14" t="n">
        <v>285.4</v>
      </c>
      <c r="O250" s="14" t="n">
        <v>529.5</v>
      </c>
      <c r="P250" s="14" t="n">
        <v>209.9</v>
      </c>
      <c r="Q250" s="14" t="n">
        <v>316.6</v>
      </c>
      <c r="R250" s="13">
        <f>IF(OR(N(L250)=0,Q250=""),"",Q250/L250)</f>
        <v>0.045699273950259106</v>
      </c>
      <c r="S250" s="14" t="n"/>
      <c r="T250" s="13" t="str">
        <f>IF(OR(N(L250)=0,S250=""),"",S250/L250)</f>
        <v/>
      </c>
      <c r="U250" s="14" t="n">
        <v>215.6</v>
      </c>
      <c r="V250" s="13">
        <f>IF(OR(N(L250)=0,U250=""),"",U250/L250)</f>
        <v>0.03112054157825604</v>
      </c>
      <c r="W250" s="14" t="n">
        <v>26115.6</v>
      </c>
      <c r="X250" s="14" t="n">
        <v>1173.3</v>
      </c>
      <c r="Y250" s="13">
        <f>IF(OR(N(W250)=0,X250=""),"",X250/W250)</f>
        <v>0.04492716996737582</v>
      </c>
      <c r="Z250" s="11" t="str">
        <f>IF(AA250="A","四季持續盈利",IF(AA250="B","最新季為正/波動",IF(AA250="C","虧損收窄",IF(AA250="D","虧損擴大或轉虧","數據不足"))))</f>
        <v>四季持續盈利</v>
      </c>
      <c r="AA250" s="9" t="str">
        <f>IF(COUNT(N250:Q250)&lt;4,"—",IF(MIN(N250:Q250)&gt;0,"A",IF(Q250&gt;0,"B",IF(Q250&gt;N250,"C","D"))))</f>
        <v>A</v>
      </c>
      <c r="AB250" s="9" t="inlineStr">
        <is>
          <t>2026-06-30</t>
        </is>
      </c>
    </row>
    <row r="251" ht="15" customHeight="1">
      <c r="A251" s="9" t="n">
        <v>250</v>
      </c>
      <c r="B251" s="10" t="inlineStr">
        <is>
          <t>JNJ</t>
        </is>
      </c>
      <c r="C251" s="11" t="inlineStr">
        <is>
          <t>大型藥廠</t>
        </is>
      </c>
      <c r="D251" s="11" t="inlineStr">
        <is>
          <t>Johnson &amp; Johnson</t>
        </is>
      </c>
      <c r="E251" s="11" t="inlineStr">
        <is>
          <t>Drug Manufacturers - General</t>
        </is>
      </c>
      <c r="F251" s="9" t="inlineStr">
        <is>
          <t>USD</t>
        </is>
      </c>
      <c r="G251" s="11" t="inlineStr">
        <is>
          <t>25Q2 / 25Q3 / 25Q4 / 26Q1 / 26Q2</t>
        </is>
      </c>
      <c r="H251" s="12" t="n">
        <v>23743</v>
      </c>
      <c r="I251" s="12" t="n">
        <v>23993</v>
      </c>
      <c r="J251" s="12" t="n">
        <v>24564</v>
      </c>
      <c r="K251" s="12" t="n">
        <v>24062</v>
      </c>
      <c r="L251" s="12" t="n">
        <v>25310</v>
      </c>
      <c r="M251" s="13">
        <f>IF(OR(N(H251)=0,L251=""),"",L251/H251-1)</f>
        <v>0.06599839952828201</v>
      </c>
      <c r="N251" s="14" t="n">
        <v>7096</v>
      </c>
      <c r="O251" s="14" t="n">
        <v>5591</v>
      </c>
      <c r="P251" s="14" t="n">
        <v>6395</v>
      </c>
      <c r="Q251" s="14" t="n">
        <v>7174</v>
      </c>
      <c r="R251" s="13">
        <f>IF(OR(N(L251)=0,Q251=""),"",Q251/L251)</f>
        <v>0.28344527854602924</v>
      </c>
      <c r="S251" s="14" t="n">
        <v>17259</v>
      </c>
      <c r="T251" s="13">
        <f>IF(OR(N(L251)=0,S251=""),"",S251/L251)</f>
        <v>0.6819043856183327</v>
      </c>
      <c r="U251" s="14" t="n">
        <v>5534</v>
      </c>
      <c r="V251" s="13">
        <f>IF(OR(N(L251)=0,U251=""),"",U251/L251)</f>
        <v>0.21864875543263532</v>
      </c>
      <c r="W251" s="14" t="n">
        <v>94193</v>
      </c>
      <c r="X251" s="14" t="n">
        <v>25596</v>
      </c>
      <c r="Y251" s="13">
        <f>IF(OR(N(W251)=0,X251=""),"",X251/W251)</f>
        <v>0.27173993821196907</v>
      </c>
      <c r="Z251" s="11" t="str">
        <f>IF(AA251="A","四季持續盈利",IF(AA251="B","最新季為正/波動",IF(AA251="C","虧損收窄",IF(AA251="D","虧損擴大或轉虧","數據不足"))))</f>
        <v>四季持續盈利</v>
      </c>
      <c r="AA251" s="9" t="str">
        <f>IF(COUNT(N251:Q251)&lt;4,"—",IF(MIN(N251:Q251)&gt;0,"A",IF(Q251&gt;0,"B",IF(Q251&gt;N251,"C","D"))))</f>
        <v>A</v>
      </c>
      <c r="AB251" s="9" t="inlineStr">
        <is>
          <t>2026-06-30</t>
        </is>
      </c>
    </row>
    <row r="252" ht="15" customHeight="1">
      <c r="A252" s="9" t="n">
        <v>251</v>
      </c>
      <c r="B252" s="10" t="inlineStr">
        <is>
          <t>JPM</t>
        </is>
      </c>
      <c r="C252" s="11" t="inlineStr">
        <is>
          <t>大型全能銀行</t>
        </is>
      </c>
      <c r="D252" s="11" t="inlineStr">
        <is>
          <t>JPMorgan Chase &amp; Co.</t>
        </is>
      </c>
      <c r="E252" s="11" t="inlineStr">
        <is>
          <t>Banks - Diversified</t>
        </is>
      </c>
      <c r="F252" s="9" t="inlineStr">
        <is>
          <t>USD</t>
        </is>
      </c>
      <c r="G252" s="11" t="inlineStr">
        <is>
          <t>25Q2 / 25Q3 / 25Q4 / 26Q1 / 26Q2</t>
        </is>
      </c>
      <c r="H252" s="12" t="n">
        <v>44882</v>
      </c>
      <c r="I252" s="12" t="n">
        <v>46430</v>
      </c>
      <c r="J252" s="12" t="n">
        <v>45796</v>
      </c>
      <c r="K252" s="12" t="n">
        <v>49833</v>
      </c>
      <c r="L252" s="12" t="n">
        <v>52852</v>
      </c>
      <c r="M252" s="13">
        <f>IF(OR(N(H252)=0,L252=""),"",L252/H252-1)</f>
        <v>0.1775767568290183</v>
      </c>
      <c r="N252" s="14" t="n"/>
      <c r="O252" s="14" t="n"/>
      <c r="P252" s="14" t="n"/>
      <c r="Q252" s="14" t="n"/>
      <c r="R252" s="13" t="str">
        <f>IF(OR(N(L252)=0,Q252=""),"",Q252/L252)</f>
        <v/>
      </c>
      <c r="S252" s="14" t="n"/>
      <c r="T252" s="13" t="str">
        <f>IF(OR(N(L252)=0,S252=""),"",S252/L252)</f>
        <v/>
      </c>
      <c r="U252" s="14" t="n">
        <v>21155</v>
      </c>
      <c r="V252" s="13">
        <f>IF(OR(N(L252)=0,U252=""),"",U252/L252)</f>
        <v>0.4002686747899796</v>
      </c>
      <c r="W252" s="14" t="n">
        <v>181847</v>
      </c>
      <c r="X252" s="14" t="n"/>
      <c r="Y252" s="13" t="str">
        <f>IF(OR(N(W252)=0,X252=""),"",X252/W252)</f>
        <v/>
      </c>
      <c r="Z252" s="11" t="str">
        <f>IF(AA252="A","四季持續盈利",IF(AA252="B","最新季為正/波動",IF(AA252="C","虧損收窄",IF(AA252="D","虧損擴大或轉虧","數據不足"))))</f>
        <v>數據不足</v>
      </c>
      <c r="AA252" s="9" t="str">
        <f>IF(COUNT(N252:Q252)&lt;4,"—",IF(MIN(N252:Q252)&gt;0,"A",IF(Q252&gt;0,"B",IF(Q252&gt;N252,"C","D"))))</f>
        <v>—</v>
      </c>
      <c r="AB252" s="9" t="inlineStr">
        <is>
          <t>2026-06-30</t>
        </is>
      </c>
    </row>
    <row r="253" ht="15" customHeight="1">
      <c r="A253" s="9" t="n">
        <v>252</v>
      </c>
      <c r="B253" s="10" t="inlineStr">
        <is>
          <t>KALU</t>
        </is>
      </c>
      <c r="C253" s="11" t="inlineStr">
        <is>
          <t>鋁業</t>
        </is>
      </c>
      <c r="D253" s="11" t="inlineStr">
        <is>
          <t>Kaiser Aluminum Corporation</t>
        </is>
      </c>
      <c r="E253" s="11" t="inlineStr">
        <is>
          <t>Aluminum</t>
        </is>
      </c>
      <c r="F253" s="9" t="inlineStr">
        <is>
          <t>USD</t>
        </is>
      </c>
      <c r="G253" s="11" t="inlineStr">
        <is>
          <t>25Q2 / 25Q3 / 25Q4 / 26Q1 / 26Q2</t>
        </is>
      </c>
      <c r="H253" s="12" t="n">
        <v>823.1</v>
      </c>
      <c r="I253" s="12" t="n">
        <v>843.5</v>
      </c>
      <c r="J253" s="12" t="n">
        <v>929</v>
      </c>
      <c r="K253" s="12" t="n">
        <v>1106.8</v>
      </c>
      <c r="L253" s="12" t="n">
        <v>1256.6</v>
      </c>
      <c r="M253" s="13">
        <f>IF(OR(N(H253)=0,L253=""),"",L253/H253-1)</f>
        <v>0.526667476612805</v>
      </c>
      <c r="N253" s="14" t="n">
        <v>48.8</v>
      </c>
      <c r="O253" s="14" t="n">
        <v>60.6</v>
      </c>
      <c r="P253" s="14" t="n">
        <v>97.8</v>
      </c>
      <c r="Q253" s="14" t="n">
        <v>133.7</v>
      </c>
      <c r="R253" s="13">
        <f>IF(OR(N(L253)=0,Q253=""),"",Q253/L253)</f>
        <v>0.1063982174120643</v>
      </c>
      <c r="S253" s="14" t="n">
        <v>199</v>
      </c>
      <c r="T253" s="13">
        <f>IF(OR(N(L253)=0,S253=""),"",S253/L253)</f>
        <v>0.15836383893044725</v>
      </c>
      <c r="U253" s="14" t="n">
        <v>96.8</v>
      </c>
      <c r="V253" s="13">
        <f>IF(OR(N(L253)=0,U253=""),"",U253/L253)</f>
        <v>0.07703326436415725</v>
      </c>
      <c r="W253" s="14" t="n">
        <v>3373</v>
      </c>
      <c r="X253" s="14" t="n">
        <v>190.7</v>
      </c>
      <c r="Y253" s="13">
        <f>IF(OR(N(W253)=0,X253=""),"",X253/W253)</f>
        <v>0.05653720723391639</v>
      </c>
      <c r="Z253" s="11" t="str">
        <f>IF(AA253="A","四季持續盈利",IF(AA253="B","最新季為正/波動",IF(AA253="C","虧損收窄",IF(AA253="D","虧損擴大或轉虧","數據不足"))))</f>
        <v>四季持續盈利</v>
      </c>
      <c r="AA253" s="9" t="str">
        <f>IF(COUNT(N253:Q253)&lt;4,"—",IF(MIN(N253:Q253)&gt;0,"A",IF(Q253&gt;0,"B",IF(Q253&gt;N253,"C","D"))))</f>
        <v>A</v>
      </c>
      <c r="AB253" s="9" t="inlineStr">
        <is>
          <t>2026-06-30</t>
        </is>
      </c>
    </row>
    <row r="254" ht="15" customHeight="1">
      <c r="A254" s="9" t="n">
        <v>253</v>
      </c>
      <c r="B254" s="10" t="inlineStr">
        <is>
          <t>KDP</t>
        </is>
      </c>
      <c r="C254" s="11" t="inlineStr">
        <is>
          <t>非酒精飲品</t>
        </is>
      </c>
      <c r="D254" s="11" t="inlineStr">
        <is>
          <t>Keurig Dr Pepper Inc.</t>
        </is>
      </c>
      <c r="E254" s="11" t="inlineStr">
        <is>
          <t>Beverages - Non-Alcoholic</t>
        </is>
      </c>
      <c r="F254" s="9" t="inlineStr">
        <is>
          <t>USD</t>
        </is>
      </c>
      <c r="G254" s="11" t="inlineStr">
        <is>
          <t>25Q2 / 25Q3 / 25Q4 / 26Q1 / 26Q2</t>
        </is>
      </c>
      <c r="H254" s="12" t="n">
        <v>4163</v>
      </c>
      <c r="I254" s="12" t="n">
        <v>4306</v>
      </c>
      <c r="J254" s="12" t="n">
        <v>4499</v>
      </c>
      <c r="K254" s="12" t="n">
        <v>3976</v>
      </c>
      <c r="L254" s="12" t="n">
        <v>7309</v>
      </c>
      <c r="M254" s="13">
        <f>IF(OR(N(H254)=0,L254=""),"",L254/H254-1)</f>
        <v>0.7557050204179678</v>
      </c>
      <c r="N254" s="14" t="n">
        <v>995</v>
      </c>
      <c r="O254" s="14" t="n">
        <v>959</v>
      </c>
      <c r="P254" s="14" t="n">
        <v>756</v>
      </c>
      <c r="Q254" s="14" t="n">
        <v>628</v>
      </c>
      <c r="R254" s="13">
        <f>IF(OR(N(L254)=0,Q254=""),"",Q254/L254)</f>
        <v>0.08592146668490902</v>
      </c>
      <c r="S254" s="14" t="n">
        <v>3066</v>
      </c>
      <c r="T254" s="13">
        <f>IF(OR(N(L254)=0,S254=""),"",S254/L254)</f>
        <v>0.41948282938842524</v>
      </c>
      <c r="U254" s="14" t="n">
        <v>142</v>
      </c>
      <c r="V254" s="13">
        <f>IF(OR(N(L254)=0,U254=""),"",U254/L254)</f>
        <v>0.019428102339581338</v>
      </c>
      <c r="W254" s="14" t="n">
        <v>16603</v>
      </c>
      <c r="X254" s="14" t="n">
        <v>3653</v>
      </c>
      <c r="Y254" s="13">
        <f>IF(OR(N(W254)=0,X254=""),"",X254/W254)</f>
        <v>0.22002047822682647</v>
      </c>
      <c r="Z254" s="11" t="str">
        <f>IF(AA254="A","四季持續盈利",IF(AA254="B","最新季為正/波動",IF(AA254="C","虧損收窄",IF(AA254="D","虧損擴大或轉虧","數據不足"))))</f>
        <v>四季持續盈利</v>
      </c>
      <c r="AA254" s="9" t="str">
        <f>IF(COUNT(N254:Q254)&lt;4,"—",IF(MIN(N254:Q254)&gt;0,"A",IF(Q254&gt;0,"B",IF(Q254&gt;N254,"C","D"))))</f>
        <v>A</v>
      </c>
      <c r="AB254" s="9" t="inlineStr">
        <is>
          <t>2026-06-30</t>
        </is>
      </c>
    </row>
    <row r="255" ht="15" customHeight="1">
      <c r="A255" s="9" t="n">
        <v>254</v>
      </c>
      <c r="B255" s="10" t="inlineStr">
        <is>
          <t>KGC</t>
        </is>
      </c>
      <c r="C255" s="11" t="inlineStr">
        <is>
          <t>黃金與貴金屬礦</t>
        </is>
      </c>
      <c r="D255" s="11" t="inlineStr">
        <is>
          <t>Kinross Gold Corporation</t>
        </is>
      </c>
      <c r="E255" s="11" t="inlineStr">
        <is>
          <t>Gold</t>
        </is>
      </c>
      <c r="F255" s="9" t="inlineStr">
        <is>
          <t>USD</t>
        </is>
      </c>
      <c r="G255" s="11" t="inlineStr">
        <is>
          <t>25Q2 / 25Q3 / 25Q4 / 26Q1 / 26Q2</t>
        </is>
      </c>
      <c r="H255" s="12" t="n">
        <v>1728.5</v>
      </c>
      <c r="I255" s="12" t="n">
        <v>1802.1</v>
      </c>
      <c r="J255" s="12" t="n">
        <v>2023</v>
      </c>
      <c r="K255" s="12" t="n">
        <v>2407.7</v>
      </c>
      <c r="L255" s="12" t="n">
        <v>2238.1</v>
      </c>
      <c r="M255" s="13">
        <f>IF(OR(N(H255)=0,L255=""),"",L255/H255-1)</f>
        <v>0.29482210008678034</v>
      </c>
      <c r="N255" s="14" t="n">
        <v>797.5</v>
      </c>
      <c r="O255" s="14" t="n">
        <v>1110.7</v>
      </c>
      <c r="P255" s="14" t="n">
        <v>1326.3</v>
      </c>
      <c r="Q255" s="14" t="n">
        <v>1174.5</v>
      </c>
      <c r="R255" s="13">
        <f>IF(OR(N(L255)=0,Q255=""),"",Q255/L255)</f>
        <v>0.5247754792011081</v>
      </c>
      <c r="S255" s="14" t="n">
        <v>1287.9</v>
      </c>
      <c r="T255" s="13">
        <f>IF(OR(N(L255)=0,S255=""),"",S255/L255)</f>
        <v>0.5754434565032841</v>
      </c>
      <c r="U255" s="14" t="n">
        <v>844.2</v>
      </c>
      <c r="V255" s="13">
        <f>IF(OR(N(L255)=0,U255=""),"",U255/L255)</f>
        <v>0.37719494213842103</v>
      </c>
      <c r="W255" s="14" t="n">
        <v>7051.1</v>
      </c>
      <c r="X255" s="14" t="n">
        <v>3228.1</v>
      </c>
      <c r="Y255" s="13">
        <f>IF(OR(N(W255)=0,X255=""),"",X255/W255)</f>
        <v>0.45781509268057463</v>
      </c>
      <c r="Z255" s="11" t="str">
        <f>IF(AA255="A","四季持續盈利",IF(AA255="B","最新季為正/波動",IF(AA255="C","虧損收窄",IF(AA255="D","虧損擴大或轉虧","數據不足"))))</f>
        <v>四季持續盈利</v>
      </c>
      <c r="AA255" s="9" t="str">
        <f>IF(COUNT(N255:Q255)&lt;4,"—",IF(MIN(N255:Q255)&gt;0,"A",IF(Q255&gt;0,"B",IF(Q255&gt;N255,"C","D"))))</f>
        <v>A</v>
      </c>
      <c r="AB255" s="9" t="inlineStr">
        <is>
          <t>2026-06-30</t>
        </is>
      </c>
    </row>
    <row r="256" ht="15" customHeight="1">
      <c r="A256" s="9" t="n">
        <v>255</v>
      </c>
      <c r="B256" s="10" t="inlineStr">
        <is>
          <t>KHC</t>
        </is>
      </c>
      <c r="C256" s="11" t="inlineStr">
        <is>
          <t>食品加工</t>
        </is>
      </c>
      <c r="D256" s="11" t="inlineStr">
        <is>
          <t>The Kraft Heinz Company</t>
        </is>
      </c>
      <c r="E256" s="11" t="inlineStr">
        <is>
          <t>Packaged Foods</t>
        </is>
      </c>
      <c r="F256" s="9" t="inlineStr">
        <is>
          <t>USD</t>
        </is>
      </c>
      <c r="G256" s="11" t="inlineStr">
        <is>
          <t>25Q2 / 25Q3 / 25Q4 / 26Q1 / 26Q2</t>
        </is>
      </c>
      <c r="H256" s="12" t="n">
        <v>6352</v>
      </c>
      <c r="I256" s="12" t="n">
        <v>6237</v>
      </c>
      <c r="J256" s="12" t="n">
        <v>6354</v>
      </c>
      <c r="K256" s="12" t="n">
        <v>6047</v>
      </c>
      <c r="L256" s="12" t="n">
        <v>6262</v>
      </c>
      <c r="M256" s="13">
        <f>IF(OR(N(H256)=0,L256=""),"",L256/H256-1)</f>
        <v>-0.01416876574307302</v>
      </c>
      <c r="N256" s="14" t="n">
        <v>1060</v>
      </c>
      <c r="O256" s="14" t="n">
        <v>1089</v>
      </c>
      <c r="P256" s="14" t="n">
        <v>1158</v>
      </c>
      <c r="Q256" s="14" t="n">
        <v>921</v>
      </c>
      <c r="R256" s="13">
        <f>IF(OR(N(L256)=0,Q256=""),"",Q256/L256)</f>
        <v>0.14707761098690514</v>
      </c>
      <c r="S256" s="14" t="n">
        <v>2028</v>
      </c>
      <c r="T256" s="13">
        <f>IF(OR(N(L256)=0,S256=""),"",S256/L256)</f>
        <v>0.32385819227084</v>
      </c>
      <c r="U256" s="14" t="n">
        <v>-5460</v>
      </c>
      <c r="V256" s="13">
        <f>IF(OR(N(L256)=0,U256=""),"",U256/L256)</f>
        <v>-0.8719259022676461</v>
      </c>
      <c r="W256" s="14" t="n">
        <v>24942</v>
      </c>
      <c r="X256" s="14" t="n">
        <v>4637</v>
      </c>
      <c r="Y256" s="13">
        <f>IF(OR(N(W256)=0,X256=""),"",X256/W256)</f>
        <v>0.18591131424905782</v>
      </c>
      <c r="Z256" s="11" t="str">
        <f>IF(AA256="A","四季持續盈利",IF(AA256="B","最新季為正/波動",IF(AA256="C","虧損收窄",IF(AA256="D","虧損擴大或轉虧","數據不足"))))</f>
        <v>四季持續盈利</v>
      </c>
      <c r="AA256" s="9" t="str">
        <f>IF(COUNT(N256:Q256)&lt;4,"—",IF(MIN(N256:Q256)&gt;0,"A",IF(Q256&gt;0,"B",IF(Q256&gt;N256,"C","D"))))</f>
        <v>A</v>
      </c>
      <c r="AB256" s="9" t="inlineStr">
        <is>
          <t>2026-06-30</t>
        </is>
      </c>
    </row>
    <row r="257" ht="15" customHeight="1">
      <c r="A257" s="9" t="n">
        <v>256</v>
      </c>
      <c r="B257" s="10" t="inlineStr">
        <is>
          <t>KIM</t>
        </is>
      </c>
      <c r="C257" s="11" t="inlineStr">
        <is>
          <t>零售與購物中心REIT</t>
        </is>
      </c>
      <c r="D257" s="11" t="inlineStr">
        <is>
          <t>Kimco Realty Corporation</t>
        </is>
      </c>
      <c r="E257" s="11" t="inlineStr">
        <is>
          <t>REIT - Retail</t>
        </is>
      </c>
      <c r="F257" s="9" t="inlineStr">
        <is>
          <t>USD</t>
        </is>
      </c>
      <c r="G257" s="11" t="inlineStr">
        <is>
          <t>25Q2 / 25Q3 / 25Q4 / 26Q1 / 26Q2</t>
        </is>
      </c>
      <c r="H257" s="12" t="n"/>
      <c r="I257" s="12" t="n"/>
      <c r="J257" s="12" t="n"/>
      <c r="K257" s="12" t="n"/>
      <c r="L257" s="12" t="n">
        <v>550.801</v>
      </c>
      <c r="M257" s="13" t="str">
        <f>IF(OR(N(H257)=0,L257=""),"",L257/H257-1)</f>
        <v/>
      </c>
      <c r="N257" s="14" t="n">
        <v>183.964</v>
      </c>
      <c r="O257" s="14" t="n">
        <v>179.047</v>
      </c>
      <c r="P257" s="14" t="n">
        <v>192.115</v>
      </c>
      <c r="Q257" s="14" t="n">
        <v>201.398</v>
      </c>
      <c r="R257" s="13">
        <f>IF(OR(N(L257)=0,Q257=""),"",Q257/L257)</f>
        <v>0.36564566876240234</v>
      </c>
      <c r="S257" s="14" t="n">
        <v>380.356</v>
      </c>
      <c r="T257" s="13">
        <f>IF(OR(N(L257)=0,S257=""),"",S257/L257)</f>
        <v>0.6905506707504161</v>
      </c>
      <c r="U257" s="14" t="n">
        <v>153.294</v>
      </c>
      <c r="V257" s="13">
        <f>IF(OR(N(L257)=0,U257=""),"",U257/L257)</f>
        <v>0.27831104155584324</v>
      </c>
      <c r="W257" s="14" t="n">
        <v>2140.116</v>
      </c>
      <c r="X257" s="14" t="n">
        <v>717.677</v>
      </c>
      <c r="Y257" s="13">
        <f>IF(OR(N(W257)=0,X257=""),"",X257/W257)</f>
        <v>0.3353449065377765</v>
      </c>
      <c r="Z257" s="11" t="str">
        <f>IF(AA257="A","四季持續盈利",IF(AA257="B","最新季為正/波動",IF(AA257="C","虧損收窄",IF(AA257="D","虧損擴大或轉虧","數據不足"))))</f>
        <v>四季持續盈利</v>
      </c>
      <c r="AA257" s="9" t="str">
        <f>IF(COUNT(N257:Q257)&lt;4,"—",IF(MIN(N257:Q257)&gt;0,"A",IF(Q257&gt;0,"B",IF(Q257&gt;N257,"C","D"))))</f>
        <v>A</v>
      </c>
      <c r="AB257" s="9" t="inlineStr">
        <is>
          <t>2026-06-30</t>
        </is>
      </c>
    </row>
    <row r="258" ht="15" customHeight="1">
      <c r="A258" s="9" t="n">
        <v>257</v>
      </c>
      <c r="B258" s="10" t="inlineStr">
        <is>
          <t>KKR</t>
        </is>
      </c>
      <c r="C258" s="11" t="inlineStr">
        <is>
          <t>另類資產與私募信貸</t>
        </is>
      </c>
      <c r="D258" s="11" t="inlineStr">
        <is>
          <t>KKR &amp; Co. Inc.</t>
        </is>
      </c>
      <c r="E258" s="11" t="inlineStr">
        <is>
          <t>Asset Management</t>
        </is>
      </c>
      <c r="F258" s="9" t="inlineStr">
        <is>
          <t>USD</t>
        </is>
      </c>
      <c r="G258" s="11" t="inlineStr">
        <is>
          <t>25Q2 / 25Q3 / 25Q4 / 26Q1 / 26Q2</t>
        </is>
      </c>
      <c r="H258" s="12" t="n">
        <v>5002.879</v>
      </c>
      <c r="I258" s="12" t="n">
        <v>5464.926</v>
      </c>
      <c r="J258" s="12" t="n">
        <v>5685.044</v>
      </c>
      <c r="K258" s="12" t="n">
        <v>4252.726</v>
      </c>
      <c r="L258" s="12" t="n">
        <v>5657.34</v>
      </c>
      <c r="M258" s="13">
        <f>IF(OR(N(H258)=0,L258=""),"",L258/H258-1)</f>
        <v>0.13081687564300482</v>
      </c>
      <c r="N258" s="14" t="n">
        <v>512.7190000000001</v>
      </c>
      <c r="O258" s="14" t="n">
        <v>356.903</v>
      </c>
      <c r="P258" s="14" t="n">
        <v>456.472</v>
      </c>
      <c r="Q258" s="14" t="n">
        <v>325.714</v>
      </c>
      <c r="R258" s="13">
        <f>IF(OR(N(L258)=0,Q258=""),"",Q258/L258)</f>
        <v>0.05757370071447005</v>
      </c>
      <c r="S258" s="14" t="n">
        <v>1068.938</v>
      </c>
      <c r="T258" s="13">
        <f>IF(OR(N(L258)=0,S258=""),"",S258/L258)</f>
        <v>0.18894710234845352</v>
      </c>
      <c r="U258" s="14" t="n">
        <v>700.482</v>
      </c>
      <c r="V258" s="13">
        <f>IF(OR(N(L258)=0,U258=""),"",U258/L258)</f>
        <v>0.12381826087878754</v>
      </c>
      <c r="W258" s="14" t="n">
        <v>19207.544</v>
      </c>
      <c r="X258" s="14" t="n">
        <v>490.198</v>
      </c>
      <c r="Y258" s="13">
        <f>IF(OR(N(W258)=0,X258=""),"",X258/W258)</f>
        <v>0.02552111816065604</v>
      </c>
      <c r="Z258" s="11" t="str">
        <f>IF(AA258="A","四季持續盈利",IF(AA258="B","最新季為正/波動",IF(AA258="C","虧損收窄",IF(AA258="D","虧損擴大或轉虧","數據不足"))))</f>
        <v>四季持續盈利</v>
      </c>
      <c r="AA258" s="9" t="str">
        <f>IF(COUNT(N258:Q258)&lt;4,"—",IF(MIN(N258:Q258)&gt;0,"A",IF(Q258&gt;0,"B",IF(Q258&gt;N258,"C","D"))))</f>
        <v>A</v>
      </c>
      <c r="AB258" s="9" t="inlineStr">
        <is>
          <t>2026-06-30</t>
        </is>
      </c>
    </row>
    <row r="259" ht="15" customHeight="1">
      <c r="A259" s="9" t="n">
        <v>258</v>
      </c>
      <c r="B259" s="10" t="inlineStr">
        <is>
          <t>KLAC</t>
        </is>
      </c>
      <c r="C259" s="11" t="inlineStr">
        <is>
          <t>半導體設備</t>
        </is>
      </c>
      <c r="D259" s="11" t="inlineStr">
        <is>
          <t>KLA Corporation</t>
        </is>
      </c>
      <c r="E259" s="11" t="inlineStr">
        <is>
          <t>B2 半導體前段設備</t>
        </is>
      </c>
      <c r="F259" s="9" t="inlineStr">
        <is>
          <t>USD</t>
        </is>
      </c>
      <c r="G259" s="11" t="inlineStr">
        <is>
          <t>25Q2 / 25Q3 / 25Q4 / 26Q1 / 26Q2</t>
        </is>
      </c>
      <c r="H259" s="12" t="n">
        <v>3174.741</v>
      </c>
      <c r="I259" s="12" t="n">
        <v>3209.696</v>
      </c>
      <c r="J259" s="12" t="n">
        <v>3297.146</v>
      </c>
      <c r="K259" s="12" t="n">
        <v>3415.078</v>
      </c>
      <c r="L259" s="12" t="n">
        <v>3657.556</v>
      </c>
      <c r="M259" s="13">
        <f>IF(OR(N(H259)=0,L259=""),"",L259/H259-1)</f>
        <v>0.15208012244148428</v>
      </c>
      <c r="N259" s="14" t="n">
        <v>1337.177</v>
      </c>
      <c r="O259" s="14" t="n">
        <v>1362.146</v>
      </c>
      <c r="P259" s="14" t="n">
        <v>1407.509</v>
      </c>
      <c r="Q259" s="14" t="n">
        <v>1553.948</v>
      </c>
      <c r="R259" s="13">
        <f>IF(OR(N(L259)=0,Q259=""),"",Q259/L259)</f>
        <v>0.42485966038524087</v>
      </c>
      <c r="S259" s="14" t="n">
        <v>2244.448</v>
      </c>
      <c r="T259" s="13">
        <f>IF(OR(N(L259)=0,S259=""),"",S259/L259)</f>
        <v>0.613646927073707</v>
      </c>
      <c r="U259" s="14" t="n">
        <v>1363.059</v>
      </c>
      <c r="V259" s="13">
        <f>IF(OR(N(L259)=0,U259=""),"",U259/L259)</f>
        <v>0.3726693453223956</v>
      </c>
      <c r="W259" s="14" t="n">
        <v>13579.476</v>
      </c>
      <c r="X259" s="14" t="n">
        <v>5660.78</v>
      </c>
      <c r="Y259" s="13">
        <f>IF(OR(N(W259)=0,X259=""),"",X259/W259)</f>
        <v>0.41686291871645115</v>
      </c>
      <c r="Z259" s="11" t="str">
        <f>IF(AA259="A","四季持續盈利",IF(AA259="B","最新季為正/波動",IF(AA259="C","虧損收窄",IF(AA259="D","虧損擴大或轉虧","數據不足"))))</f>
        <v>四季持續盈利</v>
      </c>
      <c r="AA259" s="9" t="str">
        <f>IF(COUNT(N259:Q259)&lt;4,"—",IF(MIN(N259:Q259)&gt;0,"A",IF(Q259&gt;0,"B",IF(Q259&gt;N259,"C","D"))))</f>
        <v>A</v>
      </c>
      <c r="AB259" s="9" t="inlineStr">
        <is>
          <t>2026-06-30</t>
        </is>
      </c>
    </row>
    <row r="260" ht="15" customHeight="1">
      <c r="A260" s="9" t="n">
        <v>259</v>
      </c>
      <c r="B260" s="10" t="inlineStr">
        <is>
          <t>KMB</t>
        </is>
      </c>
      <c r="C260" s="11" t="inlineStr">
        <is>
          <t>家庭與個人護理</t>
        </is>
      </c>
      <c r="D260" s="11" t="inlineStr">
        <is>
          <t>Kimberly-Clark Corporation</t>
        </is>
      </c>
      <c r="E260" s="11" t="inlineStr">
        <is>
          <t>Household &amp; Personal Products</t>
        </is>
      </c>
      <c r="F260" s="9" t="inlineStr">
        <is>
          <t>USD</t>
        </is>
      </c>
      <c r="G260" s="11" t="inlineStr">
        <is>
          <t>25Q2 / 25Q3 / 25Q4 / 26Q1 / 26Q2</t>
        </is>
      </c>
      <c r="H260" s="12" t="n">
        <v>4163</v>
      </c>
      <c r="I260" s="12" t="n">
        <v>4150</v>
      </c>
      <c r="J260" s="12" t="n">
        <v>4080</v>
      </c>
      <c r="K260" s="12" t="n">
        <v>4163</v>
      </c>
      <c r="L260" s="12" t="n">
        <v>4189</v>
      </c>
      <c r="M260" s="13">
        <f>IF(OR(N(H260)=0,L260=""),"",L260/H260-1)</f>
        <v>0.006245496036512144</v>
      </c>
      <c r="N260" s="14" t="n">
        <v>621</v>
      </c>
      <c r="O260" s="14" t="n">
        <v>507</v>
      </c>
      <c r="P260" s="14" t="n">
        <v>753</v>
      </c>
      <c r="Q260" s="14" t="n">
        <v>633</v>
      </c>
      <c r="R260" s="13">
        <f>IF(OR(N(L260)=0,Q260=""),"",Q260/L260)</f>
        <v>0.15111005013129625</v>
      </c>
      <c r="S260" s="14" t="n">
        <v>1603</v>
      </c>
      <c r="T260" s="13">
        <f>IF(OR(N(L260)=0,S260=""),"",S260/L260)</f>
        <v>0.3826688947242779</v>
      </c>
      <c r="U260" s="14" t="n">
        <v>345</v>
      </c>
      <c r="V260" s="13">
        <f>IF(OR(N(L260)=0,U260=""),"",U260/L260)</f>
        <v>0.08235855812843161</v>
      </c>
      <c r="W260" s="14" t="n">
        <v>16447</v>
      </c>
      <c r="X260" s="14" t="n">
        <v>2351</v>
      </c>
      <c r="Y260" s="13">
        <f>IF(OR(N(W260)=0,X260=""),"",X260/W260)</f>
        <v>0.14294400194564358</v>
      </c>
      <c r="Z260" s="11" t="str">
        <f>IF(AA260="A","四季持續盈利",IF(AA260="B","最新季為正/波動",IF(AA260="C","虧損收窄",IF(AA260="D","虧損擴大或轉虧","數據不足"))))</f>
        <v>四季持續盈利</v>
      </c>
      <c r="AA260" s="9" t="str">
        <f>IF(COUNT(N260:Q260)&lt;4,"—",IF(MIN(N260:Q260)&gt;0,"A",IF(Q260&gt;0,"B",IF(Q260&gt;N260,"C","D"))))</f>
        <v>A</v>
      </c>
      <c r="AB260" s="9" t="inlineStr">
        <is>
          <t>2026-06-30</t>
        </is>
      </c>
    </row>
    <row r="261" ht="15" customHeight="1">
      <c r="A261" s="9" t="n">
        <v>260</v>
      </c>
      <c r="B261" s="10" t="inlineStr">
        <is>
          <t>KMI</t>
        </is>
      </c>
      <c r="C261" s="11" t="inlineStr">
        <is>
          <t>中游與管道</t>
        </is>
      </c>
      <c r="D261" s="11" t="inlineStr">
        <is>
          <t>Kinder Morgan, Inc.</t>
        </is>
      </c>
      <c r="E261" s="11" t="inlineStr">
        <is>
          <t>Oil &amp; Gas Midstream</t>
        </is>
      </c>
      <c r="F261" s="9" t="inlineStr">
        <is>
          <t>USD</t>
        </is>
      </c>
      <c r="G261" s="11" t="inlineStr">
        <is>
          <t>25Q2 / 25Q3 / 25Q4 / 26Q1 / 26Q2</t>
        </is>
      </c>
      <c r="H261" s="12" t="n">
        <v>4042</v>
      </c>
      <c r="I261" s="12" t="n">
        <v>4146</v>
      </c>
      <c r="J261" s="12" t="n">
        <v>4508</v>
      </c>
      <c r="K261" s="12" t="n">
        <v>4828</v>
      </c>
      <c r="L261" s="12" t="n">
        <v>4477</v>
      </c>
      <c r="M261" s="13">
        <f>IF(OR(N(H261)=0,L261=""),"",L261/H261-1)</f>
        <v>0.10761999010390899</v>
      </c>
      <c r="N261" s="14" t="n">
        <v>1063</v>
      </c>
      <c r="O261" s="14" t="n">
        <v>1364</v>
      </c>
      <c r="P261" s="14" t="n">
        <v>1444</v>
      </c>
      <c r="Q261" s="14" t="n">
        <v>1346</v>
      </c>
      <c r="R261" s="13">
        <f>IF(OR(N(L261)=0,Q261=""),"",Q261/L261)</f>
        <v>0.30064775519320974</v>
      </c>
      <c r="S261" s="14" t="n">
        <v>2452</v>
      </c>
      <c r="T261" s="13">
        <f>IF(OR(N(L261)=0,S261=""),"",S261/L261)</f>
        <v>0.5476881840518204</v>
      </c>
      <c r="U261" s="14" t="n">
        <v>867</v>
      </c>
      <c r="V261" s="13">
        <f>IF(OR(N(L261)=0,U261=""),"",U261/L261)</f>
        <v>0.19365646638373912</v>
      </c>
      <c r="W261" s="14" t="n">
        <v>16937</v>
      </c>
      <c r="X261" s="14" t="n">
        <v>4724</v>
      </c>
      <c r="Y261" s="13">
        <f>IF(OR(N(W261)=0,X261=""),"",X261/W261)</f>
        <v>0.27891598275963864</v>
      </c>
      <c r="Z261" s="11" t="str">
        <f>IF(AA261="A","四季持續盈利",IF(AA261="B","最新季為正/波動",IF(AA261="C","虧損收窄",IF(AA261="D","虧損擴大或轉虧","數據不足"))))</f>
        <v>四季持續盈利</v>
      </c>
      <c r="AA261" s="9" t="str">
        <f>IF(COUNT(N261:Q261)&lt;4,"—",IF(MIN(N261:Q261)&gt;0,"A",IF(Q261&gt;0,"B",IF(Q261&gt;N261,"C","D"))))</f>
        <v>A</v>
      </c>
      <c r="AB261" s="9" t="inlineStr">
        <is>
          <t>2026-06-30</t>
        </is>
      </c>
    </row>
    <row r="262" ht="15" customHeight="1">
      <c r="A262" s="9" t="n">
        <v>261</v>
      </c>
      <c r="B262" s="10" t="inlineStr">
        <is>
          <t>KO</t>
        </is>
      </c>
      <c r="C262" s="11" t="inlineStr">
        <is>
          <t>非酒精飲品</t>
        </is>
      </c>
      <c r="D262" s="11" t="inlineStr">
        <is>
          <t>The Coca-Cola Company</t>
        </is>
      </c>
      <c r="E262" s="11" t="inlineStr">
        <is>
          <t>Beverages - Non-Alcoholic</t>
        </is>
      </c>
      <c r="F262" s="9" t="inlineStr">
        <is>
          <t>USD</t>
        </is>
      </c>
      <c r="G262" s="11" t="inlineStr">
        <is>
          <t>25Q2 / 25Q3 / 25Q4 / 26Q1 / 26Q2</t>
        </is>
      </c>
      <c r="H262" s="12" t="n">
        <v>12535</v>
      </c>
      <c r="I262" s="12" t="n">
        <v>12455</v>
      </c>
      <c r="J262" s="12" t="n">
        <v>11822</v>
      </c>
      <c r="K262" s="12" t="n">
        <v>12472</v>
      </c>
      <c r="L262" s="12" t="n">
        <v>13380</v>
      </c>
      <c r="M262" s="13">
        <f>IF(OR(N(H262)=0,L262=""),"",L262/H262-1)</f>
        <v>0.06741124850418823</v>
      </c>
      <c r="N262" s="14" t="n">
        <v>4012</v>
      </c>
      <c r="O262" s="14" t="n">
        <v>2862</v>
      </c>
      <c r="P262" s="14" t="n">
        <v>4372</v>
      </c>
      <c r="Q262" s="14" t="n">
        <v>4695</v>
      </c>
      <c r="R262" s="13">
        <f>IF(OR(N(L262)=0,Q262=""),"",Q262/L262)</f>
        <v>0.3508968609865471</v>
      </c>
      <c r="S262" s="14" t="n">
        <v>8415</v>
      </c>
      <c r="T262" s="13">
        <f>IF(OR(N(L262)=0,S262=""),"",S262/L262)</f>
        <v>0.6289237668161435</v>
      </c>
      <c r="U262" s="14" t="n">
        <v>4425</v>
      </c>
      <c r="V262" s="13">
        <f>IF(OR(N(L262)=0,U262=""),"",U262/L262)</f>
        <v>0.3307174887892377</v>
      </c>
      <c r="W262" s="14" t="n">
        <v>47941</v>
      </c>
      <c r="X262" s="14" t="n">
        <v>14911</v>
      </c>
      <c r="Y262" s="13">
        <f>IF(OR(N(W262)=0,X262=""),"",X262/W262)</f>
        <v>0.31102813875388496</v>
      </c>
      <c r="Z262" s="11" t="str">
        <f>IF(AA262="A","四季持續盈利",IF(AA262="B","最新季為正/波動",IF(AA262="C","虧損收窄",IF(AA262="D","虧損擴大或轉虧","數據不足"))))</f>
        <v>四季持續盈利</v>
      </c>
      <c r="AA262" s="9" t="str">
        <f>IF(COUNT(N262:Q262)&lt;4,"—",IF(MIN(N262:Q262)&gt;0,"A",IF(Q262&gt;0,"B",IF(Q262&gt;N262,"C","D"))))</f>
        <v>A</v>
      </c>
      <c r="AB262" s="9" t="inlineStr">
        <is>
          <t>2026-06-30</t>
        </is>
      </c>
    </row>
    <row r="263" ht="15" customHeight="1">
      <c r="A263" s="9" t="n">
        <v>262</v>
      </c>
      <c r="B263" s="10" t="inlineStr">
        <is>
          <t>KR</t>
        </is>
      </c>
      <c r="C263" s="11" t="inlineStr">
        <is>
          <t>大賣場與超巿</t>
        </is>
      </c>
      <c r="D263" s="11" t="inlineStr">
        <is>
          <t>The Kroger Co.</t>
        </is>
      </c>
      <c r="E263" s="11" t="inlineStr">
        <is>
          <t>Grocery Stores</t>
        </is>
      </c>
      <c r="F263" s="9" t="inlineStr">
        <is>
          <t>USD</t>
        </is>
      </c>
      <c r="G263" s="11" t="inlineStr">
        <is>
          <t>25Q2 / 25Q3 / 25Q4 / 26Q1 / 26Q2</t>
        </is>
      </c>
      <c r="H263" s="12" t="n">
        <v>45118</v>
      </c>
      <c r="I263" s="12" t="n">
        <v>33940</v>
      </c>
      <c r="J263" s="12" t="n">
        <v>33859</v>
      </c>
      <c r="K263" s="12" t="n">
        <v>34725</v>
      </c>
      <c r="L263" s="12" t="n">
        <v>46121</v>
      </c>
      <c r="M263" s="13">
        <f>IF(OR(N(H263)=0,L263=""),"",L263/H263-1)</f>
        <v>0.022230595327807023</v>
      </c>
      <c r="N263" s="14" t="n">
        <v>863</v>
      </c>
      <c r="O263" s="14" t="n">
        <v>-1541</v>
      </c>
      <c r="P263" s="14" t="n">
        <v>1246</v>
      </c>
      <c r="Q263" s="14" t="n">
        <v>1407</v>
      </c>
      <c r="R263" s="13">
        <f>IF(OR(N(L263)=0,Q263=""),"",Q263/L263)</f>
        <v>0.03050671060905011</v>
      </c>
      <c r="S263" s="14" t="n">
        <v>10628</v>
      </c>
      <c r="T263" s="13">
        <f>IF(OR(N(L263)=0,S263=""),"",S263/L263)</f>
        <v>0.23043732789835433</v>
      </c>
      <c r="U263" s="14" t="n">
        <v>903</v>
      </c>
      <c r="V263" s="13">
        <f>IF(OR(N(L263)=0,U263=""),"",U263/L263)</f>
        <v>0.019578933674464994</v>
      </c>
      <c r="W263" s="14" t="n">
        <v>147642</v>
      </c>
      <c r="X263" s="14" t="n">
        <v>1890</v>
      </c>
      <c r="Y263" s="13">
        <f>IF(OR(N(W263)=0,X263=""),"",X263/W263)</f>
        <v>0.012801235420815215</v>
      </c>
      <c r="Z263" s="11" t="str">
        <f>IF(AA263="A","四季持續盈利",IF(AA263="B","最新季為正/波動",IF(AA263="C","虧損收窄",IF(AA263="D","虧損擴大或轉虧","數據不足"))))</f>
        <v>最新季為正/波動</v>
      </c>
      <c r="AA263" s="9" t="str">
        <f>IF(COUNT(N263:Q263)&lt;4,"—",IF(MIN(N263:Q263)&gt;0,"A",IF(Q263&gt;0,"B",IF(Q263&gt;N263,"C","D"))))</f>
        <v>B</v>
      </c>
      <c r="AB263" s="9" t="inlineStr">
        <is>
          <t>2026-04-30</t>
        </is>
      </c>
    </row>
    <row r="264" ht="15" customHeight="1">
      <c r="A264" s="9" t="n">
        <v>263</v>
      </c>
      <c r="B264" s="10" t="inlineStr">
        <is>
          <t>KTOS</t>
        </is>
      </c>
      <c r="C264" s="11" t="inlineStr">
        <is>
          <t>國防科技與無人機</t>
        </is>
      </c>
      <c r="D264" s="11" t="inlineStr">
        <is>
          <t>Kratos Defense &amp; Security Solutions, Inc.</t>
        </is>
      </c>
      <c r="E264" s="11" t="inlineStr">
        <is>
          <t>Aerospace &amp; Defense</t>
        </is>
      </c>
      <c r="F264" s="9" t="inlineStr">
        <is>
          <t>USD</t>
        </is>
      </c>
      <c r="G264" s="11" t="inlineStr">
        <is>
          <t>25Q2 / 25Q3 / 25Q4 / 26Q1 / 26Q2</t>
        </is>
      </c>
      <c r="H264" s="12" t="n">
        <v>351.5</v>
      </c>
      <c r="I264" s="12" t="n">
        <v>347.6</v>
      </c>
      <c r="J264" s="12" t="n">
        <v>345.1</v>
      </c>
      <c r="K264" s="12" t="n">
        <v>371</v>
      </c>
      <c r="L264" s="12" t="n">
        <v>458.8</v>
      </c>
      <c r="M264" s="13">
        <f>IF(OR(N(H264)=0,L264=""),"",L264/H264-1)</f>
        <v>0.3052631578947369</v>
      </c>
      <c r="N264" s="14" t="n">
        <v>7.3</v>
      </c>
      <c r="O264" s="14" t="n">
        <v>10.1</v>
      </c>
      <c r="P264" s="14" t="n">
        <v>6.6</v>
      </c>
      <c r="Q264" s="14" t="n">
        <v>-0.8</v>
      </c>
      <c r="R264" s="13">
        <f>IF(OR(N(L264)=0,Q264=""),"",Q264/L264)</f>
        <v>-0.0017436791630340018</v>
      </c>
      <c r="S264" s="14" t="n">
        <v>100.1</v>
      </c>
      <c r="T264" s="13">
        <f>IF(OR(N(L264)=0,S264=""),"",S264/L264)</f>
        <v>0.21817785527462946</v>
      </c>
      <c r="U264" s="14" t="n">
        <v>4.4</v>
      </c>
      <c r="V264" s="13">
        <f>IF(OR(N(L264)=0,U264=""),"",U264/L264)</f>
        <v>0.00959023539668701</v>
      </c>
      <c r="W264" s="14" t="n">
        <v>1346.8</v>
      </c>
      <c r="X264" s="14" t="n">
        <v>27.7</v>
      </c>
      <c r="Y264" s="13">
        <f>IF(OR(N(W264)=0,X264=""),"",X264/W264)</f>
        <v>0.020567270567270566</v>
      </c>
      <c r="Z264" s="11" t="str">
        <f>IF(AA264="A","四季持續盈利",IF(AA264="B","最新季為正/波動",IF(AA264="C","虧損收窄",IF(AA264="D","虧損擴大或轉虧","數據不足"))))</f>
        <v>虧損擴大或轉虧</v>
      </c>
      <c r="AA264" s="9" t="str">
        <f>IF(COUNT(N264:Q264)&lt;4,"—",IF(MIN(N264:Q264)&gt;0,"A",IF(Q264&gt;0,"B",IF(Q264&gt;N264,"C","D"))))</f>
        <v>D</v>
      </c>
      <c r="AB264" s="9" t="inlineStr">
        <is>
          <t>2026-06-30</t>
        </is>
      </c>
    </row>
    <row r="265" ht="15" customHeight="1">
      <c r="A265" s="9" t="n">
        <v>264</v>
      </c>
      <c r="B265" s="10" t="inlineStr">
        <is>
          <t>LAMR</t>
        </is>
      </c>
      <c r="C265" s="11" t="inlineStr">
        <is>
          <t>特殊型REIT（自存倉/賭場/廣告牌）</t>
        </is>
      </c>
      <c r="D265" s="11" t="inlineStr">
        <is>
          <t>Lamar Advertising Company</t>
        </is>
      </c>
      <c r="E265" s="11" t="inlineStr">
        <is>
          <t>REIT - Specialty</t>
        </is>
      </c>
      <c r="F265" s="9" t="inlineStr">
        <is>
          <t>USD</t>
        </is>
      </c>
      <c r="G265" s="11" t="inlineStr">
        <is>
          <t>25Q2 / 25Q3 / 25Q4 / 26Q1 / 26Q2</t>
        </is>
      </c>
      <c r="H265" s="12" t="n">
        <v>579.311</v>
      </c>
      <c r="I265" s="12" t="n">
        <v>585.5410000000001</v>
      </c>
      <c r="J265" s="12" t="n">
        <v>595.932</v>
      </c>
      <c r="K265" s="12" t="n">
        <v>528.004</v>
      </c>
      <c r="L265" s="12" t="n">
        <v>616.749</v>
      </c>
      <c r="M265" s="13">
        <f>IF(OR(N(H265)=0,L265=""),"",L265/H265-1)</f>
        <v>0.06462504595976948</v>
      </c>
      <c r="N265" s="14" t="n">
        <v>186.929</v>
      </c>
      <c r="O265" s="14" t="n">
        <v>196.236</v>
      </c>
      <c r="P265" s="14" t="n">
        <v>133.461</v>
      </c>
      <c r="Q265" s="14" t="n">
        <v>205.275</v>
      </c>
      <c r="R265" s="13">
        <f>IF(OR(N(L265)=0,Q265=""),"",Q265/L265)</f>
        <v>0.33283394054955906</v>
      </c>
      <c r="S265" s="14" t="n">
        <v>422.526</v>
      </c>
      <c r="T265" s="13">
        <f>IF(OR(N(L265)=0,S265=""),"",S265/L265)</f>
        <v>0.6850858290811983</v>
      </c>
      <c r="U265" s="14" t="n">
        <v>160.749</v>
      </c>
      <c r="V265" s="13">
        <f>IF(OR(N(L265)=0,U265=""),"",U265/L265)</f>
        <v>0.2606392551913339</v>
      </c>
      <c r="W265" s="14" t="n">
        <v>2266.214</v>
      </c>
      <c r="X265" s="14" t="n">
        <v>698.1180000000001</v>
      </c>
      <c r="Y265" s="13">
        <f>IF(OR(N(W265)=0,X265=""),"",X265/W265)</f>
        <v>0.30805475564090595</v>
      </c>
      <c r="Z265" s="11" t="str">
        <f>IF(AA265="A","四季持續盈利",IF(AA265="B","最新季為正/波動",IF(AA265="C","虧損收窄",IF(AA265="D","虧損擴大或轉虧","數據不足"))))</f>
        <v>四季持續盈利</v>
      </c>
      <c r="AA265" s="9" t="str">
        <f>IF(COUNT(N265:Q265)&lt;4,"—",IF(MIN(N265:Q265)&gt;0,"A",IF(Q265&gt;0,"B",IF(Q265&gt;N265,"C","D"))))</f>
        <v>A</v>
      </c>
      <c r="AB265" s="9" t="inlineStr">
        <is>
          <t>2026-06-30</t>
        </is>
      </c>
    </row>
    <row r="266" ht="15" customHeight="1">
      <c r="A266" s="9" t="n">
        <v>265</v>
      </c>
      <c r="B266" s="10" t="inlineStr">
        <is>
          <t>LASR</t>
        </is>
      </c>
      <c r="C266" s="11" t="inlineStr">
        <is>
          <t>—</t>
        </is>
      </c>
      <c r="D266" s="11" t="inlineStr">
        <is>
          <t>nLIGHT, Inc.</t>
        </is>
      </c>
      <c r="E266" s="11" t="inlineStr">
        <is>
          <t>D9 光模塊上游</t>
        </is>
      </c>
      <c r="F266" s="9" t="inlineStr">
        <is>
          <t>USD</t>
        </is>
      </c>
      <c r="G266" s="11" t="inlineStr">
        <is>
          <t>25Q2 / 25Q3 / 25Q4 / 26Q1 / 26Q2</t>
        </is>
      </c>
      <c r="H266" s="12" t="n">
        <v>61.735</v>
      </c>
      <c r="I266" s="12" t="n">
        <v>66.742</v>
      </c>
      <c r="J266" s="12" t="n">
        <v>81.185</v>
      </c>
      <c r="K266" s="12" t="n">
        <v>80.181</v>
      </c>
      <c r="L266" s="12" t="n">
        <v>82.59099999999999</v>
      </c>
      <c r="M266" s="13">
        <f>IF(OR(N(H266)=0,L266=""),"",L266/H266-1)</f>
        <v>0.3378310520774277</v>
      </c>
      <c r="N266" s="14" t="n">
        <v>-5.566</v>
      </c>
      <c r="O266" s="14" t="n">
        <v>-4.79</v>
      </c>
      <c r="P266" s="14" t="n">
        <v>-0.424</v>
      </c>
      <c r="Q266" s="14" t="n">
        <v>-3.567</v>
      </c>
      <c r="R266" s="13">
        <f>IF(OR(N(L266)=0,Q266=""),"",Q266/L266)</f>
        <v>-0.04318872516375877</v>
      </c>
      <c r="S266" s="14" t="n">
        <v>25.725</v>
      </c>
      <c r="T266" s="13">
        <f>IF(OR(N(L266)=0,S266=""),"",S266/L266)</f>
        <v>0.31147461587824343</v>
      </c>
      <c r="U266" s="14" t="n">
        <v>-1.339</v>
      </c>
      <c r="V266" s="13">
        <f>IF(OR(N(L266)=0,U266=""),"",U266/L266)</f>
        <v>-0.01621242023949341</v>
      </c>
      <c r="W266" s="14" t="n">
        <v>261.33</v>
      </c>
      <c r="X266" s="14" t="n">
        <v>-24.202</v>
      </c>
      <c r="Y266" s="13">
        <f>IF(OR(N(W266)=0,X266=""),"",X266/W266)</f>
        <v>-0.09261087513871352</v>
      </c>
      <c r="Z266" s="11" t="str">
        <f>IF(AA266="A","四季持續盈利",IF(AA266="B","最新季為正/波動",IF(AA266="C","虧損收窄",IF(AA266="D","虧損擴大或轉虧","數據不足"))))</f>
        <v>虧損收窄</v>
      </c>
      <c r="AA266" s="9" t="str">
        <f>IF(COUNT(N266:Q266)&lt;4,"—",IF(MIN(N266:Q266)&gt;0,"A",IF(Q266&gt;0,"B",IF(Q266&gt;N266,"C","D"))))</f>
        <v>C</v>
      </c>
      <c r="AB266" s="9" t="inlineStr">
        <is>
          <t>2026-06-30</t>
        </is>
      </c>
    </row>
    <row r="267" ht="15" customHeight="1">
      <c r="A267" s="9" t="n">
        <v>266</v>
      </c>
      <c r="B267" s="10" t="inlineStr">
        <is>
          <t>LAZ</t>
        </is>
      </c>
      <c r="C267" s="11" t="inlineStr">
        <is>
          <t>投行與資本巿場</t>
        </is>
      </c>
      <c r="D267" s="11" t="inlineStr">
        <is>
          <t>Lazard, Inc.</t>
        </is>
      </c>
      <c r="E267" s="11" t="inlineStr">
        <is>
          <t>Capital Markets</t>
        </is>
      </c>
      <c r="F267" s="9" t="inlineStr">
        <is>
          <t>USD</t>
        </is>
      </c>
      <c r="G267" s="11" t="inlineStr">
        <is>
          <t>25Q2 / 25Q3 / 25Q4 / 26Q1 / 26Q2</t>
        </is>
      </c>
      <c r="H267" s="12" t="n">
        <v>807.953</v>
      </c>
      <c r="I267" s="12" t="n">
        <v>763.104</v>
      </c>
      <c r="J267" s="12" t="n">
        <v>919.415</v>
      </c>
      <c r="K267" s="12" t="n">
        <v>771.587</v>
      </c>
      <c r="L267" s="12" t="n"/>
      <c r="M267" s="13" t="str">
        <f>IF(OR(N(H267)=0,L267=""),"",L267/H267-1)</f>
        <v/>
      </c>
      <c r="N267" s="14" t="n">
        <v>109.956</v>
      </c>
      <c r="O267" s="14" t="n">
        <v>97.646</v>
      </c>
      <c r="P267" s="14" t="n">
        <v>104.579</v>
      </c>
      <c r="Q267" s="14" t="n"/>
      <c r="R267" s="13" t="str">
        <f>IF(OR(N(L267)=0,Q267=""),"",Q267/L267)</f>
        <v/>
      </c>
      <c r="S267" s="14" t="n"/>
      <c r="T267" s="13" t="str">
        <f>IF(OR(N(L267)=0,S267=""),"",S267/L267)</f>
        <v/>
      </c>
      <c r="U267" s="14" t="n"/>
      <c r="V267" s="13" t="str">
        <f>IF(OR(N(L267)=0,U267=""),"",U267/L267)</f>
        <v/>
      </c>
      <c r="W267" s="14" t="n">
        <v>3147.974</v>
      </c>
      <c r="X267" s="14" t="n">
        <v>376.725</v>
      </c>
      <c r="Y267" s="13">
        <f>IF(OR(N(W267)=0,X267=""),"",X267/W267)</f>
        <v>0.11967220822027119</v>
      </c>
      <c r="Z267" s="11" t="str">
        <f>IF(AA267="A","四季持續盈利",IF(AA267="B","最新季為正/波動",IF(AA267="C","虧損收窄",IF(AA267="D","虧損擴大或轉虧","數據不足"))))</f>
        <v>數據不足</v>
      </c>
      <c r="AA267" s="9" t="str">
        <f>IF(COUNT(N267:Q267)&lt;4,"—",IF(MIN(N267:Q267)&gt;0,"A",IF(Q267&gt;0,"B",IF(Q267&gt;N267,"C","D"))))</f>
        <v>—</v>
      </c>
      <c r="AB267" s="9" t="inlineStr">
        <is>
          <t>2026-06-30</t>
        </is>
      </c>
    </row>
    <row r="268" ht="15" customHeight="1">
      <c r="A268" s="9" t="n">
        <v>267</v>
      </c>
      <c r="B268" s="10" t="inlineStr">
        <is>
          <t>LCID</t>
        </is>
      </c>
      <c r="C268" s="11" t="inlineStr">
        <is>
          <t>電動車與新能源車</t>
        </is>
      </c>
      <c r="D268" s="11" t="inlineStr">
        <is>
          <t>Lucid Group, Inc.</t>
        </is>
      </c>
      <c r="E268" s="11" t="inlineStr">
        <is>
          <t>Auto Manufacturers</t>
        </is>
      </c>
      <c r="F268" s="9" t="inlineStr">
        <is>
          <t>USD</t>
        </is>
      </c>
      <c r="G268" s="11" t="inlineStr">
        <is>
          <t>25Q2 / 25Q3 / 25Q4 / 26Q1 / 26Q2</t>
        </is>
      </c>
      <c r="H268" s="12" t="n">
        <v>259.432</v>
      </c>
      <c r="I268" s="12" t="n">
        <v>336.58</v>
      </c>
      <c r="J268" s="12" t="n">
        <v>522.73</v>
      </c>
      <c r="K268" s="12" t="n">
        <v>282.465</v>
      </c>
      <c r="L268" s="12" t="n">
        <v>405.347</v>
      </c>
      <c r="M268" s="13">
        <f>IF(OR(N(H268)=0,L268=""),"",L268/H268-1)</f>
        <v>0.562440254093558</v>
      </c>
      <c r="N268" s="14" t="n">
        <v>-942.019</v>
      </c>
      <c r="O268" s="14" t="n">
        <v>-1064.754</v>
      </c>
      <c r="P268" s="14" t="n">
        <v>-951.551</v>
      </c>
      <c r="Q268" s="14" t="n">
        <v>-1048.493</v>
      </c>
      <c r="R268" s="13">
        <f>IF(OR(N(L268)=0,Q268=""),"",Q268/L268)</f>
        <v>-2.5866553841523436</v>
      </c>
      <c r="S268" s="14" t="n">
        <v>-426.725</v>
      </c>
      <c r="T268" s="13">
        <f>IF(OR(N(L268)=0,S268=""),"",S268/L268)</f>
        <v>-1.0527399980757228</v>
      </c>
      <c r="U268" s="14" t="n">
        <v>-1034.851</v>
      </c>
      <c r="V268" s="13">
        <f>IF(OR(N(L268)=0,U268=""),"",U268/L268)</f>
        <v>-2.553000268905407</v>
      </c>
      <c r="W268" s="14" t="n">
        <v>1353.79</v>
      </c>
      <c r="X268" s="14" t="n">
        <v>-3501.753</v>
      </c>
      <c r="Y268" s="13">
        <f>IF(OR(N(W268)=0,X268=""),"",X268/W268)</f>
        <v>-2.586629388605323</v>
      </c>
      <c r="Z268" s="11" t="str">
        <f>IF(AA268="A","四季持續盈利",IF(AA268="B","最新季為正/波動",IF(AA268="C","虧損收窄",IF(AA268="D","虧損擴大或轉虧","數據不足"))))</f>
        <v>虧損擴大或轉虧</v>
      </c>
      <c r="AA268" s="9" t="str">
        <f>IF(COUNT(N268:Q268)&lt;4,"—",IF(MIN(N268:Q268)&gt;0,"A",IF(Q268&gt;0,"B",IF(Q268&gt;N268,"C","D"))))</f>
        <v>D</v>
      </c>
      <c r="AB268" s="9" t="inlineStr">
        <is>
          <t>2026-06-30</t>
        </is>
      </c>
    </row>
    <row r="269" ht="15" customHeight="1">
      <c r="A269" s="9" t="n">
        <v>268</v>
      </c>
      <c r="B269" s="10" t="inlineStr">
        <is>
          <t>LEA</t>
        </is>
      </c>
      <c r="C269" s="11" t="inlineStr">
        <is>
          <t>傳統汽車與零部件</t>
        </is>
      </c>
      <c r="D269" s="11" t="inlineStr">
        <is>
          <t>Lear Corporation</t>
        </is>
      </c>
      <c r="E269" s="11" t="inlineStr">
        <is>
          <t>Auto Parts</t>
        </is>
      </c>
      <c r="F269" s="9" t="inlineStr">
        <is>
          <t>USD</t>
        </is>
      </c>
      <c r="G269" s="11" t="inlineStr">
        <is>
          <t>25Q2 / 25Q3 / 25Q4 / 26Q1 / 26Q2</t>
        </is>
      </c>
      <c r="H269" s="12" t="n">
        <v>6030.4</v>
      </c>
      <c r="I269" s="12" t="n">
        <v>5679.8</v>
      </c>
      <c r="J269" s="12" t="n">
        <v>5988.6</v>
      </c>
      <c r="K269" s="12" t="n">
        <v>5822.8</v>
      </c>
      <c r="L269" s="12" t="n">
        <v>6209.4</v>
      </c>
      <c r="M269" s="13">
        <f>IF(OR(N(H269)=0,L269=""),"",L269/H269-1)</f>
        <v>0.02968293977182279</v>
      </c>
      <c r="N269" s="14" t="n">
        <v>192.5</v>
      </c>
      <c r="O269" s="14" t="n">
        <v>155.1</v>
      </c>
      <c r="P269" s="14" t="n">
        <v>255</v>
      </c>
      <c r="Q269" s="14" t="n">
        <v>267.9</v>
      </c>
      <c r="R269" s="13">
        <f>IF(OR(N(L269)=0,Q269=""),"",Q269/L269)</f>
        <v>0.043144265146390956</v>
      </c>
      <c r="S269" s="14" t="n">
        <v>470.3</v>
      </c>
      <c r="T269" s="13">
        <f>IF(OR(N(L269)=0,S269=""),"",S269/L269)</f>
        <v>0.07574000708603086</v>
      </c>
      <c r="U269" s="14" t="n">
        <v>192.8</v>
      </c>
      <c r="V269" s="13">
        <f>IF(OR(N(L269)=0,U269=""),"",U269/L269)</f>
        <v>0.031049698843688606</v>
      </c>
      <c r="W269" s="14" t="n">
        <v>23259.1</v>
      </c>
      <c r="X269" s="14" t="n">
        <v>777.3</v>
      </c>
      <c r="Y269" s="13">
        <f>IF(OR(N(W269)=0,X269=""),"",X269/W269)</f>
        <v>0.03341917787016695</v>
      </c>
      <c r="Z269" s="11" t="str">
        <f>IF(AA269="A","四季持續盈利",IF(AA269="B","最新季為正/波動",IF(AA269="C","虧損收窄",IF(AA269="D","虧損擴大或轉虧","數據不足"))))</f>
        <v>四季持續盈利</v>
      </c>
      <c r="AA269" s="9" t="str">
        <f>IF(COUNT(N269:Q269)&lt;4,"—",IF(MIN(N269:Q269)&gt;0,"A",IF(Q269&gt;0,"B",IF(Q269&gt;N269,"C","D"))))</f>
        <v>A</v>
      </c>
      <c r="AB269" s="9" t="inlineStr">
        <is>
          <t>2026-06-30</t>
        </is>
      </c>
    </row>
    <row r="270" ht="15" customHeight="1">
      <c r="A270" s="9" t="n">
        <v>269</v>
      </c>
      <c r="B270" s="10" t="inlineStr">
        <is>
          <t>LEGN</t>
        </is>
      </c>
      <c r="C270" s="11" t="inlineStr">
        <is>
          <t>腫瘤與細胞治療</t>
        </is>
      </c>
      <c r="D270" s="11" t="inlineStr">
        <is>
          <t>Legend Biotech Corporation</t>
        </is>
      </c>
      <c r="E270" s="11" t="inlineStr">
        <is>
          <t>Biotechnology</t>
        </is>
      </c>
      <c r="F270" s="9" t="inlineStr">
        <is>
          <t>USD</t>
        </is>
      </c>
      <c r="G270" s="11" t="inlineStr">
        <is>
          <t>25Q2 / 25Q3 / 25Q4 / 26Q1 / 26Q2</t>
        </is>
      </c>
      <c r="H270" s="12" t="n">
        <v>255.1</v>
      </c>
      <c r="I270" s="12" t="n">
        <v>272.33</v>
      </c>
      <c r="J270" s="12" t="n">
        <v>306.377</v>
      </c>
      <c r="K270" s="12" t="n">
        <v>305.1</v>
      </c>
      <c r="L270" s="12" t="n">
        <v>387.5</v>
      </c>
      <c r="M270" s="13">
        <f>IF(OR(N(H270)=0,L270=""),"",L270/H270-1)</f>
        <v>0.5190121520972169</v>
      </c>
      <c r="N270" s="14" t="n">
        <v>-43.452</v>
      </c>
      <c r="O270" s="14" t="n">
        <v>-20.602</v>
      </c>
      <c r="P270" s="14" t="n">
        <v>-49.8</v>
      </c>
      <c r="Q270" s="14" t="n">
        <v>57.7</v>
      </c>
      <c r="R270" s="13">
        <f>IF(OR(N(L270)=0,Q270=""),"",Q270/L270)</f>
        <v>0.14890322580645163</v>
      </c>
      <c r="S270" s="14" t="n">
        <v>250.1</v>
      </c>
      <c r="T270" s="13">
        <f>IF(OR(N(L270)=0,S270=""),"",S270/L270)</f>
        <v>0.6454193548387097</v>
      </c>
      <c r="U270" s="14" t="n">
        <v>33.2</v>
      </c>
      <c r="V270" s="13">
        <f>IF(OR(N(L270)=0,U270=""),"",U270/L270)</f>
        <v>0.08567741935483872</v>
      </c>
      <c r="W270" s="14" t="n">
        <v>1028.9</v>
      </c>
      <c r="X270" s="14" t="n">
        <v>-136.5</v>
      </c>
      <c r="Y270" s="13">
        <f>IF(OR(N(W270)=0,X270=""),"",X270/W270)</f>
        <v>-0.13266595393138303</v>
      </c>
      <c r="Z270" s="11" t="str">
        <f>IF(AA270="A","四季持續盈利",IF(AA270="B","最新季為正/波動",IF(AA270="C","虧損收窄",IF(AA270="D","虧損擴大或轉虧","數據不足"))))</f>
        <v>最新季為正/波動</v>
      </c>
      <c r="AA270" s="9" t="str">
        <f>IF(COUNT(N270:Q270)&lt;4,"—",IF(MIN(N270:Q270)&gt;0,"A",IF(Q270&gt;0,"B",IF(Q270&gt;N270,"C","D"))))</f>
        <v>B</v>
      </c>
      <c r="AB270" s="9" t="inlineStr">
        <is>
          <t>2026-06-30</t>
        </is>
      </c>
    </row>
    <row r="271" ht="15" customHeight="1">
      <c r="A271" s="9" t="n">
        <v>270</v>
      </c>
      <c r="B271" s="10" t="inlineStr">
        <is>
          <t>LEN</t>
        </is>
      </c>
      <c r="C271" s="11" t="inlineStr">
        <is>
          <t>住宅建築商</t>
        </is>
      </c>
      <c r="D271" s="11" t="inlineStr">
        <is>
          <t>Lennar Corporation</t>
        </is>
      </c>
      <c r="E271" s="11" t="inlineStr">
        <is>
          <t>Residential Construction</t>
        </is>
      </c>
      <c r="F271" s="9" t="inlineStr">
        <is>
          <t>USD</t>
        </is>
      </c>
      <c r="G271" s="11" t="inlineStr">
        <is>
          <t>25Q2 / 25Q3 / 25Q4 / 26Q1 / 26Q2</t>
        </is>
      </c>
      <c r="H271" s="12" t="n">
        <v>8377.502</v>
      </c>
      <c r="I271" s="12" t="n">
        <v>8810.278</v>
      </c>
      <c r="J271" s="12" t="n">
        <v>9367.609</v>
      </c>
      <c r="K271" s="12" t="n">
        <v>6619.476</v>
      </c>
      <c r="L271" s="12" t="n">
        <v>7939.872</v>
      </c>
      <c r="M271" s="13">
        <f>IF(OR(N(H271)=0,L271=""),"",L271/H271-1)</f>
        <v>-0.05223872223486192</v>
      </c>
      <c r="N271" s="14" t="n">
        <v>721.198</v>
      </c>
      <c r="O271" s="14" t="n">
        <v>666.9589999999999</v>
      </c>
      <c r="P271" s="14" t="n">
        <v>233.064</v>
      </c>
      <c r="Q271" s="14" t="n">
        <v>418.815</v>
      </c>
      <c r="R271" s="13">
        <f>IF(OR(N(L271)=0,Q271=""),"",Q271/L271)</f>
        <v>0.052748331459247705</v>
      </c>
      <c r="S271" s="14" t="n">
        <v>554.9640000000001</v>
      </c>
      <c r="T271" s="13">
        <f>IF(OR(N(L271)=0,S271=""),"",S271/L271)</f>
        <v>0.06989583711173178</v>
      </c>
      <c r="U271" s="14" t="n">
        <v>304.772</v>
      </c>
      <c r="V271" s="13">
        <f>IF(OR(N(L271)=0,U271=""),"",U271/L271)</f>
        <v>0.03838500167257104</v>
      </c>
      <c r="W271" s="14" t="n">
        <v>34186.934</v>
      </c>
      <c r="X271" s="14" t="n">
        <v>2750.407</v>
      </c>
      <c r="Y271" s="13">
        <f>IF(OR(N(W271)=0,X271=""),"",X271/W271)</f>
        <v>0.0804519937353844</v>
      </c>
      <c r="Z271" s="11" t="str">
        <f>IF(AA271="A","四季持續盈利",IF(AA271="B","最新季為正/波動",IF(AA271="C","虧損收窄",IF(AA271="D","虧損擴大或轉虧","數據不足"))))</f>
        <v>四季持續盈利</v>
      </c>
      <c r="AA271" s="9" t="str">
        <f>IF(COUNT(N271:Q271)&lt;4,"—",IF(MIN(N271:Q271)&gt;0,"A",IF(Q271&gt;0,"B",IF(Q271&gt;N271,"C","D"))))</f>
        <v>A</v>
      </c>
      <c r="AB271" s="9" t="inlineStr">
        <is>
          <t>2026-05-31</t>
        </is>
      </c>
    </row>
    <row r="272" ht="15" customHeight="1">
      <c r="A272" s="9" t="n">
        <v>271</v>
      </c>
      <c r="B272" s="10" t="inlineStr">
        <is>
          <t>LEU</t>
        </is>
      </c>
      <c r="C272" s="11" t="inlineStr">
        <is>
          <t>鈾與核燃料</t>
        </is>
      </c>
      <c r="D272" s="11" t="inlineStr">
        <is>
          <t>Centrus Energy Corp.</t>
        </is>
      </c>
      <c r="E272" s="11" t="inlineStr">
        <is>
          <t>F3 能源</t>
        </is>
      </c>
      <c r="F272" s="9" t="inlineStr">
        <is>
          <t>USD</t>
        </is>
      </c>
      <c r="G272" s="11" t="inlineStr">
        <is>
          <t>25Q2 / 25Q3 / 25Q4 / 26Q1 / 26Q2</t>
        </is>
      </c>
      <c r="H272" s="12" t="n">
        <v>154.5</v>
      </c>
      <c r="I272" s="12" t="n">
        <v>74.90000000000001</v>
      </c>
      <c r="J272" s="12" t="n">
        <v>146.2</v>
      </c>
      <c r="K272" s="12" t="n">
        <v>76.7</v>
      </c>
      <c r="L272" s="12" t="n">
        <v>176.1</v>
      </c>
      <c r="M272" s="13">
        <f>IF(OR(N(H272)=0,L272=""),"",L272/H272-1)</f>
        <v>0.13980582524271834</v>
      </c>
      <c r="N272" s="14" t="n">
        <v>-16.6</v>
      </c>
      <c r="O272" s="14" t="n">
        <v>12.8</v>
      </c>
      <c r="P272" s="14" t="n">
        <v>0.8</v>
      </c>
      <c r="Q272" s="14" t="n">
        <v>10.4</v>
      </c>
      <c r="R272" s="13">
        <f>IF(OR(N(L272)=0,Q272=""),"",Q272/L272)</f>
        <v>0.05905735377626349</v>
      </c>
      <c r="S272" s="14" t="n">
        <v>49.9</v>
      </c>
      <c r="T272" s="13">
        <f>IF(OR(N(L272)=0,S272=""),"",S272/L272)</f>
        <v>0.2833617262918796</v>
      </c>
      <c r="U272" s="14" t="n">
        <v>16.8</v>
      </c>
      <c r="V272" s="13">
        <f>IF(OR(N(L272)=0,U272=""),"",U272/L272)</f>
        <v>0.09540034071550256</v>
      </c>
      <c r="W272" s="14" t="n">
        <v>448.7</v>
      </c>
      <c r="X272" s="14" t="n">
        <v>50.2</v>
      </c>
      <c r="Y272" s="13">
        <f>IF(OR(N(W272)=0,X272=""),"",X272/W272)</f>
        <v>0.11187876086472032</v>
      </c>
      <c r="Z272" s="11" t="str">
        <f>IF(AA272="A","四季持續盈利",IF(AA272="B","最新季為正/波動",IF(AA272="C","虧損收窄",IF(AA272="D","虧損擴大或轉虧","數據不足"))))</f>
        <v>最新季為正/波動</v>
      </c>
      <c r="AA272" s="9" t="str">
        <f>IF(COUNT(N272:Q272)&lt;4,"—",IF(MIN(N272:Q272)&gt;0,"A",IF(Q272&gt;0,"B",IF(Q272&gt;N272,"C","D"))))</f>
        <v>B</v>
      </c>
      <c r="AB272" s="9" t="inlineStr">
        <is>
          <t>2026-06-30</t>
        </is>
      </c>
    </row>
    <row r="273" ht="15" customHeight="1">
      <c r="A273" s="9" t="n">
        <v>272</v>
      </c>
      <c r="B273" s="10" t="inlineStr">
        <is>
          <t>LHX</t>
        </is>
      </c>
      <c r="C273" s="11" t="inlineStr">
        <is>
          <t>航太與國防</t>
        </is>
      </c>
      <c r="D273" s="11" t="inlineStr">
        <is>
          <t>L3Harris Technologies, Inc.</t>
        </is>
      </c>
      <c r="E273" s="11" t="inlineStr">
        <is>
          <t>Aerospace &amp; Defense</t>
        </is>
      </c>
      <c r="F273" s="9" t="inlineStr">
        <is>
          <t>USD</t>
        </is>
      </c>
      <c r="G273" s="11" t="inlineStr">
        <is>
          <t>25Q2 / 25Q3 / 25Q4 / 26Q1 / 26Q2</t>
        </is>
      </c>
      <c r="H273" s="12" t="n">
        <v>5426</v>
      </c>
      <c r="I273" s="12" t="n">
        <v>5659</v>
      </c>
      <c r="J273" s="12" t="n">
        <v>5648</v>
      </c>
      <c r="K273" s="12" t="n">
        <v>5744</v>
      </c>
      <c r="L273" s="12" t="n">
        <v>5881</v>
      </c>
      <c r="M273" s="13">
        <f>IF(OR(N(H273)=0,L273=""),"",L273/H273-1)</f>
        <v>0.08385551050497608</v>
      </c>
      <c r="N273" s="14" t="n">
        <v>631</v>
      </c>
      <c r="O273" s="14" t="n">
        <v>376</v>
      </c>
      <c r="P273" s="14" t="n">
        <v>642</v>
      </c>
      <c r="Q273" s="14" t="n">
        <v>664</v>
      </c>
      <c r="R273" s="13">
        <f>IF(OR(N(L273)=0,Q273=""),"",Q273/L273)</f>
        <v>0.11290596837272572</v>
      </c>
      <c r="S273" s="14" t="n">
        <v>1502</v>
      </c>
      <c r="T273" s="13">
        <f>IF(OR(N(L273)=0,S273=""),"",S273/L273)</f>
        <v>0.25539874171059346</v>
      </c>
      <c r="U273" s="14" t="n">
        <v>586</v>
      </c>
      <c r="V273" s="13">
        <f>IF(OR(N(L273)=0,U273=""),"",U273/L273)</f>
        <v>0.09964291787111036</v>
      </c>
      <c r="W273" s="14" t="n">
        <v>21865</v>
      </c>
      <c r="X273" s="14" t="n">
        <v>2150</v>
      </c>
      <c r="Y273" s="13">
        <f>IF(OR(N(W273)=0,X273=""),"",X273/W273)</f>
        <v>0.09833066544706151</v>
      </c>
      <c r="Z273" s="11" t="str">
        <f>IF(AA273="A","四季持續盈利",IF(AA273="B","最新季為正/波動",IF(AA273="C","虧損收窄",IF(AA273="D","虧損擴大或轉虧","數據不足"))))</f>
        <v>四季持續盈利</v>
      </c>
      <c r="AA273" s="9" t="str">
        <f>IF(COUNT(N273:Q273)&lt;4,"—",IF(MIN(N273:Q273)&gt;0,"A",IF(Q273&gt;0,"B",IF(Q273&gt;N273,"C","D"))))</f>
        <v>A</v>
      </c>
      <c r="AB273" s="9" t="inlineStr">
        <is>
          <t>2026-06-30</t>
        </is>
      </c>
    </row>
    <row r="274" ht="15" customHeight="1">
      <c r="A274" s="9" t="n">
        <v>273</v>
      </c>
      <c r="B274" s="10" t="inlineStr">
        <is>
          <t>LII</t>
        </is>
      </c>
      <c r="C274" s="11" t="inlineStr">
        <is>
          <t>樓宇產品與HVAC</t>
        </is>
      </c>
      <c r="D274" s="11" t="inlineStr">
        <is>
          <t>Lennox International Inc.</t>
        </is>
      </c>
      <c r="E274" s="11" t="inlineStr">
        <is>
          <t>Building Products &amp; Equipment</t>
        </is>
      </c>
      <c r="F274" s="9" t="inlineStr">
        <is>
          <t>USD</t>
        </is>
      </c>
      <c r="G274" s="11" t="inlineStr">
        <is>
          <t>25Q2 / 25Q3 / 25Q4 / 26Q1 / 26Q2</t>
        </is>
      </c>
      <c r="H274" s="12" t="n">
        <v>1500.9</v>
      </c>
      <c r="I274" s="12" t="n">
        <v>1426.8</v>
      </c>
      <c r="J274" s="12" t="n">
        <v>1195</v>
      </c>
      <c r="K274" s="12" t="n">
        <v>1135.1</v>
      </c>
      <c r="L274" s="12" t="n">
        <v>1545.3</v>
      </c>
      <c r="M274" s="13">
        <f>IF(OR(N(H274)=0,L274=""),"",L274/H274-1)</f>
        <v>0.029582250649610176</v>
      </c>
      <c r="N274" s="14" t="n">
        <v>307</v>
      </c>
      <c r="O274" s="14" t="n">
        <v>239.6</v>
      </c>
      <c r="P274" s="14" t="n">
        <v>166.1</v>
      </c>
      <c r="Q274" s="14" t="n">
        <v>356.4</v>
      </c>
      <c r="R274" s="13">
        <f>IF(OR(N(L274)=0,Q274=""),"",Q274/L274)</f>
        <v>0.2306348281887012</v>
      </c>
      <c r="S274" s="14" t="n">
        <v>539.5</v>
      </c>
      <c r="T274" s="13">
        <f>IF(OR(N(L274)=0,S274=""),"",S274/L274)</f>
        <v>0.3491231476088785</v>
      </c>
      <c r="U274" s="14" t="n">
        <v>269</v>
      </c>
      <c r="V274" s="13">
        <f>IF(OR(N(L274)=0,U274=""),"",U274/L274)</f>
        <v>0.17407623115252702</v>
      </c>
      <c r="W274" s="14" t="n">
        <v>5195.3</v>
      </c>
      <c r="X274" s="14" t="n">
        <v>1053.2</v>
      </c>
      <c r="Y274" s="13">
        <f>IF(OR(N(W274)=0,X274=""),"",X274/W274)</f>
        <v>0.20272169075895521</v>
      </c>
      <c r="Z274" s="11" t="str">
        <f>IF(AA274="A","四季持續盈利",IF(AA274="B","最新季為正/波動",IF(AA274="C","虧損收窄",IF(AA274="D","虧損擴大或轉虧","數據不足"))))</f>
        <v>四季持續盈利</v>
      </c>
      <c r="AA274" s="9" t="str">
        <f>IF(COUNT(N274:Q274)&lt;4,"—",IF(MIN(N274:Q274)&gt;0,"A",IF(Q274&gt;0,"B",IF(Q274&gt;N274,"C","D"))))</f>
        <v>A</v>
      </c>
      <c r="AB274" s="9" t="inlineStr">
        <is>
          <t>2026-06-30</t>
        </is>
      </c>
    </row>
    <row r="275" ht="15" customHeight="1">
      <c r="A275" s="9" t="n">
        <v>274</v>
      </c>
      <c r="B275" s="10" t="inlineStr">
        <is>
          <t>LIN</t>
        </is>
      </c>
      <c r="C275" s="11" t="inlineStr">
        <is>
          <t>特種化工</t>
        </is>
      </c>
      <c r="D275" s="11" t="inlineStr">
        <is>
          <t>Linde plc</t>
        </is>
      </c>
      <c r="E275" s="11" t="inlineStr">
        <is>
          <t>B10 半導體材料②光刻膠/特氣</t>
        </is>
      </c>
      <c r="F275" s="9" t="inlineStr">
        <is>
          <t>USD</t>
        </is>
      </c>
      <c r="G275" s="11" t="inlineStr">
        <is>
          <t>25Q2 / 25Q3 / 25Q4 / 26Q1 / 26Q2</t>
        </is>
      </c>
      <c r="H275" s="12" t="n">
        <v>8495</v>
      </c>
      <c r="I275" s="12" t="n">
        <v>8615</v>
      </c>
      <c r="J275" s="12" t="n">
        <v>8764</v>
      </c>
      <c r="K275" s="12" t="n">
        <v>8781</v>
      </c>
      <c r="L275" s="12" t="n">
        <v>9289</v>
      </c>
      <c r="M275" s="13">
        <f>IF(OR(N(H275)=0,L275=""),"",L275/H275-1)</f>
        <v>0.09346674514420239</v>
      </c>
      <c r="N275" s="14" t="n">
        <v>2342</v>
      </c>
      <c r="O275" s="14" t="n">
        <v>2352</v>
      </c>
      <c r="P275" s="14" t="n">
        <v>2376</v>
      </c>
      <c r="Q275" s="14" t="n">
        <v>2537</v>
      </c>
      <c r="R275" s="13">
        <f>IF(OR(N(L275)=0,Q275=""),"",Q275/L275)</f>
        <v>0.2731187425987727</v>
      </c>
      <c r="S275" s="14" t="n">
        <v>4428</v>
      </c>
      <c r="T275" s="13">
        <f>IF(OR(N(L275)=0,S275=""),"",S275/L275)</f>
        <v>0.47669286252556786</v>
      </c>
      <c r="U275" s="14" t="n">
        <v>1928</v>
      </c>
      <c r="V275" s="13">
        <f>IF(OR(N(L275)=0,U275=""),"",U275/L275)</f>
        <v>0.20755732586930778</v>
      </c>
      <c r="W275" s="14" t="n">
        <v>33986</v>
      </c>
      <c r="X275" s="14" t="n">
        <v>9254</v>
      </c>
      <c r="Y275" s="13">
        <f>IF(OR(N(W275)=0,X275=""),"",X275/W275)</f>
        <v>0.2722885894191726</v>
      </c>
      <c r="Z275" s="11" t="str">
        <f>IF(AA275="A","四季持續盈利",IF(AA275="B","最新季為正/波動",IF(AA275="C","虧損收窄",IF(AA275="D","虧損擴大或轉虧","數據不足"))))</f>
        <v>四季持續盈利</v>
      </c>
      <c r="AA275" s="9" t="str">
        <f>IF(COUNT(N275:Q275)&lt;4,"—",IF(MIN(N275:Q275)&gt;0,"A",IF(Q275&gt;0,"B",IF(Q275&gt;N275,"C","D"))))</f>
        <v>A</v>
      </c>
      <c r="AB275" s="9" t="inlineStr">
        <is>
          <t>2026-06-30</t>
        </is>
      </c>
    </row>
    <row r="276" ht="15" customHeight="1">
      <c r="A276" s="9" t="n">
        <v>275</v>
      </c>
      <c r="B276" s="10" t="inlineStr">
        <is>
          <t>LITE</t>
        </is>
      </c>
      <c r="C276" s="11" t="inlineStr">
        <is>
          <t>光通訊/CPO</t>
        </is>
      </c>
      <c r="D276" s="11" t="inlineStr">
        <is>
          <t>Lumentum Holdings Inc.</t>
        </is>
      </c>
      <c r="E276" s="11" t="inlineStr">
        <is>
          <t>D1 光模塊</t>
        </is>
      </c>
      <c r="F276" s="9" t="inlineStr">
        <is>
          <t>USD</t>
        </is>
      </c>
      <c r="G276" s="11" t="inlineStr">
        <is>
          <t>25Q2 / 25Q3 / 25Q4 / 26Q1 / 26Q2</t>
        </is>
      </c>
      <c r="H276" s="12" t="n">
        <v>480.7</v>
      </c>
      <c r="I276" s="12" t="n">
        <v>533.8</v>
      </c>
      <c r="J276" s="12" t="n">
        <v>665.5</v>
      </c>
      <c r="K276" s="12" t="n">
        <v>808.4</v>
      </c>
      <c r="L276" s="12" t="n">
        <v>1006.3</v>
      </c>
      <c r="M276" s="13">
        <f>IF(OR(N(H276)=0,L276=""),"",L276/H276-1)</f>
        <v>1.0934054503848554</v>
      </c>
      <c r="N276" s="14" t="n">
        <v>15</v>
      </c>
      <c r="O276" s="14" t="n">
        <v>63.9</v>
      </c>
      <c r="P276" s="14" t="n">
        <v>175.6</v>
      </c>
      <c r="Q276" s="14" t="n">
        <v>281.7</v>
      </c>
      <c r="R276" s="13">
        <f>IF(OR(N(L276)=0,Q276=""),"",Q276/L276)</f>
        <v>0.2799364006757428</v>
      </c>
      <c r="S276" s="14" t="n">
        <v>477.3</v>
      </c>
      <c r="T276" s="13">
        <f>IF(OR(N(L276)=0,S276=""),"",S276/L276)</f>
        <v>0.47431183543674854</v>
      </c>
      <c r="U276" s="14" t="n">
        <v>-7161.7</v>
      </c>
      <c r="V276" s="13">
        <f>IF(OR(N(L276)=0,U276=""),"",U276/L276)</f>
        <v>-7.116863758322568</v>
      </c>
      <c r="W276" s="14" t="n">
        <v>3014</v>
      </c>
      <c r="X276" s="14" t="n">
        <v>536.2</v>
      </c>
      <c r="Y276" s="13">
        <f>IF(OR(N(W276)=0,X276=""),"",X276/W276)</f>
        <v>0.1779031187790312</v>
      </c>
      <c r="Z276" s="11" t="str">
        <f>IF(AA276="A","四季持續盈利",IF(AA276="B","最新季為正/波動",IF(AA276="C","虧損收窄",IF(AA276="D","虧損擴大或轉虧","數據不足"))))</f>
        <v>四季持續盈利</v>
      </c>
      <c r="AA276" s="9" t="str">
        <f>IF(COUNT(N276:Q276)&lt;4,"—",IF(MIN(N276:Q276)&gt;0,"A",IF(Q276&gt;0,"B",IF(Q276&gt;N276,"C","D"))))</f>
        <v>A</v>
      </c>
      <c r="AB276" s="9" t="inlineStr">
        <is>
          <t>2026-06-30</t>
        </is>
      </c>
    </row>
    <row r="277" ht="15" customHeight="1">
      <c r="A277" s="9" t="n">
        <v>276</v>
      </c>
      <c r="B277" s="10" t="inlineStr">
        <is>
          <t>LLY</t>
        </is>
      </c>
      <c r="C277" s="11" t="inlineStr">
        <is>
          <t>GLP-1減重與代謝、大型藥廠</t>
        </is>
      </c>
      <c r="D277" s="11" t="inlineStr">
        <is>
          <t>Eli Lilly and Company</t>
        </is>
      </c>
      <c r="E277" s="11" t="inlineStr">
        <is>
          <t>Drug Manufacturers - General</t>
        </is>
      </c>
      <c r="F277" s="9" t="inlineStr">
        <is>
          <t>USD</t>
        </is>
      </c>
      <c r="G277" s="11" t="inlineStr">
        <is>
          <t>25Q2 / 25Q3 / 25Q4 / 26Q1 / 26Q2</t>
        </is>
      </c>
      <c r="H277" s="12" t="n">
        <v>15558</v>
      </c>
      <c r="I277" s="12" t="n">
        <v>17600.8</v>
      </c>
      <c r="J277" s="12" t="n">
        <v>19292</v>
      </c>
      <c r="K277" s="12" t="n">
        <v>19799</v>
      </c>
      <c r="L277" s="12" t="n">
        <v>22974</v>
      </c>
      <c r="M277" s="13">
        <f>IF(OR(N(H277)=0,L277=""),"",L277/H277-1)</f>
        <v>0.4766679521789432</v>
      </c>
      <c r="N277" s="14" t="n">
        <v>8386.1</v>
      </c>
      <c r="O277" s="14" t="n">
        <v>8987.4</v>
      </c>
      <c r="P277" s="14" t="n">
        <v>9778</v>
      </c>
      <c r="Q277" s="14" t="n">
        <v>12457</v>
      </c>
      <c r="R277" s="13">
        <f>IF(OR(N(L277)=0,Q277=""),"",Q277/L277)</f>
        <v>0.5422216418560112</v>
      </c>
      <c r="S277" s="14" t="n">
        <v>19706</v>
      </c>
      <c r="T277" s="13">
        <f>IF(OR(N(L277)=0,S277=""),"",S277/L277)</f>
        <v>0.8577522416644903</v>
      </c>
      <c r="U277" s="14" t="n">
        <v>7095</v>
      </c>
      <c r="V277" s="13">
        <f>IF(OR(N(L277)=0,U277=""),"",U277/L277)</f>
        <v>0.3088273700705145</v>
      </c>
      <c r="W277" s="14" t="n">
        <v>65179</v>
      </c>
      <c r="X277" s="14" t="n">
        <v>29696</v>
      </c>
      <c r="Y277" s="13">
        <f>IF(OR(N(W277)=0,X277=""),"",X277/W277)</f>
        <v>0.45560686724251676</v>
      </c>
      <c r="Z277" s="11" t="str">
        <f>IF(AA277="A","四季持續盈利",IF(AA277="B","最新季為正/波動",IF(AA277="C","虧損收窄",IF(AA277="D","虧損擴大或轉虧","數據不足"))))</f>
        <v>四季持續盈利</v>
      </c>
      <c r="AA277" s="9" t="str">
        <f>IF(COUNT(N277:Q277)&lt;4,"—",IF(MIN(N277:Q277)&gt;0,"A",IF(Q277&gt;0,"B",IF(Q277&gt;N277,"C","D"))))</f>
        <v>A</v>
      </c>
      <c r="AB277" s="9" t="inlineStr">
        <is>
          <t>2026-06-30</t>
        </is>
      </c>
    </row>
    <row r="278" ht="15" customHeight="1">
      <c r="A278" s="9" t="n">
        <v>277</v>
      </c>
      <c r="B278" s="10" t="inlineStr">
        <is>
          <t>LMT</t>
        </is>
      </c>
      <c r="C278" s="11" t="inlineStr">
        <is>
          <t>航太與國防</t>
        </is>
      </c>
      <c r="D278" s="11" t="inlineStr">
        <is>
          <t>Lockheed Martin Corporation</t>
        </is>
      </c>
      <c r="E278" s="11" t="inlineStr">
        <is>
          <t>Aerospace &amp; Defense</t>
        </is>
      </c>
      <c r="F278" s="9" t="inlineStr">
        <is>
          <t>USD</t>
        </is>
      </c>
      <c r="G278" s="11" t="inlineStr">
        <is>
          <t>25Q2 / 25Q3 / 25Q4 / 26Q1 / 26Q2</t>
        </is>
      </c>
      <c r="H278" s="12" t="n">
        <v>18155</v>
      </c>
      <c r="I278" s="12" t="n">
        <v>18609</v>
      </c>
      <c r="J278" s="12" t="n">
        <v>20321</v>
      </c>
      <c r="K278" s="12" t="n">
        <v>18021</v>
      </c>
      <c r="L278" s="12" t="n">
        <v>20063</v>
      </c>
      <c r="M278" s="13">
        <f>IF(OR(N(H278)=0,L278=""),"",L278/H278-1)</f>
        <v>0.10509501514734243</v>
      </c>
      <c r="N278" s="14" t="n">
        <v>2280</v>
      </c>
      <c r="O278" s="14" t="n">
        <v>2331</v>
      </c>
      <c r="P278" s="14" t="n">
        <v>2063</v>
      </c>
      <c r="Q278" s="14" t="n">
        <v>2479</v>
      </c>
      <c r="R278" s="13">
        <f>IF(OR(N(L278)=0,Q278=""),"",Q278/L278)</f>
        <v>0.1235607835318746</v>
      </c>
      <c r="S278" s="14" t="n">
        <v>2446</v>
      </c>
      <c r="T278" s="13">
        <f>IF(OR(N(L278)=0,S278=""),"",S278/L278)</f>
        <v>0.12191596471115984</v>
      </c>
      <c r="U278" s="14" t="n">
        <v>1836</v>
      </c>
      <c r="V278" s="13">
        <f>IF(OR(N(L278)=0,U278=""),"",U278/L278)</f>
        <v>0.09151173802522056</v>
      </c>
      <c r="W278" s="14" t="n">
        <v>75048</v>
      </c>
      <c r="X278" s="14" t="n">
        <v>7731</v>
      </c>
      <c r="Y278" s="13">
        <f>IF(OR(N(W278)=0,X278=""),"",X278/W278)</f>
        <v>0.10301407099456347</v>
      </c>
      <c r="Z278" s="11" t="str">
        <f>IF(AA278="A","四季持續盈利",IF(AA278="B","最新季為正/波動",IF(AA278="C","虧損收窄",IF(AA278="D","虧損擴大或轉虧","數據不足"))))</f>
        <v>四季持續盈利</v>
      </c>
      <c r="AA278" s="9" t="str">
        <f>IF(COUNT(N278:Q278)&lt;4,"—",IF(MIN(N278:Q278)&gt;0,"A",IF(Q278&gt;0,"B",IF(Q278&gt;N278,"C","D"))))</f>
        <v>A</v>
      </c>
      <c r="AB278" s="9" t="inlineStr">
        <is>
          <t>2026-06-30</t>
        </is>
      </c>
    </row>
    <row r="279" ht="15" customHeight="1">
      <c r="A279" s="9" t="n">
        <v>278</v>
      </c>
      <c r="B279" s="10" t="inlineStr">
        <is>
          <t>LNC</t>
        </is>
      </c>
      <c r="C279" s="11" t="inlineStr">
        <is>
          <t>壽險與年金</t>
        </is>
      </c>
      <c r="D279" s="11" t="inlineStr">
        <is>
          <t>Lincoln National Corporation</t>
        </is>
      </c>
      <c r="E279" s="11" t="inlineStr">
        <is>
          <t>Insurance - Life</t>
        </is>
      </c>
      <c r="F279" s="9" t="inlineStr">
        <is>
          <t>USD</t>
        </is>
      </c>
      <c r="G279" s="11" t="inlineStr">
        <is>
          <t>25Q2 / 25Q3 / 25Q4 / 26Q1 / 26Q2</t>
        </is>
      </c>
      <c r="H279" s="12" t="n">
        <v>4065</v>
      </c>
      <c r="I279" s="12" t="n">
        <v>4591</v>
      </c>
      <c r="J279" s="12" t="n">
        <v>4970</v>
      </c>
      <c r="K279" s="12" t="n">
        <v>5323</v>
      </c>
      <c r="L279" s="12" t="n">
        <v>4574</v>
      </c>
      <c r="M279" s="13">
        <f>IF(OR(N(H279)=0,L279=""),"",L279/H279-1)</f>
        <v>0.1252152521525216</v>
      </c>
      <c r="N279" s="14" t="n">
        <v>603</v>
      </c>
      <c r="O279" s="14" t="n">
        <v>996</v>
      </c>
      <c r="P279" s="14" t="n">
        <v>-165</v>
      </c>
      <c r="Q279" s="14" t="n">
        <v>1725</v>
      </c>
      <c r="R279" s="13">
        <f>IF(OR(N(L279)=0,Q279=""),"",Q279/L279)</f>
        <v>0.3771316134674246</v>
      </c>
      <c r="S279" s="14" t="n"/>
      <c r="T279" s="13" t="str">
        <f>IF(OR(N(L279)=0,S279=""),"",S279/L279)</f>
        <v/>
      </c>
      <c r="U279" s="14" t="n">
        <v>1332</v>
      </c>
      <c r="V279" s="13">
        <f>IF(OR(N(L279)=0,U279=""),"",U279/L279)</f>
        <v>0.29121119370354176</v>
      </c>
      <c r="W279" s="14" t="n">
        <v>18342</v>
      </c>
      <c r="X279" s="14" t="n">
        <v>1565</v>
      </c>
      <c r="Y279" s="13">
        <f>IF(OR(N(W279)=0,X279=""),"",X279/W279)</f>
        <v>0.085323301711918</v>
      </c>
      <c r="Z279" s="11" t="str">
        <f>IF(AA279="A","四季持續盈利",IF(AA279="B","最新季為正/波動",IF(AA279="C","虧損收窄",IF(AA279="D","虧損擴大或轉虧","數據不足"))))</f>
        <v>最新季為正/波動</v>
      </c>
      <c r="AA279" s="9" t="str">
        <f>IF(COUNT(N279:Q279)&lt;4,"—",IF(MIN(N279:Q279)&gt;0,"A",IF(Q279&gt;0,"B",IF(Q279&gt;N279,"C","D"))))</f>
        <v>B</v>
      </c>
      <c r="AB279" s="9" t="inlineStr">
        <is>
          <t>2026-06-30</t>
        </is>
      </c>
    </row>
    <row r="280" ht="15" customHeight="1">
      <c r="A280" s="9" t="n">
        <v>279</v>
      </c>
      <c r="B280" s="10" t="inlineStr">
        <is>
          <t>LNG</t>
        </is>
      </c>
      <c r="C280" s="11" t="inlineStr">
        <is>
          <t>LNG液化天然氣</t>
        </is>
      </c>
      <c r="D280" s="11" t="inlineStr">
        <is>
          <t>Cheniere Energy, Inc.</t>
        </is>
      </c>
      <c r="E280" s="11" t="inlineStr">
        <is>
          <t>Oil &amp; Gas Midstream</t>
        </is>
      </c>
      <c r="F280" s="9" t="inlineStr">
        <is>
          <t>USD</t>
        </is>
      </c>
      <c r="G280" s="11" t="inlineStr">
        <is>
          <t>25Q2 / 25Q3 / 25Q4 / 26Q1 / 26Q2</t>
        </is>
      </c>
      <c r="H280" s="12" t="n">
        <v>4641</v>
      </c>
      <c r="I280" s="12" t="n">
        <v>4441</v>
      </c>
      <c r="J280" s="12" t="n">
        <v>5450</v>
      </c>
      <c r="K280" s="12" t="n">
        <v>5868</v>
      </c>
      <c r="L280" s="12" t="n">
        <v>5732</v>
      </c>
      <c r="M280" s="13">
        <f>IF(OR(N(H280)=0,L280=""),"",L280/H280-1)</f>
        <v>0.23507864684335278</v>
      </c>
      <c r="N280" s="14" t="n">
        <v>1817</v>
      </c>
      <c r="O280" s="14" t="n">
        <v>3804</v>
      </c>
      <c r="P280" s="14" t="n">
        <v>-3488</v>
      </c>
      <c r="Q280" s="14" t="n">
        <v>4290</v>
      </c>
      <c r="R280" s="13">
        <f>IF(OR(N(L280)=0,Q280=""),"",Q280/L280)</f>
        <v>0.7484298674110258</v>
      </c>
      <c r="S280" s="14" t="n">
        <v>4380</v>
      </c>
      <c r="T280" s="13">
        <f>IF(OR(N(L280)=0,S280=""),"",S280/L280)</f>
        <v>0.7641311933007676</v>
      </c>
      <c r="U280" s="14" t="n">
        <v>3068</v>
      </c>
      <c r="V280" s="13">
        <f>IF(OR(N(L280)=0,U280=""),"",U280/L280)</f>
        <v>0.5352407536636427</v>
      </c>
      <c r="W280" s="14" t="n">
        <v>19976</v>
      </c>
      <c r="X280" s="14" t="n">
        <v>9112</v>
      </c>
      <c r="Y280" s="13">
        <f>IF(OR(N(W280)=0,X280=""),"",X280/W280)</f>
        <v>0.4561473768522227</v>
      </c>
      <c r="Z280" s="11" t="str">
        <f>IF(AA280="A","四季持續盈利",IF(AA280="B","最新季為正/波動",IF(AA280="C","虧損收窄",IF(AA280="D","虧損擴大或轉虧","數據不足"))))</f>
        <v>最新季為正/波動</v>
      </c>
      <c r="AA280" s="9" t="str">
        <f>IF(COUNT(N280:Q280)&lt;4,"—",IF(MIN(N280:Q280)&gt;0,"A",IF(Q280&gt;0,"B",IF(Q280&gt;N280,"C","D"))))</f>
        <v>B</v>
      </c>
      <c r="AB280" s="9" t="inlineStr">
        <is>
          <t>2026-06-30</t>
        </is>
      </c>
    </row>
    <row r="281" ht="15" customHeight="1">
      <c r="A281" s="9" t="n">
        <v>280</v>
      </c>
      <c r="B281" s="10" t="inlineStr">
        <is>
          <t>LOW</t>
        </is>
      </c>
      <c r="C281" s="11" t="inlineStr">
        <is>
          <t>專門零售</t>
        </is>
      </c>
      <c r="D281" s="11" t="inlineStr">
        <is>
          <t>Lowe's Companies, Inc.</t>
        </is>
      </c>
      <c r="E281" s="11" t="inlineStr">
        <is>
          <t>Home Improvement Retail</t>
        </is>
      </c>
      <c r="F281" s="9" t="inlineStr">
        <is>
          <t>USD</t>
        </is>
      </c>
      <c r="G281" s="11" t="inlineStr">
        <is>
          <t>25Q3 / 25Q4 / 26Q1 / 26Q2 / 26Q3</t>
        </is>
      </c>
      <c r="H281" s="12" t="n">
        <v>23959</v>
      </c>
      <c r="I281" s="12" t="n">
        <v>20813</v>
      </c>
      <c r="J281" s="12" t="n">
        <v>20585</v>
      </c>
      <c r="K281" s="12" t="n">
        <v>23078</v>
      </c>
      <c r="L281" s="12" t="n">
        <v>25956</v>
      </c>
      <c r="M281" s="13">
        <f>IF(OR(N(H281)=0,L281=""),"",L281/H281-1)</f>
        <v>0.08335072415376277</v>
      </c>
      <c r="N281" s="14" t="n">
        <v>2481</v>
      </c>
      <c r="O281" s="14" t="n">
        <v>1708</v>
      </c>
      <c r="P281" s="14" t="n">
        <v>2554</v>
      </c>
      <c r="Q281" s="14" t="n">
        <v>3549</v>
      </c>
      <c r="R281" s="13">
        <f>IF(OR(N(L281)=0,Q281=""),"",Q281/L281)</f>
        <v>0.13673139158576053</v>
      </c>
      <c r="S281" s="14" t="n">
        <v>8577</v>
      </c>
      <c r="T281" s="13">
        <f>IF(OR(N(L281)=0,S281=""),"",S281/L281)</f>
        <v>0.33044382801664357</v>
      </c>
      <c r="U281" s="14" t="n">
        <v>2399</v>
      </c>
      <c r="V281" s="13">
        <f>IF(OR(N(L281)=0,U281=""),"",U281/L281)</f>
        <v>0.09242564339651718</v>
      </c>
      <c r="W281" s="14" t="n">
        <v>86286</v>
      </c>
      <c r="X281" s="14" t="n">
        <v>10153</v>
      </c>
      <c r="Y281" s="13">
        <f>IF(OR(N(W281)=0,X281=""),"",X281/W281)</f>
        <v>0.11766682891778504</v>
      </c>
      <c r="Z281" s="11" t="str">
        <f>IF(AA281="A","四季持續盈利",IF(AA281="B","最新季為正/波動",IF(AA281="C","虧損收窄",IF(AA281="D","虧損擴大或轉虧","數據不足"))))</f>
        <v>四季持續盈利</v>
      </c>
      <c r="AA281" s="9" t="str">
        <f>IF(COUNT(N281:Q281)&lt;4,"—",IF(MIN(N281:Q281)&gt;0,"A",IF(Q281&gt;0,"B",IF(Q281&gt;N281,"C","D"))))</f>
        <v>A</v>
      </c>
      <c r="AB281" s="9" t="inlineStr">
        <is>
          <t>2026-07-31</t>
        </is>
      </c>
    </row>
    <row r="282" ht="15" customHeight="1">
      <c r="A282" s="9" t="n">
        <v>281</v>
      </c>
      <c r="B282" s="10" t="inlineStr">
        <is>
          <t>LPTH</t>
        </is>
      </c>
      <c r="C282" s="11" t="inlineStr">
        <is>
          <t>—</t>
        </is>
      </c>
      <c r="D282" s="11" t="inlineStr">
        <is>
          <t>LightPath Technologies, Inc.</t>
        </is>
      </c>
      <c r="E282" s="11" t="inlineStr">
        <is>
          <t>D9 光模塊上游</t>
        </is>
      </c>
      <c r="F282" s="9" t="inlineStr">
        <is>
          <t>USD</t>
        </is>
      </c>
      <c r="G282" s="11" t="inlineStr">
        <is>
          <t>25Q1 / 25Q2 / 25Q3 / 25Q4 / 26Q1</t>
        </is>
      </c>
      <c r="H282" s="12" t="n">
        <v>9.167627</v>
      </c>
      <c r="I282" s="12" t="n">
        <v>12.209793</v>
      </c>
      <c r="J282" s="12" t="n">
        <v>15.058281</v>
      </c>
      <c r="K282" s="12" t="n">
        <v>16.351652</v>
      </c>
      <c r="L282" s="12" t="n">
        <v>19.149814</v>
      </c>
      <c r="M282" s="13">
        <f>IF(OR(N(H282)=0,L282=""),"",L282/H282-1)</f>
        <v>1.0888517824732618</v>
      </c>
      <c r="N282" s="14" t="n">
        <v>-3.059171</v>
      </c>
      <c r="O282" s="14" t="n">
        <v>-1.21925</v>
      </c>
      <c r="P282" s="14" t="n">
        <v>-1.038486</v>
      </c>
      <c r="Q282" s="14" t="n">
        <v>-0.859042</v>
      </c>
      <c r="R282" s="13">
        <f>IF(OR(N(L282)=0,Q282=""),"",Q282/L282)</f>
        <v>-0.044859025784793526</v>
      </c>
      <c r="S282" s="14" t="n">
        <v>6.956283</v>
      </c>
      <c r="T282" s="13">
        <f>IF(OR(N(L282)=0,S282=""),"",S282/L282)</f>
        <v>0.3632559042087824</v>
      </c>
      <c r="U282" s="14" t="n">
        <v>-4.106287</v>
      </c>
      <c r="V282" s="13">
        <f>IF(OR(N(L282)=0,U282=""),"",U282/L282)</f>
        <v>-0.2144296022927429</v>
      </c>
      <c r="W282" s="14" t="n">
        <v>37.20263</v>
      </c>
      <c r="X282" s="14" t="n">
        <v>-10.163102</v>
      </c>
      <c r="Y282" s="13">
        <f>IF(OR(N(W282)=0,X282=""),"",X282/W282)</f>
        <v>-0.2731823529680563</v>
      </c>
      <c r="Z282" s="11" t="str">
        <f>IF(AA282="A","四季持續盈利",IF(AA282="B","最新季為正/波動",IF(AA282="C","虧損收窄",IF(AA282="D","虧損擴大或轉虧","數據不足"))))</f>
        <v>虧損收窄</v>
      </c>
      <c r="AA282" s="9" t="str">
        <f>IF(COUNT(N282:Q282)&lt;4,"—",IF(MIN(N282:Q282)&gt;0,"A",IF(Q282&gt;0,"B",IF(Q282&gt;N282,"C","D"))))</f>
        <v>C</v>
      </c>
      <c r="AB282" s="9" t="inlineStr">
        <is>
          <t>2026-03-31</t>
        </is>
      </c>
    </row>
    <row r="283" ht="15" customHeight="1">
      <c r="A283" s="9" t="n">
        <v>282</v>
      </c>
      <c r="B283" s="10" t="inlineStr">
        <is>
          <t>LRCX</t>
        </is>
      </c>
      <c r="C283" s="11" t="inlineStr">
        <is>
          <t>半導體設備</t>
        </is>
      </c>
      <c r="D283" s="11" t="inlineStr">
        <is>
          <t>Lam Research Corporation</t>
        </is>
      </c>
      <c r="E283" s="11" t="inlineStr">
        <is>
          <t>B2 半導體前段設備</t>
        </is>
      </c>
      <c r="F283" s="9" t="inlineStr">
        <is>
          <t>USD</t>
        </is>
      </c>
      <c r="G283" s="11" t="inlineStr">
        <is>
          <t>25Q2 / 25Q3 / 25Q4 / 26Q1 / 26Q2</t>
        </is>
      </c>
      <c r="H283" s="12" t="n">
        <v>5171.393</v>
      </c>
      <c r="I283" s="12" t="n">
        <v>5324.173</v>
      </c>
      <c r="J283" s="12" t="n">
        <v>5344.791</v>
      </c>
      <c r="K283" s="12" t="n">
        <v>5841.488</v>
      </c>
      <c r="L283" s="12" t="n">
        <v>6722.238</v>
      </c>
      <c r="M283" s="13">
        <f>IF(OR(N(H283)=0,L283=""),"",L283/H283-1)</f>
        <v>0.29988921747003183</v>
      </c>
      <c r="N283" s="14" t="n">
        <v>1829.088</v>
      </c>
      <c r="O283" s="14" t="n">
        <v>1810.203</v>
      </c>
      <c r="P283" s="14" t="n">
        <v>2047.016</v>
      </c>
      <c r="Q283" s="14" t="n">
        <v>2513.488</v>
      </c>
      <c r="R283" s="13">
        <f>IF(OR(N(L283)=0,Q283=""),"",Q283/L283)</f>
        <v>0.3739064281865652</v>
      </c>
      <c r="S283" s="14" t="n">
        <v>3478.74</v>
      </c>
      <c r="T283" s="13">
        <f>IF(OR(N(L283)=0,S283=""),"",S283/L283)</f>
        <v>0.5174972977749374</v>
      </c>
      <c r="U283" s="14" t="n">
        <v>2277.282</v>
      </c>
      <c r="V283" s="13">
        <f>IF(OR(N(L283)=0,U283=""),"",U283/L283)</f>
        <v>0.3387684280145987</v>
      </c>
      <c r="W283" s="14" t="n">
        <v>23232.69</v>
      </c>
      <c r="X283" s="14" t="n">
        <v>8199.795</v>
      </c>
      <c r="Y283" s="13">
        <f>IF(OR(N(W283)=0,X283=""),"",X283/W283)</f>
        <v>0.35294212594409</v>
      </c>
      <c r="Z283" s="11" t="str">
        <f>IF(AA283="A","四季持續盈利",IF(AA283="B","最新季為正/波動",IF(AA283="C","虧損收窄",IF(AA283="D","虧損擴大或轉虧","數據不足"))))</f>
        <v>四季持續盈利</v>
      </c>
      <c r="AA283" s="9" t="str">
        <f>IF(COUNT(N283:Q283)&lt;4,"—",IF(MIN(N283:Q283)&gt;0,"A",IF(Q283&gt;0,"B",IF(Q283&gt;N283,"C","D"))))</f>
        <v>A</v>
      </c>
      <c r="AB283" s="9" t="inlineStr">
        <is>
          <t>2026-06-30</t>
        </is>
      </c>
    </row>
    <row r="284" ht="15" customHeight="1">
      <c r="A284" s="9" t="n">
        <v>283</v>
      </c>
      <c r="B284" s="10" t="inlineStr">
        <is>
          <t>LRN</t>
        </is>
      </c>
      <c r="C284" s="11" t="inlineStr">
        <is>
          <t>教育與消費服務</t>
        </is>
      </c>
      <c r="D284" s="11" t="inlineStr">
        <is>
          <t>Stride, Inc.</t>
        </is>
      </c>
      <c r="E284" s="11" t="inlineStr">
        <is>
          <t>Education &amp; Training Services</t>
        </is>
      </c>
      <c r="F284" s="9" t="inlineStr">
        <is>
          <t>USD</t>
        </is>
      </c>
      <c r="G284" s="11" t="inlineStr">
        <is>
          <t>25Q2 / 25Q3 / 25Q4 / 26Q1 / 26Q2</t>
        </is>
      </c>
      <c r="H284" s="12" t="n">
        <v>653.647</v>
      </c>
      <c r="I284" s="12" t="n">
        <v>620.884</v>
      </c>
      <c r="J284" s="12" t="n">
        <v>631.261</v>
      </c>
      <c r="K284" s="12" t="n">
        <v>629.873</v>
      </c>
      <c r="L284" s="12" t="n">
        <v>636.064</v>
      </c>
      <c r="M284" s="13">
        <f>IF(OR(N(H284)=0,L284=""),"",L284/H284-1)</f>
        <v>-0.026899840433751043</v>
      </c>
      <c r="N284" s="14" t="n">
        <v>68.983</v>
      </c>
      <c r="O284" s="14" t="n">
        <v>146.852</v>
      </c>
      <c r="P284" s="14" t="n">
        <v>129.08</v>
      </c>
      <c r="Q284" s="14" t="n">
        <v>105.852</v>
      </c>
      <c r="R284" s="13">
        <f>IF(OR(N(L284)=0,Q284=""),"",Q284/L284)</f>
        <v>0.16641721587764755</v>
      </c>
      <c r="S284" s="14" t="n">
        <v>217.282</v>
      </c>
      <c r="T284" s="13">
        <f>IF(OR(N(L284)=0,S284=""),"",S284/L284)</f>
        <v>0.34160398953564425</v>
      </c>
      <c r="U284" s="14" t="n">
        <v>81.38800000000001</v>
      </c>
      <c r="V284" s="13">
        <f>IF(OR(N(L284)=0,U284=""),"",U284/L284)</f>
        <v>0.12795567741610908</v>
      </c>
      <c r="W284" s="14" t="n">
        <v>2518.081</v>
      </c>
      <c r="X284" s="14" t="n">
        <v>450.767</v>
      </c>
      <c r="Y284" s="13">
        <f>IF(OR(N(W284)=0,X284=""),"",X284/W284)</f>
        <v>0.1790121127954184</v>
      </c>
      <c r="Z284" s="11" t="str">
        <f>IF(AA284="A","四季持續盈利",IF(AA284="B","最新季為正/波動",IF(AA284="C","虧損收窄",IF(AA284="D","虧損擴大或轉虧","數據不足"))))</f>
        <v>四季持續盈利</v>
      </c>
      <c r="AA284" s="9" t="str">
        <f>IF(COUNT(N284:Q284)&lt;4,"—",IF(MIN(N284:Q284)&gt;0,"A",IF(Q284&gt;0,"B",IF(Q284&gt;N284,"C","D"))))</f>
        <v>A</v>
      </c>
      <c r="AB284" s="9" t="inlineStr">
        <is>
          <t>2026-06-30</t>
        </is>
      </c>
    </row>
    <row r="285" ht="15" customHeight="1">
      <c r="A285" s="9" t="n">
        <v>284</v>
      </c>
      <c r="B285" s="10" t="inlineStr">
        <is>
          <t>LULU</t>
        </is>
      </c>
      <c r="C285" s="11" t="inlineStr">
        <is>
          <t>服裝與奢侈品</t>
        </is>
      </c>
      <c r="D285" s="11" t="inlineStr">
        <is>
          <t>lululemon athletica inc.</t>
        </is>
      </c>
      <c r="E285" s="11" t="inlineStr">
        <is>
          <t>Apparel Retail</t>
        </is>
      </c>
      <c r="F285" s="9" t="inlineStr">
        <is>
          <t>USD</t>
        </is>
      </c>
      <c r="G285" s="11" t="inlineStr">
        <is>
          <t>25Q3 / 25Q4 / 26Q1 / 26Q2 / 26Q3</t>
        </is>
      </c>
      <c r="H285" s="12" t="n">
        <v>2525.219</v>
      </c>
      <c r="I285" s="12" t="n">
        <v>2565.92</v>
      </c>
      <c r="J285" s="12" t="n">
        <v>3640.801</v>
      </c>
      <c r="K285" s="12" t="n">
        <v>2471.603</v>
      </c>
      <c r="L285" s="12" t="n">
        <v>2415.631</v>
      </c>
      <c r="M285" s="13">
        <f>IF(OR(N(H285)=0,L285=""),"",L285/H285-1)</f>
        <v>-0.043397424144203</v>
      </c>
      <c r="N285" s="14" t="n">
        <v>435.886</v>
      </c>
      <c r="O285" s="14" t="n">
        <v>812.29</v>
      </c>
      <c r="P285" s="14" t="n">
        <v>276.946</v>
      </c>
      <c r="Q285" s="14" t="n">
        <v>453.653</v>
      </c>
      <c r="R285" s="13">
        <f>IF(OR(N(L285)=0,Q285=""),"",Q285/L285)</f>
        <v>0.18779896432857504</v>
      </c>
      <c r="S285" s="14" t="n">
        <v>1461.878</v>
      </c>
      <c r="T285" s="13">
        <f>IF(OR(N(L285)=0,S285=""),"",S285/L285)</f>
        <v>0.6051743830080009</v>
      </c>
      <c r="U285" s="14" t="n">
        <v>329.223</v>
      </c>
      <c r="V285" s="13">
        <f>IF(OR(N(L285)=0,U285=""),"",U285/L285)</f>
        <v>0.13628861361689762</v>
      </c>
      <c r="W285" s="14" t="n">
        <v>11102.6</v>
      </c>
      <c r="X285" s="14" t="n">
        <v>2210.615</v>
      </c>
      <c r="Y285" s="13">
        <f>IF(OR(N(W285)=0,X285=""),"",X285/W285)</f>
        <v>0.19910786662583535</v>
      </c>
      <c r="Z285" s="11" t="str">
        <f>IF(AA285="A","四季持續盈利",IF(AA285="B","最新季為正/波動",IF(AA285="C","虧損收窄",IF(AA285="D","虧損擴大或轉虧","數據不足"))))</f>
        <v>四季持續盈利</v>
      </c>
      <c r="AA285" s="9" t="str">
        <f>IF(COUNT(N285:Q285)&lt;4,"—",IF(MIN(N285:Q285)&gt;0,"A",IF(Q285&gt;0,"B",IF(Q285&gt;N285,"C","D"))))</f>
        <v>A</v>
      </c>
      <c r="AB285" s="9" t="inlineStr">
        <is>
          <t>2026-07-31</t>
        </is>
      </c>
    </row>
    <row r="286" ht="15" customHeight="1">
      <c r="A286" s="9" t="n">
        <v>285</v>
      </c>
      <c r="B286" s="10" t="inlineStr">
        <is>
          <t>LUNR</t>
        </is>
      </c>
      <c r="C286" s="11" t="inlineStr">
        <is>
          <t>太空與衛星</t>
        </is>
      </c>
      <c r="D286" s="11" t="inlineStr">
        <is>
          <t>Intuitive Machines, Inc.</t>
        </is>
      </c>
      <c r="E286" s="11" t="inlineStr">
        <is>
          <t>Aerospace &amp; Defense</t>
        </is>
      </c>
      <c r="F286" s="9" t="inlineStr">
        <is>
          <t>USD</t>
        </is>
      </c>
      <c r="G286" s="11" t="inlineStr">
        <is>
          <t>25Q2 / 25Q3 / 25Q4 / 26Q1 / 26Q2</t>
        </is>
      </c>
      <c r="H286" s="12" t="n">
        <v>50.313</v>
      </c>
      <c r="I286" s="12" t="n">
        <v>50.987</v>
      </c>
      <c r="J286" s="12" t="n">
        <v>43.308</v>
      </c>
      <c r="K286" s="12" t="n">
        <v>183.63</v>
      </c>
      <c r="L286" s="12" t="n">
        <v>203.412</v>
      </c>
      <c r="M286" s="13">
        <f>IF(OR(N(H286)=0,L286=""),"",L286/H286-1)</f>
        <v>3.042931250372667</v>
      </c>
      <c r="N286" s="14" t="n">
        <v>-15.419</v>
      </c>
      <c r="O286" s="14" t="n">
        <v>-33.095</v>
      </c>
      <c r="P286" s="14" t="n">
        <v>-39.201</v>
      </c>
      <c r="Q286" s="14" t="n">
        <v>-47.136</v>
      </c>
      <c r="R286" s="13">
        <f>IF(OR(N(L286)=0,Q286=""),"",Q286/L286)</f>
        <v>-0.23172674178514543</v>
      </c>
      <c r="S286" s="14" t="n">
        <v>33.11</v>
      </c>
      <c r="T286" s="13">
        <f>IF(OR(N(L286)=0,S286=""),"",S286/L286)</f>
        <v>0.16277309106640708</v>
      </c>
      <c r="U286" s="14" t="n">
        <v>-46.445</v>
      </c>
      <c r="V286" s="13">
        <f>IF(OR(N(L286)=0,U286=""),"",U286/L286)</f>
        <v>-0.2283296953965351</v>
      </c>
      <c r="W286" s="14" t="n">
        <v>207.132</v>
      </c>
      <c r="X286" s="14" t="n">
        <v>-87.23099999999999</v>
      </c>
      <c r="Y286" s="13">
        <f>IF(OR(N(W286)=0,X286=""),"",X286/W286)</f>
        <v>-0.4211372458142633</v>
      </c>
      <c r="Z286" s="11" t="str">
        <f>IF(AA286="A","四季持續盈利",IF(AA286="B","最新季為正/波動",IF(AA286="C","虧損收窄",IF(AA286="D","虧損擴大或轉虧","數據不足"))))</f>
        <v>虧損擴大或轉虧</v>
      </c>
      <c r="AA286" s="9" t="str">
        <f>IF(COUNT(N286:Q286)&lt;4,"—",IF(MIN(N286:Q286)&gt;0,"A",IF(Q286&gt;0,"B",IF(Q286&gt;N286,"C","D"))))</f>
        <v>D</v>
      </c>
      <c r="AB286" s="9" t="inlineStr">
        <is>
          <t>2026-06-30</t>
        </is>
      </c>
    </row>
    <row r="287" ht="15" customHeight="1">
      <c r="A287" s="9" t="n">
        <v>286</v>
      </c>
      <c r="B287" s="10" t="inlineStr">
        <is>
          <t>LUV</t>
        </is>
      </c>
      <c r="C287" s="11" t="inlineStr">
        <is>
          <t>航空公司</t>
        </is>
      </c>
      <c r="D287" s="11" t="inlineStr">
        <is>
          <t>Southwest Airlines Co.</t>
        </is>
      </c>
      <c r="E287" s="11" t="inlineStr">
        <is>
          <t>Airlines</t>
        </is>
      </c>
      <c r="F287" s="9" t="inlineStr">
        <is>
          <t>USD</t>
        </is>
      </c>
      <c r="G287" s="11" t="inlineStr">
        <is>
          <t>25Q2 / 25Q3 / 25Q4 / 26Q1 / 26Q2</t>
        </is>
      </c>
      <c r="H287" s="12" t="n">
        <v>7244</v>
      </c>
      <c r="I287" s="12" t="n">
        <v>6949</v>
      </c>
      <c r="J287" s="12" t="n">
        <v>7442</v>
      </c>
      <c r="K287" s="12" t="n">
        <v>7249</v>
      </c>
      <c r="L287" s="12" t="n">
        <v>8432</v>
      </c>
      <c r="M287" s="13">
        <f>IF(OR(N(H287)=0,L287=""),"",L287/H287-1)</f>
        <v>0.16399779127553837</v>
      </c>
      <c r="N287" s="14" t="n">
        <v>35</v>
      </c>
      <c r="O287" s="14" t="n">
        <v>391</v>
      </c>
      <c r="P287" s="14" t="n">
        <v>330</v>
      </c>
      <c r="Q287" s="14" t="n">
        <v>285</v>
      </c>
      <c r="R287" s="13">
        <f>IF(OR(N(L287)=0,Q287=""),"",Q287/L287)</f>
        <v>0.033799810246679315</v>
      </c>
      <c r="S287" s="14" t="n">
        <v>1386</v>
      </c>
      <c r="T287" s="13">
        <f>IF(OR(N(L287)=0,S287=""),"",S287/L287)</f>
        <v>0.16437381404174572</v>
      </c>
      <c r="U287" s="14" t="n">
        <v>233</v>
      </c>
      <c r="V287" s="13">
        <f>IF(OR(N(L287)=0,U287=""),"",U287/L287)</f>
        <v>0.02763282732447818</v>
      </c>
      <c r="W287" s="14" t="n">
        <v>28063</v>
      </c>
      <c r="X287" s="14" t="n">
        <v>428</v>
      </c>
      <c r="Y287" s="13">
        <f>IF(OR(N(W287)=0,X287=""),"",X287/W287)</f>
        <v>0.015251398638777038</v>
      </c>
      <c r="Z287" s="11" t="str">
        <f>IF(AA287="A","四季持續盈利",IF(AA287="B","最新季為正/波動",IF(AA287="C","虧損收窄",IF(AA287="D","虧損擴大或轉虧","數據不足"))))</f>
        <v>四季持續盈利</v>
      </c>
      <c r="AA287" s="9" t="str">
        <f>IF(COUNT(N287:Q287)&lt;4,"—",IF(MIN(N287:Q287)&gt;0,"A",IF(Q287&gt;0,"B",IF(Q287&gt;N287,"C","D"))))</f>
        <v>A</v>
      </c>
      <c r="AB287" s="9" t="inlineStr">
        <is>
          <t>2026-06-30</t>
        </is>
      </c>
    </row>
    <row r="288" ht="15" customHeight="1">
      <c r="A288" s="9" t="n">
        <v>287</v>
      </c>
      <c r="B288" s="10" t="inlineStr">
        <is>
          <t>LVS</t>
        </is>
      </c>
      <c r="C288" s="11" t="inlineStr">
        <is>
          <t>博彩與線上博彩</t>
        </is>
      </c>
      <c r="D288" s="11" t="inlineStr">
        <is>
          <t>Las Vegas Sands Corp.</t>
        </is>
      </c>
      <c r="E288" s="11" t="inlineStr">
        <is>
          <t>Resorts &amp; Casinos</t>
        </is>
      </c>
      <c r="F288" s="9" t="inlineStr">
        <is>
          <t>USD</t>
        </is>
      </c>
      <c r="G288" s="11" t="inlineStr">
        <is>
          <t>25Q2 / 25Q3 / 25Q4 / 26Q1 / 26Q2</t>
        </is>
      </c>
      <c r="H288" s="12" t="n">
        <v>3175</v>
      </c>
      <c r="I288" s="12" t="n">
        <v>3331</v>
      </c>
      <c r="J288" s="12" t="n">
        <v>3649</v>
      </c>
      <c r="K288" s="12" t="n">
        <v>3585</v>
      </c>
      <c r="L288" s="12" t="n">
        <v>3154</v>
      </c>
      <c r="M288" s="13">
        <f>IF(OR(N(H288)=0,L288=""),"",L288/H288-1)</f>
        <v>-0.006614173228346454</v>
      </c>
      <c r="N288" s="14" t="n">
        <v>794</v>
      </c>
      <c r="O288" s="14" t="n">
        <v>875</v>
      </c>
      <c r="P288" s="14" t="n">
        <v>916</v>
      </c>
      <c r="Q288" s="14" t="n">
        <v>625</v>
      </c>
      <c r="R288" s="13">
        <f>IF(OR(N(L288)=0,Q288=""),"",Q288/L288)</f>
        <v>0.19816106531388714</v>
      </c>
      <c r="S288" s="14" t="n">
        <v>1480</v>
      </c>
      <c r="T288" s="13">
        <f>IF(OR(N(L288)=0,S288=""),"",S288/L288)</f>
        <v>0.46924540266328474</v>
      </c>
      <c r="U288" s="14" t="n">
        <v>346</v>
      </c>
      <c r="V288" s="13">
        <f>IF(OR(N(L288)=0,U288=""),"",U288/L288)</f>
        <v>0.10970196575776792</v>
      </c>
      <c r="W288" s="14" t="n">
        <v>13017</v>
      </c>
      <c r="X288" s="14" t="n">
        <v>3089</v>
      </c>
      <c r="Y288" s="13">
        <f>IF(OR(N(W288)=0,X288=""),"",X288/W288)</f>
        <v>0.23730506261043252</v>
      </c>
      <c r="Z288" s="11" t="str">
        <f>IF(AA288="A","四季持續盈利",IF(AA288="B","最新季為正/波動",IF(AA288="C","虧損收窄",IF(AA288="D","虧損擴大或轉虧","數據不足"))))</f>
        <v>四季持續盈利</v>
      </c>
      <c r="AA288" s="9" t="str">
        <f>IF(COUNT(N288:Q288)&lt;4,"—",IF(MIN(N288:Q288)&gt;0,"A",IF(Q288&gt;0,"B",IF(Q288&gt;N288,"C","D"))))</f>
        <v>A</v>
      </c>
      <c r="AB288" s="9" t="inlineStr">
        <is>
          <t>2026-06-30</t>
        </is>
      </c>
    </row>
    <row r="289" ht="15" customHeight="1">
      <c r="A289" s="9" t="n">
        <v>288</v>
      </c>
      <c r="B289" s="10" t="inlineStr">
        <is>
          <t>LWLG</t>
        </is>
      </c>
      <c r="C289" s="11" t="inlineStr">
        <is>
          <t>—</t>
        </is>
      </c>
      <c r="D289" s="11" t="inlineStr">
        <is>
          <t>Lightwave Logic, Inc.</t>
        </is>
      </c>
      <c r="E289" s="11" t="inlineStr">
        <is>
          <t>D2 矽光</t>
        </is>
      </c>
      <c r="F289" s="9" t="inlineStr">
        <is>
          <t>USD</t>
        </is>
      </c>
      <c r="G289" s="11" t="inlineStr">
        <is>
          <t>25Q2 / 25Q3 / 25Q4 / 26Q1 / 26Q2</t>
        </is>
      </c>
      <c r="H289" s="12" t="n">
        <v>0.025605</v>
      </c>
      <c r="I289" s="12" t="n">
        <v>0.029166</v>
      </c>
      <c r="J289" s="12" t="n">
        <v>0.159167</v>
      </c>
      <c r="K289" s="12" t="n">
        <v>0.029167</v>
      </c>
      <c r="L289" s="12" t="n">
        <v>0.032751</v>
      </c>
      <c r="M289" s="13">
        <f>IF(OR(N(H289)=0,L289=""),"",L289/H289-1)</f>
        <v>0.2790861159929703</v>
      </c>
      <c r="N289" s="14" t="n">
        <v>-5.179146</v>
      </c>
      <c r="O289" s="14" t="n">
        <v>-5.071215</v>
      </c>
      <c r="P289" s="14" t="n">
        <v>-6.72533</v>
      </c>
      <c r="Q289" s="14" t="n">
        <v>-7.26914</v>
      </c>
      <c r="R289" s="13">
        <f>IF(OR(N(L289)=0,Q289=""),"",Q289/L289)</f>
        <v>-221.95169613141582</v>
      </c>
      <c r="S289" s="14" t="n">
        <v>0.032751</v>
      </c>
      <c r="T289" s="13">
        <f>IF(OR(N(L289)=0,S289=""),"",S289/L289)</f>
        <v>1.0</v>
      </c>
      <c r="U289" s="14" t="n">
        <v>-6.613797</v>
      </c>
      <c r="V289" s="13">
        <f>IF(OR(N(L289)=0,U289=""),"",U289/L289)</f>
        <v>-201.94183383713474</v>
      </c>
      <c r="W289" s="14" t="n">
        <v>0.236855</v>
      </c>
      <c r="X289" s="14" t="n">
        <v>-20.761424</v>
      </c>
      <c r="Y289" s="13">
        <f>IF(OR(N(W289)=0,X289=""),"",X289/W289)</f>
        <v>-87.65457347322202</v>
      </c>
      <c r="Z289" s="11" t="str">
        <f>IF(AA289="A","四季持續盈利",IF(AA289="B","最新季為正/波動",IF(AA289="C","虧損收窄",IF(AA289="D","虧損擴大或轉虧","數據不足"))))</f>
        <v>虧損擴大或轉虧</v>
      </c>
      <c r="AA289" s="9" t="str">
        <f>IF(COUNT(N289:Q289)&lt;4,"—",IF(MIN(N289:Q289)&gt;0,"A",IF(Q289&gt;0,"B",IF(Q289&gt;N289,"C","D"))))</f>
        <v>D</v>
      </c>
      <c r="AB289" s="9" t="inlineStr">
        <is>
          <t>2026-06-30</t>
        </is>
      </c>
    </row>
    <row r="290" ht="15" customHeight="1">
      <c r="A290" s="9" t="n">
        <v>289</v>
      </c>
      <c r="B290" s="10" t="inlineStr">
        <is>
          <t>LYB</t>
        </is>
      </c>
      <c r="C290" s="11" t="inlineStr">
        <is>
          <t>基礎化工與化肥</t>
        </is>
      </c>
      <c r="D290" s="11" t="inlineStr">
        <is>
          <t>LyondellBasell Industries N.V.</t>
        </is>
      </c>
      <c r="E290" s="11" t="inlineStr">
        <is>
          <t>Specialty Chemicals</t>
        </is>
      </c>
      <c r="F290" s="9" t="inlineStr">
        <is>
          <t>USD</t>
        </is>
      </c>
      <c r="G290" s="11" t="inlineStr">
        <is>
          <t>25Q2 / 25Q3 / 25Q4 / 26Q1 / 26Q2</t>
        </is>
      </c>
      <c r="H290" s="12" t="n">
        <v>7658</v>
      </c>
      <c r="I290" s="12" t="n">
        <v>7727</v>
      </c>
      <c r="J290" s="12" t="n">
        <v>7091</v>
      </c>
      <c r="K290" s="12" t="n">
        <v>7197</v>
      </c>
      <c r="L290" s="12" t="n">
        <v>9177</v>
      </c>
      <c r="M290" s="13">
        <f>IF(OR(N(H290)=0,L290=""),"",L290/H290-1)</f>
        <v>0.19835466179159056</v>
      </c>
      <c r="N290" s="14" t="n">
        <v>471</v>
      </c>
      <c r="O290" s="14" t="n">
        <v>-71</v>
      </c>
      <c r="P290" s="14" t="n">
        <v>254</v>
      </c>
      <c r="Q290" s="14" t="n">
        <v>1617</v>
      </c>
      <c r="R290" s="13">
        <f>IF(OR(N(L290)=0,Q290=""),"",Q290/L290)</f>
        <v>0.17620137299771166</v>
      </c>
      <c r="S290" s="14" t="n">
        <v>2038</v>
      </c>
      <c r="T290" s="13">
        <f>IF(OR(N(L290)=0,S290=""),"",S290/L290)</f>
        <v>0.2220769314590825</v>
      </c>
      <c r="U290" s="14" t="n">
        <v>558</v>
      </c>
      <c r="V290" s="13">
        <f>IF(OR(N(L290)=0,U290=""),"",U290/L290)</f>
        <v>0.06080418437397842</v>
      </c>
      <c r="W290" s="14" t="n">
        <v>30153</v>
      </c>
      <c r="X290" s="14" t="n">
        <v>831</v>
      </c>
      <c r="Y290" s="13">
        <f>IF(OR(N(W290)=0,X290=""),"",X290/W290)</f>
        <v>0.02755944682121182</v>
      </c>
      <c r="Z290" s="11" t="str">
        <f>IF(AA290="A","四季持續盈利",IF(AA290="B","最新季為正/波動",IF(AA290="C","虧損收窄",IF(AA290="D","虧損擴大或轉虧","數據不足"))))</f>
        <v>最新季為正/波動</v>
      </c>
      <c r="AA290" s="9" t="str">
        <f>IF(COUNT(N290:Q290)&lt;4,"—",IF(MIN(N290:Q290)&gt;0,"A",IF(Q290&gt;0,"B",IF(Q290&gt;N290,"C","D"))))</f>
        <v>B</v>
      </c>
      <c r="AB290" s="9" t="inlineStr">
        <is>
          <t>2026-06-30</t>
        </is>
      </c>
    </row>
    <row r="291" ht="15" customHeight="1">
      <c r="A291" s="9" t="n">
        <v>290</v>
      </c>
      <c r="B291" s="10" t="inlineStr">
        <is>
          <t>LYV</t>
        </is>
      </c>
      <c r="C291" s="11" t="inlineStr">
        <is>
          <t>傳媒與娛樂內容</t>
        </is>
      </c>
      <c r="D291" s="11" t="inlineStr">
        <is>
          <t>Live Nation Entertainment, Inc.</t>
        </is>
      </c>
      <c r="E291" s="11" t="inlineStr">
        <is>
          <t>Entertainment</t>
        </is>
      </c>
      <c r="F291" s="9" t="inlineStr">
        <is>
          <t>USD</t>
        </is>
      </c>
      <c r="G291" s="11" t="inlineStr">
        <is>
          <t>25Q2 / 25Q3 / 25Q4 / 26Q1 / 26Q2</t>
        </is>
      </c>
      <c r="H291" s="12" t="n">
        <v>7006.641</v>
      </c>
      <c r="I291" s="12" t="n">
        <v>8499.143</v>
      </c>
      <c r="J291" s="12" t="n">
        <v>6313.505</v>
      </c>
      <c r="K291" s="12" t="n">
        <v>3793.029</v>
      </c>
      <c r="L291" s="12" t="n">
        <v>7666.858</v>
      </c>
      <c r="M291" s="13">
        <f>IF(OR(N(H291)=0,L291=""),"",L291/H291-1)</f>
        <v>0.09422731948161767</v>
      </c>
      <c r="N291" s="14" t="n">
        <v>777.6</v>
      </c>
      <c r="O291" s="14" t="n">
        <v>-143.275</v>
      </c>
      <c r="P291" s="14" t="n">
        <v>-376.538</v>
      </c>
      <c r="Q291" s="14" t="n">
        <v>513.401</v>
      </c>
      <c r="R291" s="13">
        <f>IF(OR(N(L291)=0,Q291=""),"",Q291/L291)</f>
        <v>0.066963676645635</v>
      </c>
      <c r="S291" s="14" t="n">
        <v>1942.642</v>
      </c>
      <c r="T291" s="13">
        <f>IF(OR(N(L291)=0,S291=""),"",S291/L291)</f>
        <v>0.2533817634290344</v>
      </c>
      <c r="U291" s="14" t="n">
        <v>294.446</v>
      </c>
      <c r="V291" s="13">
        <f>IF(OR(N(L291)=0,U291=""),"",U291/L291)</f>
        <v>0.03840504154374583</v>
      </c>
      <c r="W291" s="14" t="n">
        <v>25201.406</v>
      </c>
      <c r="X291" s="14" t="n">
        <v>1232.689</v>
      </c>
      <c r="Y291" s="13">
        <f>IF(OR(N(W291)=0,X291=""),"",X291/W291)</f>
        <v>0.04891350109593092</v>
      </c>
      <c r="Z291" s="11" t="str">
        <f>IF(AA291="A","四季持續盈利",IF(AA291="B","最新季為正/波動",IF(AA291="C","虧損收窄",IF(AA291="D","虧損擴大或轉虧","數據不足"))))</f>
        <v>最新季為正/波動</v>
      </c>
      <c r="AA291" s="9" t="str">
        <f>IF(COUNT(N291:Q291)&lt;4,"—",IF(MIN(N291:Q291)&gt;0,"A",IF(Q291&gt;0,"B",IF(Q291&gt;N291,"C","D"))))</f>
        <v>B</v>
      </c>
      <c r="AB291" s="9" t="inlineStr">
        <is>
          <t>2026-06-30</t>
        </is>
      </c>
    </row>
    <row r="292" ht="15" customHeight="1">
      <c r="A292" s="9" t="n">
        <v>291</v>
      </c>
      <c r="B292" s="10" t="inlineStr">
        <is>
          <t>MA</t>
        </is>
      </c>
      <c r="C292" s="11" t="inlineStr">
        <is>
          <t>支付與收單</t>
        </is>
      </c>
      <c r="D292" s="11" t="inlineStr">
        <is>
          <t>Mastercard Incorporated</t>
        </is>
      </c>
      <c r="E292" s="11" t="inlineStr">
        <is>
          <t>Credit Services</t>
        </is>
      </c>
      <c r="F292" s="9" t="inlineStr">
        <is>
          <t>USD</t>
        </is>
      </c>
      <c r="G292" s="11" t="inlineStr">
        <is>
          <t>25Q2 / 25Q3 / 25Q4 / 26Q1 / 26Q2</t>
        </is>
      </c>
      <c r="H292" s="12" t="n">
        <v>8133</v>
      </c>
      <c r="I292" s="12" t="n">
        <v>8602</v>
      </c>
      <c r="J292" s="12" t="n">
        <v>8806</v>
      </c>
      <c r="K292" s="12" t="n">
        <v>8398</v>
      </c>
      <c r="L292" s="12" t="n">
        <v>9277</v>
      </c>
      <c r="M292" s="13">
        <f>IF(OR(N(H292)=0,L292=""),"",L292/H292-1)</f>
        <v>0.14066150252059506</v>
      </c>
      <c r="N292" s="14" t="n">
        <v>5170</v>
      </c>
      <c r="O292" s="14" t="n">
        <v>5129</v>
      </c>
      <c r="P292" s="14" t="n">
        <v>4965</v>
      </c>
      <c r="Q292" s="14" t="n">
        <v>5728</v>
      </c>
      <c r="R292" s="13">
        <f>IF(OR(N(L292)=0,Q292=""),"",Q292/L292)</f>
        <v>0.6174409830764256</v>
      </c>
      <c r="S292" s="14" t="n">
        <v>7330</v>
      </c>
      <c r="T292" s="13">
        <f>IF(OR(N(L292)=0,S292=""),"",S292/L292)</f>
        <v>0.7901261183572276</v>
      </c>
      <c r="U292" s="14" t="n">
        <v>4388</v>
      </c>
      <c r="V292" s="13">
        <f>IF(OR(N(L292)=0,U292=""),"",U292/L292)</f>
        <v>0.47299773633717795</v>
      </c>
      <c r="W292" s="14" t="n">
        <v>32791</v>
      </c>
      <c r="X292" s="14" t="n">
        <v>19514</v>
      </c>
      <c r="Y292" s="13">
        <f>IF(OR(N(W292)=0,X292=""),"",X292/W292)</f>
        <v>0.5951023146595102</v>
      </c>
      <c r="Z292" s="11" t="str">
        <f>IF(AA292="A","四季持續盈利",IF(AA292="B","最新季為正/波動",IF(AA292="C","虧損收窄",IF(AA292="D","虧損擴大或轉虧","數據不足"))))</f>
        <v>四季持續盈利</v>
      </c>
      <c r="AA292" s="9" t="str">
        <f>IF(COUNT(N292:Q292)&lt;4,"—",IF(MIN(N292:Q292)&gt;0,"A",IF(Q292&gt;0,"B",IF(Q292&gt;N292,"C","D"))))</f>
        <v>A</v>
      </c>
      <c r="AB292" s="9" t="inlineStr">
        <is>
          <t>2026-06-30</t>
        </is>
      </c>
    </row>
    <row r="293" ht="15" customHeight="1">
      <c r="A293" s="9" t="n">
        <v>292</v>
      </c>
      <c r="B293" s="10" t="inlineStr">
        <is>
          <t>MAA</t>
        </is>
      </c>
      <c r="C293" s="11" t="inlineStr">
        <is>
          <t>住宅公寓REIT</t>
        </is>
      </c>
      <c r="D293" s="11" t="inlineStr">
        <is>
          <t>Mid-America Apartment Communities, Inc.</t>
        </is>
      </c>
      <c r="E293" s="11" t="inlineStr">
        <is>
          <t>REIT - Residential</t>
        </is>
      </c>
      <c r="F293" s="9" t="inlineStr">
        <is>
          <t>USD</t>
        </is>
      </c>
      <c r="G293" s="11" t="inlineStr">
        <is>
          <t>25Q2 / 25Q3 / 25Q4 / 26Q1 / 26Q2</t>
        </is>
      </c>
      <c r="H293" s="12" t="n">
        <v>549.902</v>
      </c>
      <c r="I293" s="12" t="n">
        <v>554.373</v>
      </c>
      <c r="J293" s="12" t="n">
        <v>555.556</v>
      </c>
      <c r="K293" s="12" t="n">
        <v>553.725</v>
      </c>
      <c r="L293" s="12" t="n">
        <v>555.127</v>
      </c>
      <c r="M293" s="13">
        <f>IF(OR(N(H293)=0,L293=""),"",L293/H293-1)</f>
        <v>0.00950169302893955</v>
      </c>
      <c r="N293" s="14" t="n">
        <v>150.951</v>
      </c>
      <c r="O293" s="14" t="n">
        <v>157.689</v>
      </c>
      <c r="P293" s="14" t="n">
        <v>147.106</v>
      </c>
      <c r="Q293" s="14" t="n">
        <v>140.758</v>
      </c>
      <c r="R293" s="13">
        <f>IF(OR(N(L293)=0,Q293=""),"",Q293/L293)</f>
        <v>0.2535599961810541</v>
      </c>
      <c r="S293" s="14" t="n">
        <v>155.904</v>
      </c>
      <c r="T293" s="13">
        <f>IF(OR(N(L293)=0,S293=""),"",S293/L293)</f>
        <v>0.2808438429404443</v>
      </c>
      <c r="U293" s="14" t="n">
        <v>121.75</v>
      </c>
      <c r="V293" s="13">
        <f>IF(OR(N(L293)=0,U293=""),"",U293/L293)</f>
        <v>0.21931918281762552</v>
      </c>
      <c r="W293" s="14" t="n">
        <v>2209.126</v>
      </c>
      <c r="X293" s="14" t="n">
        <v>619.438</v>
      </c>
      <c r="Y293" s="13">
        <f>IF(OR(N(W293)=0,X293=""),"",X293/W293)</f>
        <v>0.28039957883796574</v>
      </c>
      <c r="Z293" s="11" t="str">
        <f>IF(AA293="A","四季持續盈利",IF(AA293="B","最新季為正/波動",IF(AA293="C","虧損收窄",IF(AA293="D","虧損擴大或轉虧","數據不足"))))</f>
        <v>四季持續盈利</v>
      </c>
      <c r="AA293" s="9" t="str">
        <f>IF(COUNT(N293:Q293)&lt;4,"—",IF(MIN(N293:Q293)&gt;0,"A",IF(Q293&gt;0,"B",IF(Q293&gt;N293,"C","D"))))</f>
        <v>A</v>
      </c>
      <c r="AB293" s="9" t="inlineStr">
        <is>
          <t>2026-06-30</t>
        </is>
      </c>
    </row>
    <row r="294" ht="15" customHeight="1">
      <c r="A294" s="9" t="n">
        <v>293</v>
      </c>
      <c r="B294" s="10" t="inlineStr">
        <is>
          <t>MAN</t>
        </is>
      </c>
      <c r="C294" s="11" t="inlineStr">
        <is>
          <t>人力與商業服務</t>
        </is>
      </c>
      <c r="D294" s="11" t="inlineStr">
        <is>
          <t>ManpowerGroup Inc.</t>
        </is>
      </c>
      <c r="E294" s="11" t="inlineStr">
        <is>
          <t>Staffing &amp; Employment Services</t>
        </is>
      </c>
      <c r="F294" s="9" t="inlineStr">
        <is>
          <t>USD</t>
        </is>
      </c>
      <c r="G294" s="11" t="inlineStr">
        <is>
          <t>25Q2 / 25Q3 / 25Q4 / 26Q1 / 26Q2</t>
        </is>
      </c>
      <c r="H294" s="12" t="n">
        <v>4519.3</v>
      </c>
      <c r="I294" s="12" t="n">
        <v>4634.4</v>
      </c>
      <c r="J294" s="12" t="n">
        <v>4713.1</v>
      </c>
      <c r="K294" s="12" t="n">
        <v>4510.4</v>
      </c>
      <c r="L294" s="12" t="n">
        <v>4860.2</v>
      </c>
      <c r="M294" s="13">
        <f>IF(OR(N(H294)=0,L294=""),"",L294/H294-1)</f>
        <v>0.07543203593476866</v>
      </c>
      <c r="N294" s="14" t="n">
        <v>66.59999999999999</v>
      </c>
      <c r="O294" s="14" t="n">
        <v>80.59999999999999</v>
      </c>
      <c r="P294" s="14" t="n">
        <v>28.3</v>
      </c>
      <c r="Q294" s="14" t="n">
        <v>112</v>
      </c>
      <c r="R294" s="13">
        <f>IF(OR(N(L294)=0,Q294=""),"",Q294/L294)</f>
        <v>0.02304431916382042</v>
      </c>
      <c r="S294" s="14" t="n">
        <v>780.3</v>
      </c>
      <c r="T294" s="13">
        <f>IF(OR(N(L294)=0,S294=""),"",S294/L294)</f>
        <v>0.16054894860293814</v>
      </c>
      <c r="U294" s="14" t="n">
        <v>53.5</v>
      </c>
      <c r="V294" s="13">
        <f>IF(OR(N(L294)=0,U294=""),"",U294/L294)</f>
        <v>0.01100777745771779</v>
      </c>
      <c r="W294" s="14" t="n">
        <v>17957.1</v>
      </c>
      <c r="X294" s="14" t="n">
        <v>238.8</v>
      </c>
      <c r="Y294" s="13">
        <f>IF(OR(N(W294)=0,X294=""),"",X294/W294)</f>
        <v>0.01329836109394056</v>
      </c>
      <c r="Z294" s="11" t="str">
        <f>IF(AA294="A","四季持續盈利",IF(AA294="B","最新季為正/波動",IF(AA294="C","虧損收窄",IF(AA294="D","虧損擴大或轉虧","數據不足"))))</f>
        <v>四季持續盈利</v>
      </c>
      <c r="AA294" s="9" t="str">
        <f>IF(COUNT(N294:Q294)&lt;4,"—",IF(MIN(N294:Q294)&gt;0,"A",IF(Q294&gt;0,"B",IF(Q294&gt;N294,"C","D"))))</f>
        <v>A</v>
      </c>
      <c r="AB294" s="9" t="inlineStr">
        <is>
          <t>2026-06-30</t>
        </is>
      </c>
    </row>
    <row r="295" ht="15" customHeight="1">
      <c r="A295" s="9" t="n">
        <v>294</v>
      </c>
      <c r="B295" s="10" t="inlineStr">
        <is>
          <t>MAR</t>
        </is>
      </c>
      <c r="C295" s="11" t="inlineStr">
        <is>
          <t>酒店與郵輪</t>
        </is>
      </c>
      <c r="D295" s="11" t="inlineStr">
        <is>
          <t>Marriott International, Inc.</t>
        </is>
      </c>
      <c r="E295" s="11" t="inlineStr">
        <is>
          <t>Lodging</t>
        </is>
      </c>
      <c r="F295" s="9" t="inlineStr">
        <is>
          <t>USD</t>
        </is>
      </c>
      <c r="G295" s="11" t="inlineStr">
        <is>
          <t>25Q2 / 25Q3 / 25Q4 / 26Q1 / 26Q2</t>
        </is>
      </c>
      <c r="H295" s="12" t="n">
        <v>6744</v>
      </c>
      <c r="I295" s="12" t="n">
        <v>6489</v>
      </c>
      <c r="J295" s="12" t="n">
        <v>6690</v>
      </c>
      <c r="K295" s="12" t="n">
        <v>6654</v>
      </c>
      <c r="L295" s="12" t="n">
        <v>7071</v>
      </c>
      <c r="M295" s="13">
        <f>IF(OR(N(H295)=0,L295=""),"",L295/H295-1)</f>
        <v>0.048487544483985845</v>
      </c>
      <c r="N295" s="14" t="n">
        <v>1140</v>
      </c>
      <c r="O295" s="14" t="n">
        <v>806</v>
      </c>
      <c r="P295" s="14" t="n">
        <v>1068</v>
      </c>
      <c r="Q295" s="14" t="n">
        <v>1219</v>
      </c>
      <c r="R295" s="13">
        <f>IF(OR(N(L295)=0,Q295=""),"",Q295/L295)</f>
        <v>0.1723942865224155</v>
      </c>
      <c r="S295" s="14" t="n">
        <v>1554</v>
      </c>
      <c r="T295" s="13">
        <f>IF(OR(N(L295)=0,S295=""),"",S295/L295)</f>
        <v>0.21977089520577003</v>
      </c>
      <c r="U295" s="14" t="n">
        <v>766</v>
      </c>
      <c r="V295" s="13">
        <f>IF(OR(N(L295)=0,U295=""),"",U295/L295)</f>
        <v>0.10832979776552114</v>
      </c>
      <c r="W295" s="14" t="n">
        <v>26186</v>
      </c>
      <c r="X295" s="14" t="n">
        <v>4139</v>
      </c>
      <c r="Y295" s="13">
        <f>IF(OR(N(W295)=0,X295=""),"",X295/W295)</f>
        <v>0.1580615596120064</v>
      </c>
      <c r="Z295" s="11" t="str">
        <f>IF(AA295="A","四季持續盈利",IF(AA295="B","最新季為正/波動",IF(AA295="C","虧損收窄",IF(AA295="D","虧損擴大或轉虧","數據不足"))))</f>
        <v>四季持續盈利</v>
      </c>
      <c r="AA295" s="9" t="str">
        <f>IF(COUNT(N295:Q295)&lt;4,"—",IF(MIN(N295:Q295)&gt;0,"A",IF(Q295&gt;0,"B",IF(Q295&gt;N295,"C","D"))))</f>
        <v>A</v>
      </c>
      <c r="AB295" s="9" t="inlineStr">
        <is>
          <t>2026-06-30</t>
        </is>
      </c>
    </row>
    <row r="296" ht="15" customHeight="1">
      <c r="A296" s="9" t="n">
        <v>295</v>
      </c>
      <c r="B296" s="10" t="inlineStr">
        <is>
          <t>MARA</t>
        </is>
      </c>
      <c r="C296" s="11" t="inlineStr">
        <is>
          <t>數位資產金融與礦業轉HPC</t>
        </is>
      </c>
      <c r="D296" s="11" t="inlineStr">
        <is>
          <t>MARA Holdings, Inc.</t>
        </is>
      </c>
      <c r="E296" s="11" t="inlineStr">
        <is>
          <t>Capital Markets</t>
        </is>
      </c>
      <c r="F296" s="9" t="inlineStr">
        <is>
          <t>USD</t>
        </is>
      </c>
      <c r="G296" s="11" t="inlineStr">
        <is>
          <t>25Q2 / 25Q3 / 25Q4 / 26Q1 / 26Q2</t>
        </is>
      </c>
      <c r="H296" s="12" t="n">
        <v>238.485</v>
      </c>
      <c r="I296" s="12" t="n">
        <v>252.41</v>
      </c>
      <c r="J296" s="12" t="n">
        <v>202.314</v>
      </c>
      <c r="K296" s="12" t="n">
        <v>174.614</v>
      </c>
      <c r="L296" s="12" t="n">
        <v>174.881</v>
      </c>
      <c r="M296" s="13">
        <f>IF(OR(N(H296)=0,L296=""),"",L296/H296-1)</f>
        <v>-0.2667002117533598</v>
      </c>
      <c r="N296" s="14" t="n">
        <v>-156.322</v>
      </c>
      <c r="O296" s="14" t="n">
        <v>-331.81</v>
      </c>
      <c r="P296" s="14" t="n">
        <v>-258.089</v>
      </c>
      <c r="Q296" s="14" t="n">
        <v>-267.989</v>
      </c>
      <c r="R296" s="13">
        <f>IF(OR(N(L296)=0,Q296=""),"",Q296/L296)</f>
        <v>-1.5324077515567727</v>
      </c>
      <c r="S296" s="14" t="n">
        <v>126.131</v>
      </c>
      <c r="T296" s="13">
        <f>IF(OR(N(L296)=0,S296=""),"",S296/L296)</f>
        <v>0.7212390139580629</v>
      </c>
      <c r="U296" s="14" t="n">
        <v>-609.6849999999999</v>
      </c>
      <c r="V296" s="13">
        <f>IF(OR(N(L296)=0,U296=""),"",U296/L296)</f>
        <v>-3.4862849594867362</v>
      </c>
      <c r="W296" s="14" t="n">
        <v>907.093</v>
      </c>
      <c r="X296" s="14" t="n">
        <v>-822.169</v>
      </c>
      <c r="Y296" s="13">
        <f>IF(OR(N(W296)=0,X296=""),"",X296/W296)</f>
        <v>-0.9063778465934584</v>
      </c>
      <c r="Z296" s="11" t="str">
        <f>IF(AA296="A","四季持續盈利",IF(AA296="B","最新季為正/波動",IF(AA296="C","虧損收窄",IF(AA296="D","虧損擴大或轉虧","數據不足"))))</f>
        <v>虧損擴大或轉虧</v>
      </c>
      <c r="AA296" s="9" t="str">
        <f>IF(COUNT(N296:Q296)&lt;4,"—",IF(MIN(N296:Q296)&gt;0,"A",IF(Q296&gt;0,"B",IF(Q296&gt;N296,"C","D"))))</f>
        <v>D</v>
      </c>
      <c r="AB296" s="9" t="inlineStr">
        <is>
          <t>2026-06-30</t>
        </is>
      </c>
    </row>
    <row r="297" ht="15" customHeight="1">
      <c r="A297" s="9" t="n">
        <v>296</v>
      </c>
      <c r="B297" s="10" t="inlineStr">
        <is>
          <t>MCD</t>
        </is>
      </c>
      <c r="C297" s="11" t="inlineStr">
        <is>
          <t>餐飲連鎖</t>
        </is>
      </c>
      <c r="D297" s="11" t="inlineStr">
        <is>
          <t>McDonald's Corporation</t>
        </is>
      </c>
      <c r="E297" s="11" t="inlineStr">
        <is>
          <t>Restaurants</t>
        </is>
      </c>
      <c r="F297" s="9" t="inlineStr">
        <is>
          <t>USD</t>
        </is>
      </c>
      <c r="G297" s="11" t="inlineStr">
        <is>
          <t>25Q2 / 25Q3 / 25Q4 / 26Q1 / 26Q2</t>
        </is>
      </c>
      <c r="H297" s="12" t="n">
        <v>6843</v>
      </c>
      <c r="I297" s="12" t="n">
        <v>7077</v>
      </c>
      <c r="J297" s="12" t="n">
        <v>7008</v>
      </c>
      <c r="K297" s="12" t="n">
        <v>6517</v>
      </c>
      <c r="L297" s="12" t="n">
        <v>7100</v>
      </c>
      <c r="M297" s="13">
        <f>IF(OR(N(H297)=0,L297=""),"",L297/H297-1)</f>
        <v>0.03755662721028785</v>
      </c>
      <c r="N297" s="14" t="n">
        <v>3319</v>
      </c>
      <c r="O297" s="14" t="n">
        <v>3157</v>
      </c>
      <c r="P297" s="14" t="n">
        <v>2884</v>
      </c>
      <c r="Q297" s="14" t="n">
        <v>3302</v>
      </c>
      <c r="R297" s="13">
        <f>IF(OR(N(L297)=0,Q297=""),"",Q297/L297)</f>
        <v>0.46507042253521125</v>
      </c>
      <c r="S297" s="14" t="n">
        <v>4119</v>
      </c>
      <c r="T297" s="13">
        <f>IF(OR(N(L297)=0,S297=""),"",S297/L297)</f>
        <v>0.5801408450704225</v>
      </c>
      <c r="U297" s="14" t="n">
        <v>2362</v>
      </c>
      <c r="V297" s="13">
        <f>IF(OR(N(L297)=0,U297=""),"",U297/L297)</f>
        <v>0.33267605633802816</v>
      </c>
      <c r="W297" s="14" t="n">
        <v>26885</v>
      </c>
      <c r="X297" s="14" t="n">
        <v>12394</v>
      </c>
      <c r="Y297" s="13">
        <f>IF(OR(N(W297)=0,X297=""),"",X297/W297)</f>
        <v>0.4610005579319323</v>
      </c>
      <c r="Z297" s="11" t="str">
        <f>IF(AA297="A","四季持續盈利",IF(AA297="B","最新季為正/波動",IF(AA297="C","虧損收窄",IF(AA297="D","虧損擴大或轉虧","數據不足"))))</f>
        <v>四季持續盈利</v>
      </c>
      <c r="AA297" s="9" t="str">
        <f>IF(COUNT(N297:Q297)&lt;4,"—",IF(MIN(N297:Q297)&gt;0,"A",IF(Q297&gt;0,"B",IF(Q297&gt;N297,"C","D"))))</f>
        <v>A</v>
      </c>
      <c r="AB297" s="9" t="inlineStr">
        <is>
          <t>2026-06-30</t>
        </is>
      </c>
    </row>
    <row r="298" ht="15" customHeight="1">
      <c r="A298" s="9" t="n">
        <v>297</v>
      </c>
      <c r="B298" s="10" t="inlineStr">
        <is>
          <t>MCK</t>
        </is>
      </c>
      <c r="C298" s="11" t="inlineStr">
        <is>
          <t>藥品分銷與藥房</t>
        </is>
      </c>
      <c r="D298" s="11" t="inlineStr">
        <is>
          <t>McKesson Corporation</t>
        </is>
      </c>
      <c r="E298" s="11" t="inlineStr">
        <is>
          <t>Medical Distribution</t>
        </is>
      </c>
      <c r="F298" s="9" t="inlineStr">
        <is>
          <t>USD</t>
        </is>
      </c>
      <c r="G298" s="11" t="inlineStr">
        <is>
          <t>25Q2 / 25Q3 / 25Q4 / 26Q1 / 26Q2</t>
        </is>
      </c>
      <c r="H298" s="12" t="n">
        <v>97827</v>
      </c>
      <c r="I298" s="12" t="n">
        <v>103150</v>
      </c>
      <c r="J298" s="12" t="n">
        <v>106158</v>
      </c>
      <c r="K298" s="12" t="n">
        <v>96295</v>
      </c>
      <c r="L298" s="12" t="n">
        <v>105380</v>
      </c>
      <c r="M298" s="13">
        <f>IF(OR(N(H298)=0,L298=""),"",L298/H298-1)</f>
        <v>0.07720772383902186</v>
      </c>
      <c r="N298" s="14" t="n">
        <v>1468</v>
      </c>
      <c r="O298" s="14" t="n">
        <v>1655</v>
      </c>
      <c r="P298" s="14" t="n">
        <v>2248</v>
      </c>
      <c r="Q298" s="14" t="n">
        <v>1421</v>
      </c>
      <c r="R298" s="13">
        <f>IF(OR(N(L298)=0,Q298=""),"",Q298/L298)</f>
        <v>0.013484532169292086</v>
      </c>
      <c r="S298" s="14" t="n">
        <v>3685</v>
      </c>
      <c r="T298" s="13">
        <f>IF(OR(N(L298)=0,S298=""),"",S298/L298)</f>
        <v>0.03496868475991649</v>
      </c>
      <c r="U298" s="14" t="n">
        <v>614</v>
      </c>
      <c r="V298" s="13">
        <f>IF(OR(N(L298)=0,U298=""),"",U298/L298)</f>
        <v>0.005826532548870753</v>
      </c>
      <c r="W298" s="14" t="n">
        <v>403430</v>
      </c>
      <c r="X298" s="14" t="n">
        <v>6454</v>
      </c>
      <c r="Y298" s="13">
        <f>IF(OR(N(W298)=0,X298=""),"",X298/W298)</f>
        <v>0.015997818704607987</v>
      </c>
      <c r="Z298" s="11" t="str">
        <f>IF(AA298="A","四季持續盈利",IF(AA298="B","最新季為正/波動",IF(AA298="C","虧損收窄",IF(AA298="D","虧損擴大或轉虧","數據不足"))))</f>
        <v>四季持續盈利</v>
      </c>
      <c r="AA298" s="9" t="str">
        <f>IF(COUNT(N298:Q298)&lt;4,"—",IF(MIN(N298:Q298)&gt;0,"A",IF(Q298&gt;0,"B",IF(Q298&gt;N298,"C","D"))))</f>
        <v>A</v>
      </c>
      <c r="AB298" s="9" t="inlineStr">
        <is>
          <t>2026-06-30</t>
        </is>
      </c>
    </row>
    <row r="299" ht="15" customHeight="1">
      <c r="A299" s="9" t="n">
        <v>298</v>
      </c>
      <c r="B299" s="10" t="inlineStr">
        <is>
          <t>MDB</t>
        </is>
      </c>
      <c r="C299" s="11" t="inlineStr">
        <is>
          <t>資料/分析平台</t>
        </is>
      </c>
      <c r="D299" s="11" t="inlineStr">
        <is>
          <t>MongoDB, Inc.</t>
        </is>
      </c>
      <c r="E299" s="11" t="inlineStr">
        <is>
          <t>G3 AI</t>
        </is>
      </c>
      <c r="F299" s="9" t="inlineStr">
        <is>
          <t>USD</t>
        </is>
      </c>
      <c r="G299" s="11" t="inlineStr">
        <is>
          <t>25Q3 / 25Q4 / 26Q1 / 26Q2 / 26Q3</t>
        </is>
      </c>
      <c r="H299" s="12" t="n">
        <v>591.402</v>
      </c>
      <c r="I299" s="12" t="n">
        <v>628.309</v>
      </c>
      <c r="J299" s="12" t="n">
        <v>695.072</v>
      </c>
      <c r="K299" s="12" t="n">
        <v>687.616</v>
      </c>
      <c r="L299" s="12" t="n">
        <v>771.773</v>
      </c>
      <c r="M299" s="13">
        <f>IF(OR(N(H299)=0,L299=""),"",L299/H299-1)</f>
        <v>0.30498882316935005</v>
      </c>
      <c r="N299" s="14" t="n">
        <v>-18.424</v>
      </c>
      <c r="O299" s="14" t="n">
        <v>0.304</v>
      </c>
      <c r="P299" s="14" t="n">
        <v>-24.804</v>
      </c>
      <c r="Q299" s="14" t="n">
        <v>28.4</v>
      </c>
      <c r="R299" s="13">
        <f>IF(OR(N(L299)=0,Q299=""),"",Q299/L299)</f>
        <v>0.03679838501735613</v>
      </c>
      <c r="S299" s="14" t="n">
        <v>569.765</v>
      </c>
      <c r="T299" s="13">
        <f>IF(OR(N(L299)=0,S299=""),"",S299/L299)</f>
        <v>0.7382546422328845</v>
      </c>
      <c r="U299" s="14" t="n">
        <v>40.94</v>
      </c>
      <c r="V299" s="13">
        <f>IF(OR(N(L299)=0,U299=""),"",U299/L299)</f>
        <v>0.05304668600741409</v>
      </c>
      <c r="W299" s="14" t="n">
        <v>2463.797</v>
      </c>
      <c r="X299" s="14" t="n">
        <v>-136.968</v>
      </c>
      <c r="Y299" s="13">
        <f>IF(OR(N(W299)=0,X299=""),"",X299/W299)</f>
        <v>-0.05559224238035844</v>
      </c>
      <c r="Z299" s="11" t="str">
        <f>IF(AA299="A","四季持續盈利",IF(AA299="B","最新季為正/波動",IF(AA299="C","虧損收窄",IF(AA299="D","虧損擴大或轉虧","數據不足"))))</f>
        <v>最新季為正/波動</v>
      </c>
      <c r="AA299" s="9" t="str">
        <f>IF(COUNT(N299:Q299)&lt;4,"—",IF(MIN(N299:Q299)&gt;0,"A",IF(Q299&gt;0,"B",IF(Q299&gt;N299,"C","D"))))</f>
        <v>B</v>
      </c>
      <c r="AB299" s="9" t="inlineStr">
        <is>
          <t>2026-07-31</t>
        </is>
      </c>
    </row>
    <row r="300" ht="15" customHeight="1">
      <c r="A300" s="9" t="n">
        <v>299</v>
      </c>
      <c r="B300" s="10" t="inlineStr">
        <is>
          <t>MDGL</t>
        </is>
      </c>
      <c r="C300" s="11" t="inlineStr">
        <is>
          <t>臨床期中小型生技</t>
        </is>
      </c>
      <c r="D300" s="11" t="inlineStr">
        <is>
          <t>Madrigal Pharmaceuticals, Inc.</t>
        </is>
      </c>
      <c r="E300" s="11" t="inlineStr">
        <is>
          <t>Biotechnology</t>
        </is>
      </c>
      <c r="F300" s="9" t="inlineStr">
        <is>
          <t>USD</t>
        </is>
      </c>
      <c r="G300" s="11" t="inlineStr">
        <is>
          <t>25Q2 / 25Q3 / 25Q4 / 26Q1 / 26Q2</t>
        </is>
      </c>
      <c r="H300" s="12" t="n">
        <v>212.802</v>
      </c>
      <c r="I300" s="12" t="n">
        <v>287.268</v>
      </c>
      <c r="J300" s="12" t="n">
        <v>321.083</v>
      </c>
      <c r="K300" s="12" t="n">
        <v>311.337</v>
      </c>
      <c r="L300" s="12" t="n">
        <v>364.252</v>
      </c>
      <c r="M300" s="13">
        <f>IF(OR(N(H300)=0,L300=""),"",L300/H300-1)</f>
        <v>0.7116944389620399</v>
      </c>
      <c r="N300" s="14" t="n">
        <v>-113.975</v>
      </c>
      <c r="O300" s="14" t="n">
        <v>-59.609</v>
      </c>
      <c r="P300" s="14" t="n">
        <v>-92.723</v>
      </c>
      <c r="Q300" s="14" t="n">
        <v>-56.308</v>
      </c>
      <c r="R300" s="13">
        <f>IF(OR(N(L300)=0,Q300=""),"",Q300/L300)</f>
        <v>-0.15458528710892458</v>
      </c>
      <c r="S300" s="14" t="n">
        <v>324.245</v>
      </c>
      <c r="T300" s="13">
        <f>IF(OR(N(L300)=0,S300=""),"",S300/L300)</f>
        <v>0.8901666977806574</v>
      </c>
      <c r="U300" s="14" t="n">
        <v>-57.939</v>
      </c>
      <c r="V300" s="13">
        <f>IF(OR(N(L300)=0,U300=""),"",U300/L300)</f>
        <v>-0.15906295641478976</v>
      </c>
      <c r="W300" s="14" t="n">
        <v>958.403</v>
      </c>
      <c r="X300" s="14" t="n">
        <v>-300.097</v>
      </c>
      <c r="Y300" s="13">
        <f>IF(OR(N(W300)=0,X300=""),"",X300/W300)</f>
        <v>-0.31312193304904096</v>
      </c>
      <c r="Z300" s="11" t="str">
        <f>IF(AA300="A","四季持續盈利",IF(AA300="B","最新季為正/波動",IF(AA300="C","虧損收窄",IF(AA300="D","虧損擴大或轉虧","數據不足"))))</f>
        <v>虧損收窄</v>
      </c>
      <c r="AA300" s="9" t="str">
        <f>IF(COUNT(N300:Q300)&lt;4,"—",IF(MIN(N300:Q300)&gt;0,"A",IF(Q300&gt;0,"B",IF(Q300&gt;N300,"C","D"))))</f>
        <v>C</v>
      </c>
      <c r="AB300" s="9" t="inlineStr">
        <is>
          <t>2026-06-30</t>
        </is>
      </c>
    </row>
    <row r="301" ht="15" customHeight="1">
      <c r="A301" s="9" t="n">
        <v>300</v>
      </c>
      <c r="B301" s="10" t="inlineStr">
        <is>
          <t>MDT</t>
        </is>
      </c>
      <c r="C301" s="11" t="inlineStr">
        <is>
          <t>醫療器械</t>
        </is>
      </c>
      <c r="D301" s="11" t="inlineStr">
        <is>
          <t>Medtronic plc</t>
        </is>
      </c>
      <c r="E301" s="11" t="inlineStr">
        <is>
          <t>Medical Devices</t>
        </is>
      </c>
      <c r="F301" s="9" t="inlineStr">
        <is>
          <t>USD</t>
        </is>
      </c>
      <c r="G301" s="11" t="inlineStr">
        <is>
          <t>25Q2 / 25Q3 / 25Q4 / 26Q1 / 26Q2</t>
        </is>
      </c>
      <c r="H301" s="12" t="n">
        <v>8927</v>
      </c>
      <c r="I301" s="12" t="n">
        <v>8578</v>
      </c>
      <c r="J301" s="12" t="n">
        <v>8961</v>
      </c>
      <c r="K301" s="12" t="n">
        <v>9017</v>
      </c>
      <c r="L301" s="12" t="n">
        <v>9807</v>
      </c>
      <c r="M301" s="13">
        <f>IF(OR(N(H301)=0,L301=""),"",L301/H301-1)</f>
        <v>0.09857734961353204</v>
      </c>
      <c r="N301" s="14" t="n">
        <v>1516</v>
      </c>
      <c r="O301" s="14" t="n">
        <v>1696</v>
      </c>
      <c r="P301" s="14" t="n">
        <v>1602</v>
      </c>
      <c r="Q301" s="14" t="n">
        <v>2013</v>
      </c>
      <c r="R301" s="13">
        <f>IF(OR(N(L301)=0,Q301=""),"",Q301/L301)</f>
        <v>0.20526154787396758</v>
      </c>
      <c r="S301" s="14" t="n">
        <v>6409</v>
      </c>
      <c r="T301" s="13">
        <f>IF(OR(N(L301)=0,S301=""),"",S301/L301)</f>
        <v>0.6535127969817477</v>
      </c>
      <c r="U301" s="14" t="n">
        <v>1244</v>
      </c>
      <c r="V301" s="13">
        <f>IF(OR(N(L301)=0,U301=""),"",U301/L301)</f>
        <v>0.12684816967472215</v>
      </c>
      <c r="W301" s="14" t="n">
        <v>36364</v>
      </c>
      <c r="X301" s="14" t="n">
        <v>6828</v>
      </c>
      <c r="Y301" s="13">
        <f>IF(OR(N(W301)=0,X301=""),"",X301/W301)</f>
        <v>0.18776812231877682</v>
      </c>
      <c r="Z301" s="11" t="str">
        <f>IF(AA301="A","四季持續盈利",IF(AA301="B","最新季為正/波動",IF(AA301="C","虧損收窄",IF(AA301="D","虧損擴大或轉虧","數據不足"))))</f>
        <v>四季持續盈利</v>
      </c>
      <c r="AA301" s="9" t="str">
        <f>IF(COUNT(N301:Q301)&lt;4,"—",IF(MIN(N301:Q301)&gt;0,"A",IF(Q301&gt;0,"B",IF(Q301&gt;N301,"C","D"))))</f>
        <v>A</v>
      </c>
      <c r="AB301" s="9" t="inlineStr">
        <is>
          <t>2026-04-30</t>
        </is>
      </c>
    </row>
    <row r="302" ht="15" customHeight="1">
      <c r="A302" s="9" t="n">
        <v>301</v>
      </c>
      <c r="B302" s="10" t="inlineStr">
        <is>
          <t>MET</t>
        </is>
      </c>
      <c r="C302" s="11" t="inlineStr">
        <is>
          <t>壽險與年金</t>
        </is>
      </c>
      <c r="D302" s="11" t="inlineStr">
        <is>
          <t>MetLife, Inc.</t>
        </is>
      </c>
      <c r="E302" s="11" t="inlineStr">
        <is>
          <t>Insurance - Life</t>
        </is>
      </c>
      <c r="F302" s="9" t="inlineStr">
        <is>
          <t>USD</t>
        </is>
      </c>
      <c r="G302" s="11" t="inlineStr">
        <is>
          <t>25Q2 / 25Q3 / 25Q4 / 26Q1 / 26Q2</t>
        </is>
      </c>
      <c r="H302" s="12" t="n">
        <v>17176</v>
      </c>
      <c r="I302" s="12" t="n">
        <v>16881</v>
      </c>
      <c r="J302" s="12" t="n">
        <v>23291</v>
      </c>
      <c r="K302" s="12" t="n">
        <v>18616</v>
      </c>
      <c r="L302" s="12" t="n">
        <v>18877</v>
      </c>
      <c r="M302" s="13">
        <f>IF(OR(N(H302)=0,L302=""),"",L302/H302-1)</f>
        <v>0.09903353516534708</v>
      </c>
      <c r="N302" s="14" t="n">
        <v>1481</v>
      </c>
      <c r="O302" s="14" t="n">
        <v>1380</v>
      </c>
      <c r="P302" s="14" t="n">
        <v>1772</v>
      </c>
      <c r="Q302" s="14" t="n">
        <v>1327</v>
      </c>
      <c r="R302" s="13">
        <f>IF(OR(N(L302)=0,Q302=""),"",Q302/L302)</f>
        <v>0.0702971870530275</v>
      </c>
      <c r="S302" s="14" t="n"/>
      <c r="T302" s="13" t="str">
        <f>IF(OR(N(L302)=0,S302=""),"",S302/L302)</f>
        <v/>
      </c>
      <c r="U302" s="14" t="n">
        <v>736</v>
      </c>
      <c r="V302" s="13">
        <f>IF(OR(N(L302)=0,U302=""),"",U302/L302)</f>
        <v>0.03898924617259098</v>
      </c>
      <c r="W302" s="14" t="n">
        <v>75654</v>
      </c>
      <c r="X302" s="14" t="n">
        <v>5722</v>
      </c>
      <c r="Y302" s="13">
        <f>IF(OR(N(W302)=0,X302=""),"",X302/W302)</f>
        <v>0.0756338065403019</v>
      </c>
      <c r="Z302" s="11" t="str">
        <f>IF(AA302="A","四季持續盈利",IF(AA302="B","最新季為正/波動",IF(AA302="C","虧損收窄",IF(AA302="D","虧損擴大或轉虧","數據不足"))))</f>
        <v>四季持續盈利</v>
      </c>
      <c r="AA302" s="9" t="str">
        <f>IF(COUNT(N302:Q302)&lt;4,"—",IF(MIN(N302:Q302)&gt;0,"A",IF(Q302&gt;0,"B",IF(Q302&gt;N302,"C","D"))))</f>
        <v>A</v>
      </c>
      <c r="AB302" s="9" t="inlineStr">
        <is>
          <t>2026-06-30</t>
        </is>
      </c>
    </row>
    <row r="303" ht="15" customHeight="1">
      <c r="A303" s="9" t="n">
        <v>302</v>
      </c>
      <c r="B303" s="10" t="inlineStr">
        <is>
          <t>META</t>
        </is>
      </c>
      <c r="C303" s="11" t="inlineStr">
        <is>
          <t>大型網絡平台與數位廣告</t>
        </is>
      </c>
      <c r="D303" s="11" t="inlineStr">
        <is>
          <t>Meta Platforms, Inc.</t>
        </is>
      </c>
      <c r="E303" s="11" t="inlineStr">
        <is>
          <t>G1 其他雲平台</t>
        </is>
      </c>
      <c r="F303" s="9" t="inlineStr">
        <is>
          <t>USD</t>
        </is>
      </c>
      <c r="G303" s="11" t="inlineStr">
        <is>
          <t>25Q2 / 25Q3 / 25Q4 / 26Q1 / 26Q2</t>
        </is>
      </c>
      <c r="H303" s="12" t="n">
        <v>47516</v>
      </c>
      <c r="I303" s="12" t="n">
        <v>51242</v>
      </c>
      <c r="J303" s="12" t="n">
        <v>59893</v>
      </c>
      <c r="K303" s="12" t="n">
        <v>56311</v>
      </c>
      <c r="L303" s="12" t="n">
        <v>60801</v>
      </c>
      <c r="M303" s="13">
        <f>IF(OR(N(H303)=0,L303=""),"",L303/H303-1)</f>
        <v>0.27959003283104633</v>
      </c>
      <c r="N303" s="14" t="n">
        <v>20535</v>
      </c>
      <c r="O303" s="14" t="n">
        <v>24745</v>
      </c>
      <c r="P303" s="14" t="n">
        <v>22872</v>
      </c>
      <c r="Q303" s="14" t="n">
        <v>18775</v>
      </c>
      <c r="R303" s="13">
        <f>IF(OR(N(L303)=0,Q303=""),"",Q303/L303)</f>
        <v>0.3087942632522491</v>
      </c>
      <c r="S303" s="14" t="n">
        <v>49471</v>
      </c>
      <c r="T303" s="13">
        <f>IF(OR(N(L303)=0,S303=""),"",S303/L303)</f>
        <v>0.8136543806845282</v>
      </c>
      <c r="U303" s="14" t="n">
        <v>15848</v>
      </c>
      <c r="V303" s="13">
        <f>IF(OR(N(L303)=0,U303=""),"",U303/L303)</f>
        <v>0.2606536076709265</v>
      </c>
      <c r="W303" s="14" t="n">
        <v>200966</v>
      </c>
      <c r="X303" s="14" t="n">
        <v>83276</v>
      </c>
      <c r="Y303" s="13">
        <f>IF(OR(N(W303)=0,X303=""),"",X303/W303)</f>
        <v>0.41437855159579234</v>
      </c>
      <c r="Z303" s="11" t="str">
        <f>IF(AA303="A","四季持續盈利",IF(AA303="B","最新季為正/波動",IF(AA303="C","虧損收窄",IF(AA303="D","虧損擴大或轉虧","數據不足"))))</f>
        <v>四季持續盈利</v>
      </c>
      <c r="AA303" s="9" t="str">
        <f>IF(COUNT(N303:Q303)&lt;4,"—",IF(MIN(N303:Q303)&gt;0,"A",IF(Q303&gt;0,"B",IF(Q303&gt;N303,"C","D"))))</f>
        <v>A</v>
      </c>
      <c r="AB303" s="9" t="inlineStr">
        <is>
          <t>2026-06-30</t>
        </is>
      </c>
    </row>
    <row r="304" ht="15" customHeight="1">
      <c r="A304" s="9" t="n">
        <v>303</v>
      </c>
      <c r="B304" s="10" t="inlineStr">
        <is>
          <t>METC</t>
        </is>
      </c>
      <c r="C304" s="11" t="inlineStr">
        <is>
          <t>煤炭</t>
        </is>
      </c>
      <c r="D304" s="11" t="inlineStr">
        <is>
          <t>Ramaco Resources, Inc.</t>
        </is>
      </c>
      <c r="E304" s="11" t="inlineStr">
        <is>
          <t>Coking Coal</t>
        </is>
      </c>
      <c r="F304" s="9" t="inlineStr">
        <is>
          <t>USD</t>
        </is>
      </c>
      <c r="G304" s="11" t="inlineStr">
        <is>
          <t>25Q2 / 25Q3 / 25Q4 / 26Q1 / 26Q2</t>
        </is>
      </c>
      <c r="H304" s="12" t="n">
        <v>152.959</v>
      </c>
      <c r="I304" s="12" t="n">
        <v>120.996</v>
      </c>
      <c r="J304" s="12" t="n">
        <v>128.007</v>
      </c>
      <c r="K304" s="12" t="n">
        <v>121.613</v>
      </c>
      <c r="L304" s="12" t="n">
        <v>144.799</v>
      </c>
      <c r="M304" s="13">
        <f>IF(OR(N(H304)=0,L304=""),"",L304/H304-1)</f>
        <v>-0.05334762910322377</v>
      </c>
      <c r="N304" s="14" t="n">
        <v>-14.482</v>
      </c>
      <c r="O304" s="14" t="n">
        <v>-15.607</v>
      </c>
      <c r="P304" s="14" t="n">
        <v>-24.305</v>
      </c>
      <c r="Q304" s="14" t="n">
        <v>-18.248</v>
      </c>
      <c r="R304" s="13">
        <f>IF(OR(N(L304)=0,Q304=""),"",Q304/L304)</f>
        <v>-0.1260229697718907</v>
      </c>
      <c r="S304" s="14" t="n">
        <v>16.623</v>
      </c>
      <c r="T304" s="13">
        <f>IF(OR(N(L304)=0,S304=""),"",S304/L304)</f>
        <v>0.11480051657815317</v>
      </c>
      <c r="U304" s="14" t="n">
        <v>-15.415</v>
      </c>
      <c r="V304" s="13">
        <f>IF(OR(N(L304)=0,U304=""),"",U304/L304)</f>
        <v>-0.10645791752705473</v>
      </c>
      <c r="W304" s="14" t="n">
        <v>536.6180000000001</v>
      </c>
      <c r="X304" s="14" t="n">
        <v>-55.956</v>
      </c>
      <c r="Y304" s="13">
        <f>IF(OR(N(W304)=0,X304=""),"",X304/W304)</f>
        <v>-0.1042752945298145</v>
      </c>
      <c r="Z304" s="11" t="str">
        <f>IF(AA304="A","四季持續盈利",IF(AA304="B","最新季為正/波動",IF(AA304="C","虧損收窄",IF(AA304="D","虧損擴大或轉虧","數據不足"))))</f>
        <v>虧損擴大或轉虧</v>
      </c>
      <c r="AA304" s="9" t="str">
        <f>IF(COUNT(N304:Q304)&lt;4,"—",IF(MIN(N304:Q304)&gt;0,"A",IF(Q304&gt;0,"B",IF(Q304&gt;N304,"C","D"))))</f>
        <v>D</v>
      </c>
      <c r="AB304" s="9" t="inlineStr">
        <is>
          <t>2026-06-30</t>
        </is>
      </c>
    </row>
    <row r="305" ht="15" customHeight="1">
      <c r="A305" s="9" t="n">
        <v>304</v>
      </c>
      <c r="B305" s="10" t="inlineStr">
        <is>
          <t>MGA</t>
        </is>
      </c>
      <c r="C305" s="11" t="inlineStr">
        <is>
          <t>傳統汽車與零部件</t>
        </is>
      </c>
      <c r="D305" s="11" t="inlineStr">
        <is>
          <t>Magna International Inc.</t>
        </is>
      </c>
      <c r="E305" s="11" t="inlineStr">
        <is>
          <t>Auto Parts</t>
        </is>
      </c>
      <c r="F305" s="9" t="inlineStr">
        <is>
          <t>USD</t>
        </is>
      </c>
      <c r="G305" s="11" t="inlineStr">
        <is>
          <t>25Q2 / 25Q3 / 25Q4 / 26Q1 / 26Q2</t>
        </is>
      </c>
      <c r="H305" s="12" t="n">
        <v>10631</v>
      </c>
      <c r="I305" s="12" t="n">
        <v>10462</v>
      </c>
      <c r="J305" s="12" t="n">
        <v>10848</v>
      </c>
      <c r="K305" s="12" t="n">
        <v>10381</v>
      </c>
      <c r="L305" s="12" t="n">
        <v>10980</v>
      </c>
      <c r="M305" s="13">
        <f>IF(OR(N(H305)=0,L305=""),"",L305/H305-1)</f>
        <v>0.032828520364970304</v>
      </c>
      <c r="N305" s="14" t="n">
        <v>542</v>
      </c>
      <c r="O305" s="14" t="n">
        <v>738</v>
      </c>
      <c r="P305" s="14" t="n">
        <v>444</v>
      </c>
      <c r="Q305" s="14" t="n">
        <v>615</v>
      </c>
      <c r="R305" s="13">
        <f>IF(OR(N(L305)=0,Q305=""),"",Q305/L305)</f>
        <v>0.056010928961748634</v>
      </c>
      <c r="S305" s="14" t="n">
        <v>1612</v>
      </c>
      <c r="T305" s="13">
        <f>IF(OR(N(L305)=0,S305=""),"",S305/L305)</f>
        <v>0.14681238615664846</v>
      </c>
      <c r="U305" s="14" t="n">
        <v>469</v>
      </c>
      <c r="V305" s="13">
        <f>IF(OR(N(L305)=0,U305=""),"",U305/L305)</f>
        <v>0.042714025500910746</v>
      </c>
      <c r="W305" s="14" t="n">
        <v>42010</v>
      </c>
      <c r="X305" s="14" t="n">
        <v>2110</v>
      </c>
      <c r="Y305" s="13">
        <f>IF(OR(N(W305)=0,X305=""),"",X305/W305)</f>
        <v>0.05022613663413473</v>
      </c>
      <c r="Z305" s="11" t="str">
        <f>IF(AA305="A","四季持續盈利",IF(AA305="B","最新季為正/波動",IF(AA305="C","虧損收窄",IF(AA305="D","虧損擴大或轉虧","數據不足"))))</f>
        <v>四季持續盈利</v>
      </c>
      <c r="AA305" s="9" t="str">
        <f>IF(COUNT(N305:Q305)&lt;4,"—",IF(MIN(N305:Q305)&gt;0,"A",IF(Q305&gt;0,"B",IF(Q305&gt;N305,"C","D"))))</f>
        <v>A</v>
      </c>
      <c r="AB305" s="9" t="inlineStr">
        <is>
          <t>2026-06-30</t>
        </is>
      </c>
    </row>
    <row r="306" ht="15" customHeight="1">
      <c r="A306" s="9" t="n">
        <v>305</v>
      </c>
      <c r="B306" s="10" t="inlineStr">
        <is>
          <t>MGM</t>
        </is>
      </c>
      <c r="C306" s="11" t="inlineStr">
        <is>
          <t>博彩與線上博彩</t>
        </is>
      </c>
      <c r="D306" s="11" t="inlineStr">
        <is>
          <t>MGM Resorts International</t>
        </is>
      </c>
      <c r="E306" s="11" t="inlineStr">
        <is>
          <t>Resorts &amp; Casinos</t>
        </is>
      </c>
      <c r="F306" s="9" t="inlineStr">
        <is>
          <t>USD</t>
        </is>
      </c>
      <c r="G306" s="11" t="inlineStr">
        <is>
          <t>25Q2 / 25Q3 / 25Q4 / 26Q1 / 26Q2</t>
        </is>
      </c>
      <c r="H306" s="12" t="n">
        <v>4404.87</v>
      </c>
      <c r="I306" s="12" t="n">
        <v>4250.464</v>
      </c>
      <c r="J306" s="12" t="n">
        <v>4605.267</v>
      </c>
      <c r="K306" s="12" t="n">
        <v>4454.718</v>
      </c>
      <c r="L306" s="12" t="n">
        <v>4450.993</v>
      </c>
      <c r="M306" s="13">
        <f>IF(OR(N(H306)=0,L306=""),"",L306/H306-1)</f>
        <v>0.010470910605761441</v>
      </c>
      <c r="N306" s="14" t="n">
        <v>219.445</v>
      </c>
      <c r="O306" s="14" t="n">
        <v>325.217</v>
      </c>
      <c r="P306" s="14" t="n">
        <v>306.413</v>
      </c>
      <c r="Q306" s="14" t="n">
        <v>302.234</v>
      </c>
      <c r="R306" s="13">
        <f>IF(OR(N(L306)=0,Q306=""),"",Q306/L306)</f>
        <v>0.06790260061069518</v>
      </c>
      <c r="S306" s="14" t="n">
        <v>1979.242</v>
      </c>
      <c r="T306" s="13">
        <f>IF(OR(N(L306)=0,S306=""),"",S306/L306)</f>
        <v>0.44467425583459685</v>
      </c>
      <c r="U306" s="14" t="n">
        <v>292.433</v>
      </c>
      <c r="V306" s="13">
        <f>IF(OR(N(L306)=0,U306=""),"",U306/L306)</f>
        <v>0.06570062006388237</v>
      </c>
      <c r="W306" s="14" t="n">
        <v>17537.683</v>
      </c>
      <c r="X306" s="14" t="n">
        <v>1337.847</v>
      </c>
      <c r="Y306" s="13">
        <f>IF(OR(N(W306)=0,X306=""),"",X306/W306)</f>
        <v>0.07628413627957581</v>
      </c>
      <c r="Z306" s="11" t="str">
        <f>IF(AA306="A","四季持續盈利",IF(AA306="B","最新季為正/波動",IF(AA306="C","虧損收窄",IF(AA306="D","虧損擴大或轉虧","數據不足"))))</f>
        <v>四季持續盈利</v>
      </c>
      <c r="AA306" s="9" t="str">
        <f>IF(COUNT(N306:Q306)&lt;4,"—",IF(MIN(N306:Q306)&gt;0,"A",IF(Q306&gt;0,"B",IF(Q306&gt;N306,"C","D"))))</f>
        <v>A</v>
      </c>
      <c r="AB306" s="9" t="inlineStr">
        <is>
          <t>2026-06-30</t>
        </is>
      </c>
    </row>
    <row r="307" ht="15" customHeight="1">
      <c r="A307" s="9" t="n">
        <v>306</v>
      </c>
      <c r="B307" s="10" t="inlineStr">
        <is>
          <t>MHK</t>
        </is>
      </c>
      <c r="C307" s="11" t="inlineStr">
        <is>
          <t>家居耐用與休閒用品</t>
        </is>
      </c>
      <c r="D307" s="11" t="inlineStr">
        <is>
          <t>Mohawk Industries, Inc.</t>
        </is>
      </c>
      <c r="E307" s="11" t="inlineStr">
        <is>
          <t>Furnishings, Fixtures &amp; Appliances</t>
        </is>
      </c>
      <c r="F307" s="9" t="inlineStr">
        <is>
          <t>USD</t>
        </is>
      </c>
      <c r="G307" s="11" t="inlineStr">
        <is>
          <t>25Q2 / 25Q3 / 25Q4 / 26Q1 / 26Q2</t>
        </is>
      </c>
      <c r="H307" s="12" t="n">
        <v>2802.1</v>
      </c>
      <c r="I307" s="12" t="n">
        <v>2757.9</v>
      </c>
      <c r="J307" s="12" t="n">
        <v>2699.7</v>
      </c>
      <c r="K307" s="12" t="n">
        <v>2728.7</v>
      </c>
      <c r="L307" s="12" t="n"/>
      <c r="M307" s="13" t="str">
        <f>IF(OR(N(H307)=0,L307=""),"",L307/H307-1)</f>
        <v/>
      </c>
      <c r="N307" s="14" t="n">
        <v>136.7</v>
      </c>
      <c r="O307" s="14" t="n">
        <v>88.2</v>
      </c>
      <c r="P307" s="14" t="n">
        <v>111.8</v>
      </c>
      <c r="Q307" s="14" t="n"/>
      <c r="R307" s="13" t="str">
        <f>IF(OR(N(L307)=0,Q307=""),"",Q307/L307)</f>
        <v/>
      </c>
      <c r="S307" s="14" t="n"/>
      <c r="T307" s="13" t="str">
        <f>IF(OR(N(L307)=0,S307=""),"",S307/L307)</f>
        <v/>
      </c>
      <c r="U307" s="14" t="n"/>
      <c r="V307" s="13" t="str">
        <f>IF(OR(N(L307)=0,U307=""),"",U307/L307)</f>
        <v/>
      </c>
      <c r="W307" s="14" t="n">
        <v>10785.4</v>
      </c>
      <c r="X307" s="14" t="n">
        <v>509.7</v>
      </c>
      <c r="Y307" s="13">
        <f>IF(OR(N(W307)=0,X307=""),"",X307/W307)</f>
        <v>0.047258330706325215</v>
      </c>
      <c r="Z307" s="11" t="str">
        <f>IF(AA307="A","四季持續盈利",IF(AA307="B","最新季為正/波動",IF(AA307="C","虧損收窄",IF(AA307="D","虧損擴大或轉虧","數據不足"))))</f>
        <v>數據不足</v>
      </c>
      <c r="AA307" s="9" t="str">
        <f>IF(COUNT(N307:Q307)&lt;4,"—",IF(MIN(N307:Q307)&gt;0,"A",IF(Q307&gt;0,"B",IF(Q307&gt;N307,"C","D"))))</f>
        <v>—</v>
      </c>
      <c r="AB307" s="9" t="inlineStr">
        <is>
          <t>2026-06-30</t>
        </is>
      </c>
    </row>
    <row r="308" ht="15" customHeight="1">
      <c r="A308" s="9" t="n">
        <v>307</v>
      </c>
      <c r="B308" s="10" t="inlineStr">
        <is>
          <t>MLM</t>
        </is>
      </c>
      <c r="C308" s="11" t="inlineStr">
        <is>
          <t>包裝與建材</t>
        </is>
      </c>
      <c r="D308" s="11" t="inlineStr">
        <is>
          <t>Martin Marietta Materials, Inc.</t>
        </is>
      </c>
      <c r="E308" s="11" t="inlineStr">
        <is>
          <t>Building Materials</t>
        </is>
      </c>
      <c r="F308" s="9" t="inlineStr">
        <is>
          <t>USD</t>
        </is>
      </c>
      <c r="G308" s="11" t="inlineStr">
        <is>
          <t>25Q2 / 25Q3 / 25Q4 / 26Q1 / 26Q2</t>
        </is>
      </c>
      <c r="H308" s="12" t="n">
        <v>1609</v>
      </c>
      <c r="I308" s="12" t="n">
        <v>1846</v>
      </c>
      <c r="J308" s="12" t="n">
        <v>1533</v>
      </c>
      <c r="K308" s="12" t="n">
        <v>1362</v>
      </c>
      <c r="L308" s="12" t="n">
        <v>1947</v>
      </c>
      <c r="M308" s="13">
        <f>IF(OR(N(H308)=0,L308=""),"",L308/H308-1)</f>
        <v>0.21006836544437535</v>
      </c>
      <c r="N308" s="14" t="n">
        <v>510</v>
      </c>
      <c r="O308" s="14" t="n">
        <v>350</v>
      </c>
      <c r="P308" s="14" t="n">
        <v>167</v>
      </c>
      <c r="Q308" s="14" t="n">
        <v>390</v>
      </c>
      <c r="R308" s="13">
        <f>IF(OR(N(L308)=0,Q308=""),"",Q308/L308)</f>
        <v>0.20030816640986132</v>
      </c>
      <c r="S308" s="14" t="n">
        <v>495</v>
      </c>
      <c r="T308" s="13">
        <f>IF(OR(N(L308)=0,S308=""),"",S308/L308)</f>
        <v>0.2542372881355932</v>
      </c>
      <c r="U308" s="14" t="n">
        <v>251</v>
      </c>
      <c r="V308" s="13">
        <f>IF(OR(N(L308)=0,U308=""),"",U308/L308)</f>
        <v>0.12891628145865433</v>
      </c>
      <c r="W308" s="14" t="n">
        <v>6150</v>
      </c>
      <c r="X308" s="14" t="n">
        <v>1455</v>
      </c>
      <c r="Y308" s="13">
        <f>IF(OR(N(W308)=0,X308=""),"",X308/W308)</f>
        <v>0.23658536585365852</v>
      </c>
      <c r="Z308" s="11" t="str">
        <f>IF(AA308="A","四季持續盈利",IF(AA308="B","最新季為正/波動",IF(AA308="C","虧損收窄",IF(AA308="D","虧損擴大或轉虧","數據不足"))))</f>
        <v>四季持續盈利</v>
      </c>
      <c r="AA308" s="9" t="str">
        <f>IF(COUNT(N308:Q308)&lt;4,"—",IF(MIN(N308:Q308)&gt;0,"A",IF(Q308&gt;0,"B",IF(Q308&gt;N308,"C","D"))))</f>
        <v>A</v>
      </c>
      <c r="AB308" s="9" t="inlineStr">
        <is>
          <t>2026-06-30</t>
        </is>
      </c>
    </row>
    <row r="309" ht="15" customHeight="1">
      <c r="A309" s="9" t="n">
        <v>308</v>
      </c>
      <c r="B309" s="10" t="inlineStr">
        <is>
          <t>MNST</t>
        </is>
      </c>
      <c r="C309" s="11" t="inlineStr">
        <is>
          <t>非酒精飲品</t>
        </is>
      </c>
      <c r="D309" s="11" t="inlineStr">
        <is>
          <t>Monster Beverage Corporation</t>
        </is>
      </c>
      <c r="E309" s="11" t="inlineStr">
        <is>
          <t>Beverages - Non-Alcoholic</t>
        </is>
      </c>
      <c r="F309" s="9" t="inlineStr">
        <is>
          <t>USD</t>
        </is>
      </c>
      <c r="G309" s="11" t="inlineStr">
        <is>
          <t>25Q2 / 25Q3 / 25Q4 / 26Q1 / 26Q2</t>
        </is>
      </c>
      <c r="H309" s="12" t="n">
        <v>2111.593</v>
      </c>
      <c r="I309" s="12" t="n">
        <v>2197.139</v>
      </c>
      <c r="J309" s="12" t="n">
        <v>2131.053</v>
      </c>
      <c r="K309" s="12" t="n">
        <v>2353.291</v>
      </c>
      <c r="L309" s="12" t="n">
        <v>2537.473</v>
      </c>
      <c r="M309" s="13">
        <f>IF(OR(N(H309)=0,L309=""),"",L309/H309-1)</f>
        <v>0.20168659396010513</v>
      </c>
      <c r="N309" s="14" t="n">
        <v>675.352</v>
      </c>
      <c r="O309" s="14" t="n">
        <v>542.634</v>
      </c>
      <c r="P309" s="14" t="n">
        <v>729.958</v>
      </c>
      <c r="Q309" s="14" t="n">
        <v>740.442</v>
      </c>
      <c r="R309" s="13">
        <f>IF(OR(N(L309)=0,Q309=""),"",Q309/L309)</f>
        <v>0.2918029078536008</v>
      </c>
      <c r="S309" s="14" t="n">
        <v>1419.634</v>
      </c>
      <c r="T309" s="13">
        <f>IF(OR(N(L309)=0,S309=""),"",S309/L309)</f>
        <v>0.5594676278328873</v>
      </c>
      <c r="U309" s="14" t="n">
        <v>584.54</v>
      </c>
      <c r="V309" s="13">
        <f>IF(OR(N(L309)=0,U309=""),"",U309/L309)</f>
        <v>0.23036304228655832</v>
      </c>
      <c r="W309" s="14" t="n">
        <v>8294.343000000001</v>
      </c>
      <c r="X309" s="14" t="n">
        <v>2419.354</v>
      </c>
      <c r="Y309" s="13">
        <f>IF(OR(N(W309)=0,X309=""),"",X309/W309)</f>
        <v>0.291687237916252</v>
      </c>
      <c r="Z309" s="11" t="str">
        <f>IF(AA309="A","四季持續盈利",IF(AA309="B","最新季為正/波動",IF(AA309="C","虧損收窄",IF(AA309="D","虧損擴大或轉虧","數據不足"))))</f>
        <v>四季持續盈利</v>
      </c>
      <c r="AA309" s="9" t="str">
        <f>IF(COUNT(N309:Q309)&lt;4,"—",IF(MIN(N309:Q309)&gt;0,"A",IF(Q309&gt;0,"B",IF(Q309&gt;N309,"C","D"))))</f>
        <v>A</v>
      </c>
      <c r="AB309" s="9" t="inlineStr">
        <is>
          <t>2026-06-30</t>
        </is>
      </c>
    </row>
    <row r="310" ht="15" customHeight="1">
      <c r="A310" s="9" t="n">
        <v>309</v>
      </c>
      <c r="B310" s="10" t="inlineStr">
        <is>
          <t>MO</t>
        </is>
      </c>
      <c r="C310" s="11" t="inlineStr">
        <is>
          <t>煙草與尼古丁</t>
        </is>
      </c>
      <c r="D310" s="11" t="inlineStr">
        <is>
          <t>Altria Group, Inc.</t>
        </is>
      </c>
      <c r="E310" s="11" t="inlineStr">
        <is>
          <t>Tobacco</t>
        </is>
      </c>
      <c r="F310" s="9" t="inlineStr">
        <is>
          <t>USD</t>
        </is>
      </c>
      <c r="G310" s="11" t="inlineStr">
        <is>
          <t>25Q2 / 25Q3 / 25Q4 / 26Q1 / 26Q2</t>
        </is>
      </c>
      <c r="H310" s="12" t="n">
        <v>5290</v>
      </c>
      <c r="I310" s="12" t="n">
        <v>5251</v>
      </c>
      <c r="J310" s="12" t="n">
        <v>5079</v>
      </c>
      <c r="K310" s="12" t="n">
        <v>4758</v>
      </c>
      <c r="L310" s="12" t="n">
        <v>5356</v>
      </c>
      <c r="M310" s="13">
        <f>IF(OR(N(H310)=0,L310=""),"",L310/H310-1)</f>
        <v>0.012476370510396961</v>
      </c>
      <c r="N310" s="14" t="n">
        <v>3232</v>
      </c>
      <c r="O310" s="14" t="n">
        <v>2911</v>
      </c>
      <c r="P310" s="14" t="n">
        <v>2956</v>
      </c>
      <c r="Q310" s="14" t="n">
        <v>3157</v>
      </c>
      <c r="R310" s="13">
        <f>IF(OR(N(L310)=0,Q310=""),"",Q310/L310)</f>
        <v>0.5894324122479462</v>
      </c>
      <c r="S310" s="14" t="n">
        <v>3820</v>
      </c>
      <c r="T310" s="13">
        <f>IF(OR(N(L310)=0,S310=""),"",S310/L310)</f>
        <v>0.7132188200149365</v>
      </c>
      <c r="U310" s="14" t="n">
        <v>2298</v>
      </c>
      <c r="V310" s="13">
        <f>IF(OR(N(L310)=0,U310=""),"",U310/L310)</f>
        <v>0.4290515309932786</v>
      </c>
      <c r="W310" s="14" t="n">
        <v>20139</v>
      </c>
      <c r="X310" s="14" t="n">
        <v>12035</v>
      </c>
      <c r="Y310" s="13">
        <f>IF(OR(N(W310)=0,X310=""),"",X310/W310)</f>
        <v>0.5975967029147425</v>
      </c>
      <c r="Z310" s="11" t="str">
        <f>IF(AA310="A","四季持續盈利",IF(AA310="B","最新季為正/波動",IF(AA310="C","虧損收窄",IF(AA310="D","虧損擴大或轉虧","數據不足"))))</f>
        <v>四季持續盈利</v>
      </c>
      <c r="AA310" s="9" t="str">
        <f>IF(COUNT(N310:Q310)&lt;4,"—",IF(MIN(N310:Q310)&gt;0,"A",IF(Q310&gt;0,"B",IF(Q310&gt;N310,"C","D"))))</f>
        <v>A</v>
      </c>
      <c r="AB310" s="9" t="inlineStr">
        <is>
          <t>2026-06-30</t>
        </is>
      </c>
    </row>
    <row r="311" ht="15" customHeight="1">
      <c r="A311" s="9" t="n">
        <v>310</v>
      </c>
      <c r="B311" s="10" t="inlineStr">
        <is>
          <t>MOD</t>
        </is>
      </c>
      <c r="C311" s="11" t="inlineStr">
        <is>
          <t>AI資料中心建設</t>
        </is>
      </c>
      <c r="D311" s="11" t="inlineStr">
        <is>
          <t>Modine Manufacturing Company</t>
        </is>
      </c>
      <c r="E311" s="11" t="inlineStr">
        <is>
          <t>F2 散熱液冷</t>
        </is>
      </c>
      <c r="F311" s="9" t="inlineStr">
        <is>
          <t>USD</t>
        </is>
      </c>
      <c r="G311" s="11" t="inlineStr">
        <is>
          <t>25Q2 / 25Q3 / 25Q4 / 26Q1 / 26Q2</t>
        </is>
      </c>
      <c r="H311" s="12" t="n">
        <v>682.8</v>
      </c>
      <c r="I311" s="12" t="n">
        <v>738.9</v>
      </c>
      <c r="J311" s="12" t="n">
        <v>805</v>
      </c>
      <c r="K311" s="12" t="n">
        <v>954.4</v>
      </c>
      <c r="L311" s="12" t="n">
        <v>874.1</v>
      </c>
      <c r="M311" s="13">
        <f>IF(OR(N(H311)=0,L311=""),"",L311/H311-1)</f>
        <v>0.2801698886936146</v>
      </c>
      <c r="N311" s="14" t="n">
        <v>80.7</v>
      </c>
      <c r="O311" s="14" t="n">
        <v>96.8</v>
      </c>
      <c r="P311" s="14" t="n">
        <v>113</v>
      </c>
      <c r="Q311" s="14" t="n">
        <v>78.7</v>
      </c>
      <c r="R311" s="13">
        <f>IF(OR(N(L311)=0,Q311=""),"",Q311/L311)</f>
        <v>0.09003546504976548</v>
      </c>
      <c r="S311" s="14" t="n">
        <v>182</v>
      </c>
      <c r="T311" s="13">
        <f>IF(OR(N(L311)=0,S311=""),"",S311/L311)</f>
        <v>0.2082141631392289</v>
      </c>
      <c r="U311" s="14" t="n">
        <v>73.90000000000001</v>
      </c>
      <c r="V311" s="13">
        <f>IF(OR(N(L311)=0,U311=""),"",U311/L311)</f>
        <v>0.08454410250543416</v>
      </c>
      <c r="W311" s="14" t="n">
        <v>3181.1</v>
      </c>
      <c r="X311" s="14" t="n">
        <v>371</v>
      </c>
      <c r="Y311" s="13">
        <f>IF(OR(N(W311)=0,X311=""),"",X311/W311)</f>
        <v>0.11662632422746849</v>
      </c>
      <c r="Z311" s="11" t="str">
        <f>IF(AA311="A","四季持續盈利",IF(AA311="B","最新季為正/波動",IF(AA311="C","虧損收窄",IF(AA311="D","虧損擴大或轉虧","數據不足"))))</f>
        <v>四季持續盈利</v>
      </c>
      <c r="AA311" s="9" t="str">
        <f>IF(COUNT(N311:Q311)&lt;4,"—",IF(MIN(N311:Q311)&gt;0,"A",IF(Q311&gt;0,"B",IF(Q311&gt;N311,"C","D"))))</f>
        <v>A</v>
      </c>
      <c r="AB311" s="9" t="inlineStr">
        <is>
          <t>2026-06-30</t>
        </is>
      </c>
    </row>
    <row r="312" ht="15" customHeight="1">
      <c r="A312" s="9" t="n">
        <v>311</v>
      </c>
      <c r="B312" s="10" t="inlineStr">
        <is>
          <t>MOS</t>
        </is>
      </c>
      <c r="C312" s="11" t="inlineStr">
        <is>
          <t>基礎化工與化肥</t>
        </is>
      </c>
      <c r="D312" s="11" t="inlineStr">
        <is>
          <t>The Mosaic Company</t>
        </is>
      </c>
      <c r="E312" s="11" t="inlineStr">
        <is>
          <t>Agricultural Inputs</t>
        </is>
      </c>
      <c r="F312" s="9" t="inlineStr">
        <is>
          <t>USD</t>
        </is>
      </c>
      <c r="G312" s="11" t="inlineStr">
        <is>
          <t>25Q2 / 25Q3 / 25Q4 / 26Q1 / 26Q2</t>
        </is>
      </c>
      <c r="H312" s="12" t="n">
        <v>3005.7</v>
      </c>
      <c r="I312" s="12" t="n">
        <v>3452.1</v>
      </c>
      <c r="J312" s="12" t="n">
        <v>2973.7</v>
      </c>
      <c r="K312" s="12" t="n">
        <v>2998</v>
      </c>
      <c r="L312" s="12" t="n">
        <v>2824.1</v>
      </c>
      <c r="M312" s="13">
        <f>IF(OR(N(H312)=0,L312=""),"",L312/H312-1)</f>
        <v>-0.06041853811092257</v>
      </c>
      <c r="N312" s="14" t="n">
        <v>339.8</v>
      </c>
      <c r="O312" s="14" t="n">
        <v>156</v>
      </c>
      <c r="P312" s="14" t="n">
        <v>-140.3</v>
      </c>
      <c r="Q312" s="14" t="n">
        <v>-29.3</v>
      </c>
      <c r="R312" s="13">
        <f>IF(OR(N(L312)=0,Q312=""),"",Q312/L312)</f>
        <v>-0.010374986721433378</v>
      </c>
      <c r="S312" s="14" t="n">
        <v>214.7</v>
      </c>
      <c r="T312" s="13">
        <f>IF(OR(N(L312)=0,S312=""),"",S312/L312)</f>
        <v>0.07602422010552035</v>
      </c>
      <c r="U312" s="14" t="n">
        <v>-272.8</v>
      </c>
      <c r="V312" s="13">
        <f>IF(OR(N(L312)=0,U312=""),"",U312/L312)</f>
        <v>-0.09659714599341383</v>
      </c>
      <c r="W312" s="14" t="n">
        <v>12052.4</v>
      </c>
      <c r="X312" s="14" t="n">
        <v>1078.7</v>
      </c>
      <c r="Y312" s="13">
        <f>IF(OR(N(W312)=0,X312=""),"",X312/W312)</f>
        <v>0.08950084630447049</v>
      </c>
      <c r="Z312" s="11" t="str">
        <f>IF(AA312="A","四季持續盈利",IF(AA312="B","最新季為正/波動",IF(AA312="C","虧損收窄",IF(AA312="D","虧損擴大或轉虧","數據不足"))))</f>
        <v>虧損擴大或轉虧</v>
      </c>
      <c r="AA312" s="9" t="str">
        <f>IF(COUNT(N312:Q312)&lt;4,"—",IF(MIN(N312:Q312)&gt;0,"A",IF(Q312&gt;0,"B",IF(Q312&gt;N312,"C","D"))))</f>
        <v>D</v>
      </c>
      <c r="AB312" s="9" t="inlineStr">
        <is>
          <t>2026-06-30</t>
        </is>
      </c>
    </row>
    <row r="313" ht="15" customHeight="1">
      <c r="A313" s="9" t="n">
        <v>312</v>
      </c>
      <c r="B313" s="10" t="inlineStr">
        <is>
          <t>MP</t>
        </is>
      </c>
      <c r="C313" s="11" t="inlineStr">
        <is>
          <t>稀土與關鍵礦產</t>
        </is>
      </c>
      <c r="D313" s="11" t="inlineStr">
        <is>
          <t>MP Materials Corp.</t>
        </is>
      </c>
      <c r="E313" s="11" t="inlineStr">
        <is>
          <t>Other Industrial Metals &amp; Mining</t>
        </is>
      </c>
      <c r="F313" s="9" t="inlineStr">
        <is>
          <t>USD</t>
        </is>
      </c>
      <c r="G313" s="11" t="inlineStr">
        <is>
          <t>25Q2 / 25Q3 / 25Q4 / 26Q1 / 26Q2</t>
        </is>
      </c>
      <c r="H313" s="12" t="n">
        <v>57.393</v>
      </c>
      <c r="I313" s="12" t="n">
        <v>53.553</v>
      </c>
      <c r="J313" s="12" t="n">
        <v>52.685</v>
      </c>
      <c r="K313" s="12" t="n">
        <v>90.649</v>
      </c>
      <c r="L313" s="12" t="n">
        <v>108.49</v>
      </c>
      <c r="M313" s="13">
        <f>IF(OR(N(H313)=0,L313=""),"",L313/H313-1)</f>
        <v>0.8903002108271043</v>
      </c>
      <c r="N313" s="14" t="n">
        <v>-65.61</v>
      </c>
      <c r="O313" s="14" t="n">
        <v>-2.555</v>
      </c>
      <c r="P313" s="14" t="n">
        <v>-18.233</v>
      </c>
      <c r="Q313" s="14" t="n">
        <v>-17.601</v>
      </c>
      <c r="R313" s="13">
        <f>IF(OR(N(L313)=0,Q313=""),"",Q313/L313)</f>
        <v>-0.16223615079730852</v>
      </c>
      <c r="S313" s="14" t="n">
        <v>0.819</v>
      </c>
      <c r="T313" s="13">
        <f>IF(OR(N(L313)=0,S313=""),"",S313/L313)</f>
        <v>0.007549082864780164</v>
      </c>
      <c r="U313" s="14" t="n">
        <v>-20.296</v>
      </c>
      <c r="V313" s="13">
        <f>IF(OR(N(L313)=0,U313=""),"",U313/L313)</f>
        <v>-0.18707714996773897</v>
      </c>
      <c r="W313" s="14" t="n">
        <v>224.441</v>
      </c>
      <c r="X313" s="14" t="n">
        <v>-145.088</v>
      </c>
      <c r="Y313" s="13">
        <f>IF(OR(N(W313)=0,X313=""),"",X313/W313)</f>
        <v>-0.646441603806791</v>
      </c>
      <c r="Z313" s="11" t="str">
        <f>IF(AA313="A","四季持續盈利",IF(AA313="B","最新季為正/波動",IF(AA313="C","虧損收窄",IF(AA313="D","虧損擴大或轉虧","數據不足"))))</f>
        <v>虧損收窄</v>
      </c>
      <c r="AA313" s="9" t="str">
        <f>IF(COUNT(N313:Q313)&lt;4,"—",IF(MIN(N313:Q313)&gt;0,"A",IF(Q313&gt;0,"B",IF(Q313&gt;N313,"C","D"))))</f>
        <v>C</v>
      </c>
      <c r="AB313" s="9" t="inlineStr">
        <is>
          <t>2026-06-30</t>
        </is>
      </c>
    </row>
    <row r="314" ht="15" customHeight="1">
      <c r="A314" s="9" t="n">
        <v>313</v>
      </c>
      <c r="B314" s="10" t="inlineStr">
        <is>
          <t>MPC</t>
        </is>
      </c>
      <c r="C314" s="11" t="inlineStr">
        <is>
          <t>煉油與成品油</t>
        </is>
      </c>
      <c r="D314" s="11" t="inlineStr">
        <is>
          <t>Marathon Petroleum Corporation</t>
        </is>
      </c>
      <c r="E314" s="11" t="inlineStr">
        <is>
          <t>Oil &amp; Gas Refining &amp; Marketing</t>
        </is>
      </c>
      <c r="F314" s="9" t="inlineStr">
        <is>
          <t>USD</t>
        </is>
      </c>
      <c r="G314" s="11" t="inlineStr">
        <is>
          <t>25Q2 / 25Q3 / 25Q4 / 26Q1 / 26Q2</t>
        </is>
      </c>
      <c r="H314" s="12" t="n">
        <v>33799</v>
      </c>
      <c r="I314" s="12" t="n">
        <v>34809</v>
      </c>
      <c r="J314" s="12" t="n">
        <v>32574</v>
      </c>
      <c r="K314" s="12" t="n">
        <v>34200</v>
      </c>
      <c r="L314" s="12" t="n">
        <v>51994</v>
      </c>
      <c r="M314" s="13">
        <f>IF(OR(N(H314)=0,L314=""),"",L314/H314-1)</f>
        <v>0.5383295363768159</v>
      </c>
      <c r="N314" s="14" t="n">
        <v>1673</v>
      </c>
      <c r="O314" s="14" t="n">
        <v>1846</v>
      </c>
      <c r="P314" s="14" t="n">
        <v>1036</v>
      </c>
      <c r="Q314" s="14" t="n">
        <v>6979</v>
      </c>
      <c r="R314" s="13">
        <f>IF(OR(N(L314)=0,Q314=""),"",Q314/L314)</f>
        <v>0.13422702619533022</v>
      </c>
      <c r="S314" s="14" t="n">
        <v>8092</v>
      </c>
      <c r="T314" s="13">
        <f>IF(OR(N(L314)=0,S314=""),"",S314/L314)</f>
        <v>0.15563334230872794</v>
      </c>
      <c r="U314" s="14" t="n">
        <v>5138</v>
      </c>
      <c r="V314" s="13">
        <f>IF(OR(N(L314)=0,U314=""),"",U314/L314)</f>
        <v>0.0988190945109051</v>
      </c>
      <c r="W314" s="14" t="n">
        <v>132699</v>
      </c>
      <c r="X314" s="14" t="n">
        <v>5768</v>
      </c>
      <c r="Y314" s="13">
        <f>IF(OR(N(W314)=0,X314=""),"",X314/W314)</f>
        <v>0.04346679326897716</v>
      </c>
      <c r="Z314" s="11" t="str">
        <f>IF(AA314="A","四季持續盈利",IF(AA314="B","最新季為正/波動",IF(AA314="C","虧損收窄",IF(AA314="D","虧損擴大或轉虧","數據不足"))))</f>
        <v>四季持續盈利</v>
      </c>
      <c r="AA314" s="9" t="str">
        <f>IF(COUNT(N314:Q314)&lt;4,"—",IF(MIN(N314:Q314)&gt;0,"A",IF(Q314&gt;0,"B",IF(Q314&gt;N314,"C","D"))))</f>
        <v>A</v>
      </c>
      <c r="AB314" s="9" t="inlineStr">
        <is>
          <t>2026-06-30</t>
        </is>
      </c>
    </row>
    <row r="315" ht="15" customHeight="1">
      <c r="A315" s="9" t="n">
        <v>314</v>
      </c>
      <c r="B315" s="10" t="inlineStr">
        <is>
          <t>MPWR</t>
        </is>
      </c>
      <c r="C315" s="11" t="inlineStr">
        <is>
          <t>類比/功率半導體</t>
        </is>
      </c>
      <c r="D315" s="11" t="inlineStr">
        <is>
          <t>Monolithic Power Systems, Inc.</t>
        </is>
      </c>
      <c r="E315" s="11" t="inlineStr">
        <is>
          <t>Semiconductors</t>
        </is>
      </c>
      <c r="F315" s="9" t="inlineStr">
        <is>
          <t>USD</t>
        </is>
      </c>
      <c r="G315" s="11" t="inlineStr">
        <is>
          <t>25Q2 / 25Q3 / 25Q4 / 26Q1 / 26Q2</t>
        </is>
      </c>
      <c r="H315" s="12" t="n">
        <v>664.574</v>
      </c>
      <c r="I315" s="12" t="n">
        <v>737.176</v>
      </c>
      <c r="J315" s="12" t="n">
        <v>751.155</v>
      </c>
      <c r="K315" s="12" t="n">
        <v>804.1849999999999</v>
      </c>
      <c r="L315" s="12" t="n">
        <v>980.6420000000001</v>
      </c>
      <c r="M315" s="13">
        <f>IF(OR(N(H315)=0,L315=""),"",L315/H315-1)</f>
        <v>0.4755948923671407</v>
      </c>
      <c r="N315" s="14" t="n">
        <v>195.183</v>
      </c>
      <c r="O315" s="14" t="n">
        <v>199.936</v>
      </c>
      <c r="P315" s="14" t="n">
        <v>241.152</v>
      </c>
      <c r="Q315" s="14" t="n">
        <v>303.894</v>
      </c>
      <c r="R315" s="13">
        <f>IF(OR(N(L315)=0,Q315=""),"",Q315/L315)</f>
        <v>0.30989290689160776</v>
      </c>
      <c r="S315" s="14" t="n">
        <v>541.0700000000001</v>
      </c>
      <c r="T315" s="13">
        <f>IF(OR(N(L315)=0,S315=""),"",S315/L315)</f>
        <v>0.5517507918282105</v>
      </c>
      <c r="U315" s="14" t="n">
        <v>257.298</v>
      </c>
      <c r="V315" s="13">
        <f>IF(OR(N(L315)=0,U315=""),"",U315/L315)</f>
        <v>0.26237709582090096</v>
      </c>
      <c r="W315" s="14" t="n">
        <v>2790.459</v>
      </c>
      <c r="X315" s="14" t="n">
        <v>728.636</v>
      </c>
      <c r="Y315" s="13">
        <f>IF(OR(N(W315)=0,X315=""),"",X315/W315)</f>
        <v>0.26111689868942706</v>
      </c>
      <c r="Z315" s="11" t="str">
        <f>IF(AA315="A","四季持續盈利",IF(AA315="B","最新季為正/波動",IF(AA315="C","虧損收窄",IF(AA315="D","虧損擴大或轉虧","數據不足"))))</f>
        <v>四季持續盈利</v>
      </c>
      <c r="AA315" s="9" t="str">
        <f>IF(COUNT(N315:Q315)&lt;4,"—",IF(MIN(N315:Q315)&gt;0,"A",IF(Q315&gt;0,"B",IF(Q315&gt;N315,"C","D"))))</f>
        <v>A</v>
      </c>
      <c r="AB315" s="9" t="inlineStr">
        <is>
          <t>2026-06-30</t>
        </is>
      </c>
    </row>
    <row r="316" ht="15" customHeight="1">
      <c r="A316" s="9" t="n">
        <v>315</v>
      </c>
      <c r="B316" s="10" t="inlineStr">
        <is>
          <t>MRK</t>
        </is>
      </c>
      <c r="C316" s="11" t="inlineStr">
        <is>
          <t>大型藥廠</t>
        </is>
      </c>
      <c r="D316" s="11" t="inlineStr">
        <is>
          <t>Merck &amp; Co., Inc.</t>
        </is>
      </c>
      <c r="E316" s="11" t="inlineStr">
        <is>
          <t>Drug Manufacturers - General</t>
        </is>
      </c>
      <c r="F316" s="9" t="inlineStr">
        <is>
          <t>USD</t>
        </is>
      </c>
      <c r="G316" s="11" t="inlineStr">
        <is>
          <t>25Q2 / 25Q3 / 25Q4 / 26Q1 / 26Q2</t>
        </is>
      </c>
      <c r="H316" s="12" t="n">
        <v>15806</v>
      </c>
      <c r="I316" s="12" t="n">
        <v>17276</v>
      </c>
      <c r="J316" s="12" t="n">
        <v>16400</v>
      </c>
      <c r="K316" s="12" t="n">
        <v>16286</v>
      </c>
      <c r="L316" s="12" t="n">
        <v>16607</v>
      </c>
      <c r="M316" s="13">
        <f>IF(OR(N(H316)=0,L316=""),"",L316/H316-1)</f>
        <v>0.050676958117170656</v>
      </c>
      <c r="N316" s="14" t="n">
        <v>6554</v>
      </c>
      <c r="O316" s="14" t="n">
        <v>4065</v>
      </c>
      <c r="P316" s="14" t="n">
        <v>-3201</v>
      </c>
      <c r="Q316" s="14" t="n">
        <v>-433</v>
      </c>
      <c r="R316" s="13">
        <f>IF(OR(N(L316)=0,Q316=""),"",Q316/L316)</f>
        <v>-0.02607334256638767</v>
      </c>
      <c r="S316" s="14" t="n">
        <v>12212</v>
      </c>
      <c r="T316" s="13">
        <f>IF(OR(N(L316)=0,S316=""),"",S316/L316)</f>
        <v>0.7353525621725778</v>
      </c>
      <c r="U316" s="14" t="n">
        <v>-1335</v>
      </c>
      <c r="V316" s="13">
        <f>IF(OR(N(L316)=0,U316=""),"",U316/L316)</f>
        <v>-0.08038778828204973</v>
      </c>
      <c r="W316" s="14" t="n">
        <v>65011</v>
      </c>
      <c r="X316" s="14" t="n">
        <v>22107</v>
      </c>
      <c r="Y316" s="13">
        <f>IF(OR(N(W316)=0,X316=""),"",X316/W316)</f>
        <v>0.340050145360016</v>
      </c>
      <c r="Z316" s="11" t="str">
        <f>IF(AA316="A","四季持續盈利",IF(AA316="B","最新季為正/波動",IF(AA316="C","虧損收窄",IF(AA316="D","虧損擴大或轉虧","數據不足"))))</f>
        <v>虧損擴大或轉虧</v>
      </c>
      <c r="AA316" s="9" t="str">
        <f>IF(COUNT(N316:Q316)&lt;4,"—",IF(MIN(N316:Q316)&gt;0,"A",IF(Q316&gt;0,"B",IF(Q316&gt;N316,"C","D"))))</f>
        <v>D</v>
      </c>
      <c r="AB316" s="9" t="inlineStr">
        <is>
          <t>2026-06-30</t>
        </is>
      </c>
    </row>
    <row r="317" ht="15" customHeight="1">
      <c r="A317" s="9" t="n">
        <v>316</v>
      </c>
      <c r="B317" s="10" t="inlineStr">
        <is>
          <t>MRVL</t>
        </is>
      </c>
      <c r="C317" s="11" t="inlineStr">
        <is>
          <t>AI加速晶片/GPU</t>
        </is>
      </c>
      <c r="D317" s="11" t="inlineStr">
        <is>
          <t>Marvell Technology, Inc.</t>
        </is>
      </c>
      <c r="E317" s="11" t="inlineStr">
        <is>
          <t>A2 ASIC</t>
        </is>
      </c>
      <c r="F317" s="9" t="inlineStr">
        <is>
          <t>USD</t>
        </is>
      </c>
      <c r="G317" s="11" t="inlineStr">
        <is>
          <t>25Q3 / 25Q4 / 26Q1 / 26Q2 / 26Q3</t>
        </is>
      </c>
      <c r="H317" s="12" t="n">
        <v>2006.1</v>
      </c>
      <c r="I317" s="12" t="n">
        <v>2074.5</v>
      </c>
      <c r="J317" s="12" t="n">
        <v>2218.7</v>
      </c>
      <c r="K317" s="12" t="n">
        <v>2417.8</v>
      </c>
      <c r="L317" s="12" t="n">
        <v>2739.3</v>
      </c>
      <c r="M317" s="13">
        <f>IF(OR(N(H317)=0,L317=""),"",L317/H317-1)</f>
        <v>0.3654852699267237</v>
      </c>
      <c r="N317" s="14" t="n">
        <v>367.4</v>
      </c>
      <c r="O317" s="14" t="n">
        <v>413.9</v>
      </c>
      <c r="P317" s="14" t="n">
        <v>350.1</v>
      </c>
      <c r="Q317" s="14" t="n">
        <v>456.9</v>
      </c>
      <c r="R317" s="13">
        <f>IF(OR(N(L317)=0,Q317=""),"",Q317/L317)</f>
        <v>0.16679443653488116</v>
      </c>
      <c r="S317" s="14" t="n">
        <v>1455.6</v>
      </c>
      <c r="T317" s="13">
        <f>IF(OR(N(L317)=0,S317=""),"",S317/L317)</f>
        <v>0.5313766290658196</v>
      </c>
      <c r="U317" s="14" t="n">
        <v>308</v>
      </c>
      <c r="V317" s="13">
        <f>IF(OR(N(L317)=0,U317=""),"",U317/L317)</f>
        <v>0.11243748402876647</v>
      </c>
      <c r="W317" s="14" t="n">
        <v>8194.6</v>
      </c>
      <c r="X317" s="14" t="n">
        <v>1338.4</v>
      </c>
      <c r="Y317" s="13">
        <f>IF(OR(N(W317)=0,X317=""),"",X317/W317)</f>
        <v>0.16332706904546898</v>
      </c>
      <c r="Z317" s="11" t="str">
        <f>IF(AA317="A","四季持續盈利",IF(AA317="B","最新季為正/波動",IF(AA317="C","虧損收窄",IF(AA317="D","虧損擴大或轉虧","數據不足"))))</f>
        <v>四季持續盈利</v>
      </c>
      <c r="AA317" s="9" t="str">
        <f>IF(COUNT(N317:Q317)&lt;4,"—",IF(MIN(N317:Q317)&gt;0,"A",IF(Q317&gt;0,"B",IF(Q317&gt;N317,"C","D"))))</f>
        <v>A</v>
      </c>
      <c r="AB317" s="9" t="inlineStr">
        <is>
          <t>2026-07-31</t>
        </is>
      </c>
    </row>
    <row r="318" ht="15" customHeight="1">
      <c r="A318" s="9" t="n">
        <v>317</v>
      </c>
      <c r="B318" s="10" t="inlineStr">
        <is>
          <t>MS</t>
        </is>
      </c>
      <c r="C318" s="11" t="inlineStr">
        <is>
          <t>投行與資本巿場</t>
        </is>
      </c>
      <c r="D318" s="11" t="inlineStr">
        <is>
          <t>Morgan Stanley</t>
        </is>
      </c>
      <c r="E318" s="11" t="inlineStr">
        <is>
          <t>Capital Markets</t>
        </is>
      </c>
      <c r="F318" s="9" t="inlineStr">
        <is>
          <t>USD</t>
        </is>
      </c>
      <c r="G318" s="11" t="inlineStr">
        <is>
          <t>25Q2 / 25Q3 / 25Q4 / 26Q1 / 26Q2</t>
        </is>
      </c>
      <c r="H318" s="12" t="n">
        <v>15604</v>
      </c>
      <c r="I318" s="12" t="n">
        <v>17083</v>
      </c>
      <c r="J318" s="12" t="n">
        <v>16762</v>
      </c>
      <c r="K318" s="12" t="n">
        <v>19324</v>
      </c>
      <c r="L318" s="12" t="n">
        <v>19884</v>
      </c>
      <c r="M318" s="13">
        <f>IF(OR(N(H318)=0,L318=""),"",L318/H318-1)</f>
        <v>0.2742886439374519</v>
      </c>
      <c r="N318" s="14" t="n"/>
      <c r="O318" s="14" t="n"/>
      <c r="P318" s="14" t="n"/>
      <c r="Q318" s="14" t="n"/>
      <c r="R318" s="13" t="str">
        <f>IF(OR(N(L318)=0,Q318=""),"",Q318/L318)</f>
        <v/>
      </c>
      <c r="S318" s="14" t="n"/>
      <c r="T318" s="13" t="str">
        <f>IF(OR(N(L318)=0,S318=""),"",S318/L318)</f>
        <v/>
      </c>
      <c r="U318" s="14" t="n">
        <v>5581</v>
      </c>
      <c r="V318" s="13">
        <f>IF(OR(N(L318)=0,U318=""),"",U318/L318)</f>
        <v>0.2806779320056327</v>
      </c>
      <c r="W318" s="14" t="n">
        <v>65966</v>
      </c>
      <c r="X318" s="14" t="n"/>
      <c r="Y318" s="13" t="str">
        <f>IF(OR(N(W318)=0,X318=""),"",X318/W318)</f>
        <v/>
      </c>
      <c r="Z318" s="11" t="str">
        <f>IF(AA318="A","四季持續盈利",IF(AA318="B","最新季為正/波動",IF(AA318="C","虧損收窄",IF(AA318="D","虧損擴大或轉虧","數據不足"))))</f>
        <v>數據不足</v>
      </c>
      <c r="AA318" s="9" t="str">
        <f>IF(COUNT(N318:Q318)&lt;4,"—",IF(MIN(N318:Q318)&gt;0,"A",IF(Q318&gt;0,"B",IF(Q318&gt;N318,"C","D"))))</f>
        <v>—</v>
      </c>
      <c r="AB318" s="9" t="inlineStr">
        <is>
          <t>2026-06-30</t>
        </is>
      </c>
    </row>
    <row r="319" ht="15" customHeight="1">
      <c r="A319" s="9" t="n">
        <v>318</v>
      </c>
      <c r="B319" s="10" t="inlineStr">
        <is>
          <t>MSFT</t>
        </is>
      </c>
      <c r="C319" s="11" t="inlineStr">
        <is>
          <t>雲端基建/IaaS/Neocloud</t>
        </is>
      </c>
      <c r="D319" s="11" t="inlineStr">
        <is>
          <t>Microsoft Corporation</t>
        </is>
      </c>
      <c r="E319" s="11" t="inlineStr">
        <is>
          <t>AA2 Hyperscaler</t>
        </is>
      </c>
      <c r="F319" s="9" t="inlineStr">
        <is>
          <t>USD</t>
        </is>
      </c>
      <c r="G319" s="11" t="inlineStr">
        <is>
          <t>25Q2 / 25Q3 / 25Q4 / 26Q1 / 26Q2</t>
        </is>
      </c>
      <c r="H319" s="12" t="n">
        <v>76441</v>
      </c>
      <c r="I319" s="12" t="n">
        <v>77673</v>
      </c>
      <c r="J319" s="12" t="n">
        <v>81273</v>
      </c>
      <c r="K319" s="12" t="n">
        <v>82886</v>
      </c>
      <c r="L319" s="12" t="n">
        <v>90007</v>
      </c>
      <c r="M319" s="13">
        <f>IF(OR(N(H319)=0,L319=""),"",L319/H319-1)</f>
        <v>0.17747020577962092</v>
      </c>
      <c r="N319" s="14" t="n">
        <v>37961</v>
      </c>
      <c r="O319" s="14" t="n">
        <v>38275</v>
      </c>
      <c r="P319" s="14" t="n">
        <v>38398</v>
      </c>
      <c r="Q319" s="14" t="n">
        <v>40603</v>
      </c>
      <c r="R319" s="13">
        <f>IF(OR(N(L319)=0,Q319=""),"",Q319/L319)</f>
        <v>0.4511093581610319</v>
      </c>
      <c r="S319" s="14" t="n">
        <v>60482</v>
      </c>
      <c r="T319" s="13">
        <f>IF(OR(N(L319)=0,S319=""),"",S319/L319)</f>
        <v>0.671969957892164</v>
      </c>
      <c r="U319" s="14" t="n">
        <v>35766</v>
      </c>
      <c r="V319" s="13">
        <f>IF(OR(N(L319)=0,U319=""),"",U319/L319)</f>
        <v>0.3973690935149488</v>
      </c>
      <c r="W319" s="14" t="n">
        <v>331839</v>
      </c>
      <c r="X319" s="14" t="n">
        <v>155237</v>
      </c>
      <c r="Y319" s="13">
        <f>IF(OR(N(W319)=0,X319=""),"",X319/W319)</f>
        <v>0.4678081840892722</v>
      </c>
      <c r="Z319" s="11" t="str">
        <f>IF(AA319="A","四季持續盈利",IF(AA319="B","最新季為正/波動",IF(AA319="C","虧損收窄",IF(AA319="D","虧損擴大或轉虧","數據不足"))))</f>
        <v>四季持續盈利</v>
      </c>
      <c r="AA319" s="9" t="str">
        <f>IF(COUNT(N319:Q319)&lt;4,"—",IF(MIN(N319:Q319)&gt;0,"A",IF(Q319&gt;0,"B",IF(Q319&gt;N319,"C","D"))))</f>
        <v>A</v>
      </c>
      <c r="AB319" s="9" t="inlineStr">
        <is>
          <t>2026-06-30</t>
        </is>
      </c>
    </row>
    <row r="320" ht="15" customHeight="1">
      <c r="A320" s="9" t="n">
        <v>319</v>
      </c>
      <c r="B320" s="10" t="inlineStr">
        <is>
          <t>MTB</t>
        </is>
      </c>
      <c r="C320" s="11" t="inlineStr">
        <is>
          <t>區域與社區銀行</t>
        </is>
      </c>
      <c r="D320" s="11" t="inlineStr">
        <is>
          <t>M&amp;T Bank Corporation</t>
        </is>
      </c>
      <c r="E320" s="11" t="inlineStr">
        <is>
          <t>Banks - Regional</t>
        </is>
      </c>
      <c r="F320" s="9" t="inlineStr">
        <is>
          <t>USD</t>
        </is>
      </c>
      <c r="G320" s="11" t="inlineStr">
        <is>
          <t>25Q2 / 25Q3 / 25Q4 / 26Q1 / 26Q2</t>
        </is>
      </c>
      <c r="H320" s="12" t="n">
        <v>2386</v>
      </c>
      <c r="I320" s="12" t="n">
        <v>2493</v>
      </c>
      <c r="J320" s="12" t="n">
        <v>2437</v>
      </c>
      <c r="K320" s="12" t="n">
        <v>2408</v>
      </c>
      <c r="L320" s="12" t="n">
        <v>2485</v>
      </c>
      <c r="M320" s="13">
        <f>IF(OR(N(H320)=0,L320=""),"",L320/H320-1)</f>
        <v>0.04149203688181058</v>
      </c>
      <c r="N320" s="14" t="n"/>
      <c r="O320" s="14" t="n"/>
      <c r="P320" s="14" t="n"/>
      <c r="Q320" s="14" t="n"/>
      <c r="R320" s="13" t="str">
        <f>IF(OR(N(L320)=0,Q320=""),"",Q320/L320)</f>
        <v/>
      </c>
      <c r="S320" s="14" t="n"/>
      <c r="T320" s="13" t="str">
        <f>IF(OR(N(L320)=0,S320=""),"",S320/L320)</f>
        <v/>
      </c>
      <c r="U320" s="14" t="n">
        <v>818</v>
      </c>
      <c r="V320" s="13">
        <f>IF(OR(N(L320)=0,U320=""),"",U320/L320)</f>
        <v>0.3291750503018109</v>
      </c>
      <c r="W320" s="14" t="n">
        <v>9632</v>
      </c>
      <c r="X320" s="14" t="n"/>
      <c r="Y320" s="13" t="str">
        <f>IF(OR(N(W320)=0,X320=""),"",X320/W320)</f>
        <v/>
      </c>
      <c r="Z320" s="11" t="str">
        <f>IF(AA320="A","四季持續盈利",IF(AA320="B","最新季為正/波動",IF(AA320="C","虧損收窄",IF(AA320="D","虧損擴大或轉虧","數據不足"))))</f>
        <v>數據不足</v>
      </c>
      <c r="AA320" s="9" t="str">
        <f>IF(COUNT(N320:Q320)&lt;4,"—",IF(MIN(N320:Q320)&gt;0,"A",IF(Q320&gt;0,"B",IF(Q320&gt;N320,"C","D"))))</f>
        <v>—</v>
      </c>
      <c r="AB320" s="9" t="inlineStr">
        <is>
          <t>2026-06-30</t>
        </is>
      </c>
    </row>
    <row r="321" ht="15" customHeight="1">
      <c r="A321" s="9" t="n">
        <v>320</v>
      </c>
      <c r="B321" s="10" t="inlineStr">
        <is>
          <t>MTCH</t>
        </is>
      </c>
      <c r="C321" s="11" t="inlineStr">
        <is>
          <t>社交與線上社群</t>
        </is>
      </c>
      <c r="D321" s="11" t="inlineStr">
        <is>
          <t>Match Group, Inc.</t>
        </is>
      </c>
      <c r="E321" s="11" t="inlineStr">
        <is>
          <t>Internet Content &amp; Information</t>
        </is>
      </c>
      <c r="F321" s="9" t="inlineStr">
        <is>
          <t>USD</t>
        </is>
      </c>
      <c r="G321" s="11" t="inlineStr">
        <is>
          <t>25Q2 / 25Q3 / 25Q4 / 26Q1 / 26Q2</t>
        </is>
      </c>
      <c r="H321" s="12" t="n">
        <v>863.7380000000001</v>
      </c>
      <c r="I321" s="12" t="n">
        <v>914.275</v>
      </c>
      <c r="J321" s="12" t="n">
        <v>878.006</v>
      </c>
      <c r="K321" s="12" t="n">
        <v>863.934</v>
      </c>
      <c r="L321" s="12" t="n">
        <v>853.105</v>
      </c>
      <c r="M321" s="13">
        <f>IF(OR(N(H321)=0,L321=""),"",L321/H321-1)</f>
        <v>-0.012310445991724372</v>
      </c>
      <c r="N321" s="14" t="n">
        <v>230.255</v>
      </c>
      <c r="O321" s="14" t="n">
        <v>293.332</v>
      </c>
      <c r="P321" s="14" t="n">
        <v>270.183</v>
      </c>
      <c r="Q321" s="14" t="n">
        <v>245.45</v>
      </c>
      <c r="R321" s="13">
        <f>IF(OR(N(L321)=0,Q321=""),"",Q321/L321)</f>
        <v>0.28771370464362533</v>
      </c>
      <c r="S321" s="14" t="n">
        <v>648.843</v>
      </c>
      <c r="T321" s="13">
        <f>IF(OR(N(L321)=0,S321=""),"",S321/L321)</f>
        <v>0.7605664015566664</v>
      </c>
      <c r="U321" s="14" t="n">
        <v>170.546</v>
      </c>
      <c r="V321" s="13">
        <f>IF(OR(N(L321)=0,U321=""),"",U321/L321)</f>
        <v>0.19991208585109685</v>
      </c>
      <c r="W321" s="14" t="n">
        <v>3487.197</v>
      </c>
      <c r="X321" s="14" t="n">
        <v>911.077</v>
      </c>
      <c r="Y321" s="13">
        <f>IF(OR(N(W321)=0,X321=""),"",X321/W321)</f>
        <v>0.26126341586093355</v>
      </c>
      <c r="Z321" s="11" t="str">
        <f>IF(AA321="A","四季持續盈利",IF(AA321="B","最新季為正/波動",IF(AA321="C","虧損收窄",IF(AA321="D","虧損擴大或轉虧","數據不足"))))</f>
        <v>四季持續盈利</v>
      </c>
      <c r="AA321" s="9" t="str">
        <f>IF(COUNT(N321:Q321)&lt;4,"—",IF(MIN(N321:Q321)&gt;0,"A",IF(Q321&gt;0,"B",IF(Q321&gt;N321,"C","D"))))</f>
        <v>A</v>
      </c>
      <c r="AB321" s="9" t="inlineStr">
        <is>
          <t>2026-06-30</t>
        </is>
      </c>
    </row>
    <row r="322" ht="15" customHeight="1">
      <c r="A322" s="9" t="n">
        <v>321</v>
      </c>
      <c r="B322" s="10" t="inlineStr">
        <is>
          <t>MTSI</t>
        </is>
      </c>
      <c r="C322" s="11" t="inlineStr">
        <is>
          <t>—</t>
        </is>
      </c>
      <c r="D322" s="11" t="inlineStr">
        <is>
          <t>MACOM Technology Solutions Holdings, Inc.</t>
        </is>
      </c>
      <c r="E322" s="11" t="inlineStr">
        <is>
          <t>D1 光模塊</t>
        </is>
      </c>
      <c r="F322" s="9" t="inlineStr">
        <is>
          <t>USD</t>
        </is>
      </c>
      <c r="G322" s="11" t="inlineStr">
        <is>
          <t>25Q2 / 25Q3 / 25Q4 / 26Q1 / 26Q2</t>
        </is>
      </c>
      <c r="H322" s="12" t="n">
        <v>252.079</v>
      </c>
      <c r="I322" s="12" t="n">
        <v>261.17</v>
      </c>
      <c r="J322" s="12" t="n">
        <v>271.612</v>
      </c>
      <c r="K322" s="12" t="n">
        <v>288.955</v>
      </c>
      <c r="L322" s="12" t="n">
        <v>342.237</v>
      </c>
      <c r="M322" s="13">
        <f>IF(OR(N(H322)=0,L322=""),"",L322/H322-1)</f>
        <v>0.357657718413672</v>
      </c>
      <c r="N322" s="14" t="n">
        <v>39.595</v>
      </c>
      <c r="O322" s="14" t="n">
        <v>43.297</v>
      </c>
      <c r="P322" s="14" t="n">
        <v>50.831</v>
      </c>
      <c r="Q322" s="14" t="n">
        <v>77.11499999999999</v>
      </c>
      <c r="R322" s="13">
        <f>IF(OR(N(L322)=0,Q322=""),"",Q322/L322)</f>
        <v>0.2253263089613338</v>
      </c>
      <c r="S322" s="14" t="n">
        <v>199.552</v>
      </c>
      <c r="T322" s="13">
        <f>IF(OR(N(L322)=0,S322=""),"",S322/L322)</f>
        <v>0.5830813149951641</v>
      </c>
      <c r="U322" s="14" t="n">
        <v>100.708</v>
      </c>
      <c r="V322" s="13">
        <f>IF(OR(N(L322)=0,U322=""),"",U322/L322)</f>
        <v>0.29426391652568246</v>
      </c>
      <c r="W322" s="14" t="n">
        <v>967.258</v>
      </c>
      <c r="X322" s="14" t="n">
        <v>129.652</v>
      </c>
      <c r="Y322" s="13">
        <f>IF(OR(N(W322)=0,X322=""),"",X322/W322)</f>
        <v>0.13404076265070952</v>
      </c>
      <c r="Z322" s="11" t="str">
        <f>IF(AA322="A","四季持續盈利",IF(AA322="B","最新季為正/波動",IF(AA322="C","虧損收窄",IF(AA322="D","虧損擴大或轉虧","數據不足"))))</f>
        <v>四季持續盈利</v>
      </c>
      <c r="AA322" s="9" t="str">
        <f>IF(COUNT(N322:Q322)&lt;4,"—",IF(MIN(N322:Q322)&gt;0,"A",IF(Q322&gt;0,"B",IF(Q322&gt;N322,"C","D"))))</f>
        <v>A</v>
      </c>
      <c r="AB322" s="9" t="inlineStr">
        <is>
          <t>2026-06-30</t>
        </is>
      </c>
    </row>
    <row r="323" ht="15" customHeight="1">
      <c r="A323" s="9" t="n">
        <v>322</v>
      </c>
      <c r="B323" s="10" t="inlineStr">
        <is>
          <t>MTZ</t>
        </is>
      </c>
      <c r="C323" s="11" t="inlineStr">
        <is>
          <t>工程建設/EPC</t>
        </is>
      </c>
      <c r="D323" s="11" t="inlineStr">
        <is>
          <t>MasTec, Inc.</t>
        </is>
      </c>
      <c r="E323" s="11" t="inlineStr">
        <is>
          <t>Engineering &amp; Construction</t>
        </is>
      </c>
      <c r="F323" s="9" t="inlineStr">
        <is>
          <t>USD</t>
        </is>
      </c>
      <c r="G323" s="11" t="inlineStr">
        <is>
          <t>25Q2 / 25Q3 / 25Q4 / 26Q1 / 26Q2</t>
        </is>
      </c>
      <c r="H323" s="12" t="n">
        <v>3544.705</v>
      </c>
      <c r="I323" s="12" t="n">
        <v>3966.948</v>
      </c>
      <c r="J323" s="12" t="n">
        <v>3939.8</v>
      </c>
      <c r="K323" s="12" t="n">
        <v>3828.801</v>
      </c>
      <c r="L323" s="12" t="n">
        <v>4373.554</v>
      </c>
      <c r="M323" s="13">
        <f>IF(OR(N(H323)=0,L323=""),"",L323/H323-1)</f>
        <v>0.2338273565783331</v>
      </c>
      <c r="N323" s="14" t="n">
        <v>252.144</v>
      </c>
      <c r="O323" s="14" t="n">
        <v>208.164</v>
      </c>
      <c r="P323" s="14" t="n">
        <v>141.802</v>
      </c>
      <c r="Q323" s="14" t="n">
        <v>226.202</v>
      </c>
      <c r="R323" s="13">
        <f>IF(OR(N(L323)=0,Q323=""),"",Q323/L323)</f>
        <v>0.051720408619626054</v>
      </c>
      <c r="S323" s="14" t="n">
        <v>556.284</v>
      </c>
      <c r="T323" s="13">
        <f>IF(OR(N(L323)=0,S323=""),"",S323/L323)</f>
        <v>0.12719266756509695</v>
      </c>
      <c r="U323" s="14" t="n">
        <v>130.117</v>
      </c>
      <c r="V323" s="13">
        <f>IF(OR(N(L323)=0,U323=""),"",U323/L323)</f>
        <v>0.029750861656218257</v>
      </c>
      <c r="W323" s="14" t="n">
        <v>14299.171</v>
      </c>
      <c r="X323" s="14" t="n">
        <v>652.643</v>
      </c>
      <c r="Y323" s="13">
        <f>IF(OR(N(W323)=0,X323=""),"",X323/W323)</f>
        <v>0.045642016589633065</v>
      </c>
      <c r="Z323" s="11" t="str">
        <f>IF(AA323="A","四季持續盈利",IF(AA323="B","最新季為正/波動",IF(AA323="C","虧損收窄",IF(AA323="D","虧損擴大或轉虧","數據不足"))))</f>
        <v>四季持續盈利</v>
      </c>
      <c r="AA323" s="9" t="str">
        <f>IF(COUNT(N323:Q323)&lt;4,"—",IF(MIN(N323:Q323)&gt;0,"A",IF(Q323&gt;0,"B",IF(Q323&gt;N323,"C","D"))))</f>
        <v>A</v>
      </c>
      <c r="AB323" s="9" t="inlineStr">
        <is>
          <t>2026-06-30</t>
        </is>
      </c>
    </row>
    <row r="324" ht="15" customHeight="1">
      <c r="A324" s="9" t="n">
        <v>323</v>
      </c>
      <c r="B324" s="10" t="inlineStr">
        <is>
          <t>MU</t>
        </is>
      </c>
      <c r="C324" s="11" t="inlineStr">
        <is>
          <t>記憶體/HBM</t>
        </is>
      </c>
      <c r="D324" s="11" t="inlineStr">
        <is>
          <t>Micron Technology, Inc.</t>
        </is>
      </c>
      <c r="E324" s="11" t="inlineStr">
        <is>
          <t>C1 HBM</t>
        </is>
      </c>
      <c r="F324" s="9" t="inlineStr">
        <is>
          <t>USD</t>
        </is>
      </c>
      <c r="G324" s="11" t="inlineStr">
        <is>
          <t>25Q2 / 25Q3 / 25Q4 / 26Q1 / 26Q2</t>
        </is>
      </c>
      <c r="H324" s="12" t="n">
        <v>9301</v>
      </c>
      <c r="I324" s="12" t="n">
        <v>11315</v>
      </c>
      <c r="J324" s="12" t="n">
        <v>13643</v>
      </c>
      <c r="K324" s="12" t="n">
        <v>23860</v>
      </c>
      <c r="L324" s="12" t="n">
        <v>41456</v>
      </c>
      <c r="M324" s="13">
        <f>IF(OR(N(H324)=0,L324=""),"",L324/H324-1)</f>
        <v>3.457155144608107</v>
      </c>
      <c r="N324" s="14" t="n">
        <v>3693</v>
      </c>
      <c r="O324" s="14" t="n">
        <v>6136</v>
      </c>
      <c r="P324" s="14" t="n">
        <v>16135</v>
      </c>
      <c r="Q324" s="14" t="n">
        <v>33318</v>
      </c>
      <c r="R324" s="13">
        <f>IF(OR(N(L324)=0,Q324=""),"",Q324/L324)</f>
        <v>0.8036954843689695</v>
      </c>
      <c r="S324" s="14" t="n">
        <v>35056</v>
      </c>
      <c r="T324" s="13">
        <f>IF(OR(N(L324)=0,S324=""),"",S324/L324)</f>
        <v>0.8456194519490544</v>
      </c>
      <c r="U324" s="14" t="n">
        <v>28243</v>
      </c>
      <c r="V324" s="13">
        <f>IF(OR(N(L324)=0,U324=""),"",U324/L324)</f>
        <v>0.6812765341566963</v>
      </c>
      <c r="W324" s="14" t="n">
        <v>37378</v>
      </c>
      <c r="X324" s="14" t="n">
        <v>9809</v>
      </c>
      <c r="Y324" s="13">
        <f>IF(OR(N(W324)=0,X324=""),"",X324/W324)</f>
        <v>0.2624270961528172</v>
      </c>
      <c r="Z324" s="11" t="str">
        <f>IF(AA324="A","四季持續盈利",IF(AA324="B","最新季為正/波動",IF(AA324="C","虧損收窄",IF(AA324="D","虧損擴大或轉虧","數據不足"))))</f>
        <v>四季持續盈利</v>
      </c>
      <c r="AA324" s="9" t="str">
        <f>IF(COUNT(N324:Q324)&lt;4,"—",IF(MIN(N324:Q324)&gt;0,"A",IF(Q324&gt;0,"B",IF(Q324&gt;N324,"C","D"))))</f>
        <v>A</v>
      </c>
      <c r="AB324" s="9" t="inlineStr">
        <is>
          <t>2026-05-31</t>
        </is>
      </c>
    </row>
    <row r="325" ht="15" customHeight="1">
      <c r="A325" s="9" t="n">
        <v>324</v>
      </c>
      <c r="B325" s="10" t="inlineStr">
        <is>
          <t>NB</t>
        </is>
      </c>
      <c r="C325" s="11" t="inlineStr">
        <is>
          <t>稀土與關鍵礦產</t>
        </is>
      </c>
      <c r="D325" s="11" t="inlineStr">
        <is>
          <t>NioCorp Developments Ltd.</t>
        </is>
      </c>
      <c r="E325" s="11" t="inlineStr">
        <is>
          <t>Other Industrial Metals &amp; Mining</t>
        </is>
      </c>
      <c r="F325" s="9" t="inlineStr">
        <is>
          <t>USD</t>
        </is>
      </c>
      <c r="G325" s="11" t="inlineStr">
        <is>
          <t>25Q1 / 25Q2 / 25Q3 / 25Q4 / 26Q1</t>
        </is>
      </c>
      <c r="H325" s="12" t="n">
        <v>0</v>
      </c>
      <c r="I325" s="12" t="n">
        <v>0</v>
      </c>
      <c r="J325" s="12" t="n">
        <v>0</v>
      </c>
      <c r="K325" s="12" t="n">
        <v>0</v>
      </c>
      <c r="L325" s="12" t="n">
        <v>0</v>
      </c>
      <c r="M325" s="13" t="str">
        <f>IF(OR(N(H325)=0,L325=""),"",L325/H325-1)</f>
        <v/>
      </c>
      <c r="N325" s="14" t="n">
        <v>-5.063</v>
      </c>
      <c r="O325" s="14" t="n">
        <v>-12.018</v>
      </c>
      <c r="P325" s="14" t="n">
        <v>-9.502000000000001</v>
      </c>
      <c r="Q325" s="14" t="n">
        <v>-7.33</v>
      </c>
      <c r="R325" s="13" t="str">
        <f>IF(OR(N(L325)=0,Q325=""),"",Q325/L325)</f>
        <v/>
      </c>
      <c r="S325" s="14" t="n"/>
      <c r="T325" s="13" t="str">
        <f>IF(OR(N(L325)=0,S325=""),"",S325/L325)</f>
        <v/>
      </c>
      <c r="U325" s="14" t="n">
        <v>0.669</v>
      </c>
      <c r="V325" s="13" t="str">
        <f>IF(OR(N(L325)=0,U325=""),"",U325/L325)</f>
        <v/>
      </c>
      <c r="W325" s="14" t="n">
        <v>0</v>
      </c>
      <c r="X325" s="14" t="n">
        <v>-11.958</v>
      </c>
      <c r="Y325" s="13" t="str">
        <f>IF(OR(N(W325)=0,X325=""),"",X325/W325)</f>
        <v/>
      </c>
      <c r="Z325" s="11" t="str">
        <f>IF(AA325="A","四季持續盈利",IF(AA325="B","最新季為正/波動",IF(AA325="C","虧損收窄",IF(AA325="D","虧損擴大或轉虧","數據不足"))))</f>
        <v>虧損擴大或轉虧</v>
      </c>
      <c r="AA325" s="9" t="str">
        <f>IF(COUNT(N325:Q325)&lt;4,"—",IF(MIN(N325:Q325)&gt;0,"A",IF(Q325&gt;0,"B",IF(Q325&gt;N325,"C","D"))))</f>
        <v>D</v>
      </c>
      <c r="AB325" s="9" t="inlineStr">
        <is>
          <t>2026-03-31</t>
        </is>
      </c>
    </row>
    <row r="326" ht="15" customHeight="1">
      <c r="A326" s="9" t="n">
        <v>325</v>
      </c>
      <c r="B326" s="10" t="inlineStr">
        <is>
          <t>NBIS</t>
        </is>
      </c>
      <c r="C326" s="11" t="inlineStr">
        <is>
          <t>雲端基建/IaaS/Neocloud</t>
        </is>
      </c>
      <c r="D326" s="11" t="inlineStr">
        <is>
          <t>—</t>
        </is>
      </c>
      <c r="E326" s="11" t="inlineStr">
        <is>
          <t>AA1 Neo</t>
        </is>
      </c>
      <c r="F326" s="9" t="inlineStr">
        <is>
          <t>USD</t>
        </is>
      </c>
      <c r="G326" s="11" t="inlineStr">
        <is>
          <t>25Q2 / 25Q3 / 25Q4 / 26Q1 / 26Q2</t>
        </is>
      </c>
      <c r="H326" s="12" t="n">
        <v>105.1</v>
      </c>
      <c r="I326" s="12" t="n">
        <v>146.1</v>
      </c>
      <c r="J326" s="12" t="n">
        <v>227.7</v>
      </c>
      <c r="K326" s="12" t="n">
        <v>399</v>
      </c>
      <c r="L326" s="12" t="n">
        <v>582.3</v>
      </c>
      <c r="M326" s="13">
        <f>IF(OR(N(H326)=0,L326=""),"",L326/H326-1)</f>
        <v>4.540437678401522</v>
      </c>
      <c r="N326" s="14" t="n">
        <v>-130.2</v>
      </c>
      <c r="O326" s="14" t="n">
        <v>-250</v>
      </c>
      <c r="P326" s="14" t="n">
        <v>-128</v>
      </c>
      <c r="Q326" s="14" t="n">
        <v>-175.9</v>
      </c>
      <c r="R326" s="13">
        <f>IF(OR(N(L326)=0,Q326=""),"",Q326/L326)</f>
        <v>-0.30207796668383996</v>
      </c>
      <c r="S326" s="14" t="n">
        <v>448.7</v>
      </c>
      <c r="T326" s="13">
        <f>IF(OR(N(L326)=0,S326=""),"",S326/L326)</f>
        <v>0.770565000858664</v>
      </c>
      <c r="U326" s="14" t="n">
        <v>-190.4</v>
      </c>
      <c r="V326" s="13">
        <f>IF(OR(N(L326)=0,U326=""),"",U326/L326)</f>
        <v>-0.3269792203331616</v>
      </c>
      <c r="W326" s="14" t="n">
        <v>529.8</v>
      </c>
      <c r="X326" s="14" t="n">
        <v>-611.7</v>
      </c>
      <c r="Y326" s="13">
        <f>IF(OR(N(W326)=0,X326=""),"",X326/W326)</f>
        <v>-1.1545866364665913</v>
      </c>
      <c r="Z326" s="11" t="str">
        <f>IF(AA326="A","四季持續盈利",IF(AA326="B","最新季為正/波動",IF(AA326="C","虧損收窄",IF(AA326="D","虧損擴大或轉虧","數據不足"))))</f>
        <v>虧損擴大或轉虧</v>
      </c>
      <c r="AA326" s="9" t="str">
        <f>IF(COUNT(N326:Q326)&lt;4,"—",IF(MIN(N326:Q326)&gt;0,"A",IF(Q326&gt;0,"B",IF(Q326&gt;N326,"C","D"))))</f>
        <v>D</v>
      </c>
      <c r="AB326" s="9" t="inlineStr">
        <is>
          <t>2026-06-30</t>
        </is>
      </c>
    </row>
    <row r="327" ht="15" customHeight="1">
      <c r="A327" s="9" t="n">
        <v>326</v>
      </c>
      <c r="B327" s="10" t="inlineStr">
        <is>
          <t>NCLH</t>
        </is>
      </c>
      <c r="C327" s="11" t="inlineStr">
        <is>
          <t>酒店與郵輪</t>
        </is>
      </c>
      <c r="D327" s="11" t="inlineStr">
        <is>
          <t>Norwegian Cruise Line Holdings Ltd.</t>
        </is>
      </c>
      <c r="E327" s="11" t="inlineStr">
        <is>
          <t>Travel Services</t>
        </is>
      </c>
      <c r="F327" s="9" t="inlineStr">
        <is>
          <t>USD</t>
        </is>
      </c>
      <c r="G327" s="11" t="inlineStr">
        <is>
          <t>25Q2 / 25Q3 / 25Q4 / 26Q1 / 26Q2</t>
        </is>
      </c>
      <c r="H327" s="12" t="n">
        <v>2517.497</v>
      </c>
      <c r="I327" s="12" t="n">
        <v>2938.142</v>
      </c>
      <c r="J327" s="12" t="n">
        <v>2244.4</v>
      </c>
      <c r="K327" s="12" t="n">
        <v>2331.221</v>
      </c>
      <c r="L327" s="12" t="n">
        <v>2640.544</v>
      </c>
      <c r="M327" s="13">
        <f>IF(OR(N(H327)=0,L327=""),"",L327/H327-1)</f>
        <v>0.048876721600859874</v>
      </c>
      <c r="N327" s="14" t="n">
        <v>749.449</v>
      </c>
      <c r="O327" s="14" t="n">
        <v>186.641</v>
      </c>
      <c r="P327" s="14" t="n">
        <v>232.943</v>
      </c>
      <c r="Q327" s="14" t="n">
        <v>363.327</v>
      </c>
      <c r="R327" s="13">
        <f>IF(OR(N(L327)=0,Q327=""),"",Q327/L327)</f>
        <v>0.13759551062205364</v>
      </c>
      <c r="S327" s="14" t="n">
        <v>1053.736</v>
      </c>
      <c r="T327" s="13">
        <f>IF(OR(N(L327)=0,S327=""),"",S327/L327)</f>
        <v>0.3990601936570647</v>
      </c>
      <c r="U327" s="14" t="n">
        <v>222.553</v>
      </c>
      <c r="V327" s="13">
        <f>IF(OR(N(L327)=0,U327=""),"",U327/L327)</f>
        <v>0.08428301137947332</v>
      </c>
      <c r="W327" s="14" t="n">
        <v>9827.592000000001</v>
      </c>
      <c r="X327" s="14" t="n">
        <v>1560.868</v>
      </c>
      <c r="Y327" s="13">
        <f>IF(OR(N(W327)=0,X327=""),"",X327/W327)</f>
        <v>0.15882507128908077</v>
      </c>
      <c r="Z327" s="11" t="str">
        <f>IF(AA327="A","四季持續盈利",IF(AA327="B","最新季為正/波動",IF(AA327="C","虧損收窄",IF(AA327="D","虧損擴大或轉虧","數據不足"))))</f>
        <v>四季持續盈利</v>
      </c>
      <c r="AA327" s="9" t="str">
        <f>IF(COUNT(N327:Q327)&lt;4,"—",IF(MIN(N327:Q327)&gt;0,"A",IF(Q327&gt;0,"B",IF(Q327&gt;N327,"C","D"))))</f>
        <v>A</v>
      </c>
      <c r="AB327" s="9" t="inlineStr">
        <is>
          <t>2026-06-30</t>
        </is>
      </c>
    </row>
    <row r="328" ht="15" customHeight="1">
      <c r="A328" s="9" t="n">
        <v>327</v>
      </c>
      <c r="B328" s="10" t="inlineStr">
        <is>
          <t>NDAQ</t>
        </is>
      </c>
      <c r="C328" s="11" t="inlineStr">
        <is>
          <t>交易所與金融數據</t>
        </is>
      </c>
      <c r="D328" s="11" t="inlineStr">
        <is>
          <t>Nasdaq, Inc.</t>
        </is>
      </c>
      <c r="E328" s="11" t="inlineStr">
        <is>
          <t>Financial Data &amp; Stock Exchanges</t>
        </is>
      </c>
      <c r="F328" s="9" t="inlineStr">
        <is>
          <t>USD</t>
        </is>
      </c>
      <c r="G328" s="11" t="inlineStr">
        <is>
          <t>25Q2 / 25Q3 / 25Q4 / 26Q1 / 26Q2</t>
        </is>
      </c>
      <c r="H328" s="12" t="n">
        <v>2101</v>
      </c>
      <c r="I328" s="12" t="n">
        <v>1958</v>
      </c>
      <c r="J328" s="12" t="n">
        <v>2124</v>
      </c>
      <c r="K328" s="12" t="n">
        <v>2137</v>
      </c>
      <c r="L328" s="12" t="n">
        <v>2532</v>
      </c>
      <c r="M328" s="13">
        <f>IF(OR(N(H328)=0,L328=""),"",L328/H328-1)</f>
        <v>0.2051404093288911</v>
      </c>
      <c r="N328" s="14" t="n">
        <v>607</v>
      </c>
      <c r="O328" s="14" t="n">
        <v>651</v>
      </c>
      <c r="P328" s="14" t="n">
        <v>672</v>
      </c>
      <c r="Q328" s="14" t="n">
        <v>731</v>
      </c>
      <c r="R328" s="13">
        <f>IF(OR(N(L328)=0,Q328=""),"",Q328/L328)</f>
        <v>0.28870458135860977</v>
      </c>
      <c r="S328" s="14" t="n">
        <v>1020</v>
      </c>
      <c r="T328" s="13">
        <f>IF(OR(N(L328)=0,S328=""),"",S328/L328)</f>
        <v>0.4028436018957346</v>
      </c>
      <c r="U328" s="14" t="n">
        <v>507</v>
      </c>
      <c r="V328" s="13">
        <f>IF(OR(N(L328)=0,U328=""),"",U328/L328)</f>
        <v>0.20023696682464456</v>
      </c>
      <c r="W328" s="14" t="n">
        <v>8262</v>
      </c>
      <c r="X328" s="14" t="n">
        <v>2433</v>
      </c>
      <c r="Y328" s="13">
        <f>IF(OR(N(W328)=0,X328=""),"",X328/W328)</f>
        <v>0.294480755265069</v>
      </c>
      <c r="Z328" s="11" t="str">
        <f>IF(AA328="A","四季持續盈利",IF(AA328="B","最新季為正/波動",IF(AA328="C","虧損收窄",IF(AA328="D","虧損擴大或轉虧","數據不足"))))</f>
        <v>四季持續盈利</v>
      </c>
      <c r="AA328" s="9" t="str">
        <f>IF(COUNT(N328:Q328)&lt;4,"—",IF(MIN(N328:Q328)&gt;0,"A",IF(Q328&gt;0,"B",IF(Q328&gt;N328,"C","D"))))</f>
        <v>A</v>
      </c>
      <c r="AB328" s="9" t="inlineStr">
        <is>
          <t>2026-06-30</t>
        </is>
      </c>
    </row>
    <row r="329" ht="15" customHeight="1">
      <c r="A329" s="9" t="n">
        <v>328</v>
      </c>
      <c r="B329" s="10" t="inlineStr">
        <is>
          <t>NDSN</t>
        </is>
      </c>
      <c r="C329" s="11" t="inlineStr">
        <is>
          <t>工業自動化與機器人</t>
        </is>
      </c>
      <c r="D329" s="11" t="inlineStr">
        <is>
          <t>Nordson Corporation</t>
        </is>
      </c>
      <c r="E329" s="11" t="inlineStr">
        <is>
          <t>Specialty Industrial Machinery</t>
        </is>
      </c>
      <c r="F329" s="9" t="inlineStr">
        <is>
          <t>USD</t>
        </is>
      </c>
      <c r="G329" s="11" t="inlineStr">
        <is>
          <t>25Q3 / 25Q4 / 26Q1 / 26Q2 / 26Q3</t>
        </is>
      </c>
      <c r="H329" s="12" t="n">
        <v>741.509</v>
      </c>
      <c r="I329" s="12" t="n">
        <v>751.8200000000001</v>
      </c>
      <c r="J329" s="12" t="n">
        <v>669.461</v>
      </c>
      <c r="K329" s="12" t="n">
        <v>740.847</v>
      </c>
      <c r="L329" s="12" t="n">
        <v>817.667</v>
      </c>
      <c r="M329" s="13">
        <f>IF(OR(N(H329)=0,L329=""),"",L329/H329-1)</f>
        <v>0.10270677766554415</v>
      </c>
      <c r="N329" s="14" t="n">
        <v>214.595</v>
      </c>
      <c r="O329" s="14" t="n">
        <v>166.405</v>
      </c>
      <c r="P329" s="14" t="n">
        <v>197.203</v>
      </c>
      <c r="Q329" s="14" t="n">
        <v>223.092</v>
      </c>
      <c r="R329" s="13">
        <f>IF(OR(N(L329)=0,Q329=""),"",Q329/L329)</f>
        <v>0.2728396767877388</v>
      </c>
      <c r="S329" s="14" t="n">
        <v>453.732</v>
      </c>
      <c r="T329" s="13">
        <f>IF(OR(N(L329)=0,S329=""),"",S329/L329)</f>
        <v>0.5549104953483509</v>
      </c>
      <c r="U329" s="14" t="n">
        <v>152.846</v>
      </c>
      <c r="V329" s="13">
        <f>IF(OR(N(L329)=0,U329=""),"",U329/L329)</f>
        <v>0.1869293979089287</v>
      </c>
      <c r="W329" s="14" t="n">
        <v>2791.687</v>
      </c>
      <c r="X329" s="14" t="n">
        <v>724.27</v>
      </c>
      <c r="Y329" s="13">
        <f>IF(OR(N(W329)=0,X329=""),"",X329/W329)</f>
        <v>0.25943811036122605</v>
      </c>
      <c r="Z329" s="11" t="str">
        <f>IF(AA329="A","四季持續盈利",IF(AA329="B","最新季為正/波動",IF(AA329="C","虧損收窄",IF(AA329="D","虧損擴大或轉虧","數據不足"))))</f>
        <v>四季持續盈利</v>
      </c>
      <c r="AA329" s="9" t="str">
        <f>IF(COUNT(N329:Q329)&lt;4,"—",IF(MIN(N329:Q329)&gt;0,"A",IF(Q329&gt;0,"B",IF(Q329&gt;N329,"C","D"))))</f>
        <v>A</v>
      </c>
      <c r="AB329" s="9" t="inlineStr">
        <is>
          <t>2026-07-31</t>
        </is>
      </c>
    </row>
    <row r="330" ht="15" customHeight="1">
      <c r="A330" s="9" t="n">
        <v>329</v>
      </c>
      <c r="B330" s="10" t="inlineStr">
        <is>
          <t>NE</t>
        </is>
      </c>
      <c r="C330" s="11" t="inlineStr">
        <is>
          <t>海上鑽井與設備</t>
        </is>
      </c>
      <c r="D330" s="11" t="inlineStr">
        <is>
          <t>Noble Corporation plc</t>
        </is>
      </c>
      <c r="E330" s="11" t="inlineStr">
        <is>
          <t>Oil &amp; Gas Drilling</t>
        </is>
      </c>
      <c r="F330" s="9" t="inlineStr">
        <is>
          <t>USD</t>
        </is>
      </c>
      <c r="G330" s="11" t="inlineStr">
        <is>
          <t>25Q2 / 25Q3 / 25Q4 / 26Q1 / 26Q2</t>
        </is>
      </c>
      <c r="H330" s="12" t="n">
        <v>848.652</v>
      </c>
      <c r="I330" s="12" t="n">
        <v>798.0170000000001</v>
      </c>
      <c r="J330" s="12" t="n">
        <v>764.412</v>
      </c>
      <c r="K330" s="12" t="n">
        <v>785.6900000000001</v>
      </c>
      <c r="L330" s="12" t="n">
        <v>719.688</v>
      </c>
      <c r="M330" s="13">
        <f>IF(OR(N(H330)=0,L330=""),"",L330/H330-1)</f>
        <v>-0.15196334893454566</v>
      </c>
      <c r="N330" s="14" t="n">
        <v>107.015</v>
      </c>
      <c r="O330" s="14" t="n">
        <v>69.934</v>
      </c>
      <c r="P330" s="14" t="n">
        <v>138.065</v>
      </c>
      <c r="Q330" s="14" t="n">
        <v>72.745</v>
      </c>
      <c r="R330" s="13">
        <f>IF(OR(N(L330)=0,Q330=""),"",Q330/L330)</f>
        <v>0.10107852291548561</v>
      </c>
      <c r="S330" s="14" t="n">
        <v>99.68899999999999</v>
      </c>
      <c r="T330" s="13">
        <f>IF(OR(N(L330)=0,S330=""),"",S330/L330)</f>
        <v>0.1385169684641122</v>
      </c>
      <c r="U330" s="14" t="n">
        <v>-36.684</v>
      </c>
      <c r="V330" s="13">
        <f>IF(OR(N(L330)=0,U330=""),"",U330/L330)</f>
        <v>-0.050972087904758726</v>
      </c>
      <c r="W330" s="14" t="n">
        <v>3285.568</v>
      </c>
      <c r="X330" s="14" t="n">
        <v>515.0119999999999</v>
      </c>
      <c r="Y330" s="13">
        <f>IF(OR(N(W330)=0,X330=""),"",X330/W330)</f>
        <v>0.15674976138068059</v>
      </c>
      <c r="Z330" s="11" t="str">
        <f>IF(AA330="A","四季持續盈利",IF(AA330="B","最新季為正/波動",IF(AA330="C","虧損收窄",IF(AA330="D","虧損擴大或轉虧","數據不足"))))</f>
        <v>四季持續盈利</v>
      </c>
      <c r="AA330" s="9" t="str">
        <f>IF(COUNT(N330:Q330)&lt;4,"—",IF(MIN(N330:Q330)&gt;0,"A",IF(Q330&gt;0,"B",IF(Q330&gt;N330,"C","D"))))</f>
        <v>A</v>
      </c>
      <c r="AB330" s="9" t="inlineStr">
        <is>
          <t>2026-06-30</t>
        </is>
      </c>
    </row>
    <row r="331" ht="15" customHeight="1">
      <c r="A331" s="9" t="n">
        <v>330</v>
      </c>
      <c r="B331" s="10" t="inlineStr">
        <is>
          <t>NEE</t>
        </is>
      </c>
      <c r="C331" s="11" t="inlineStr">
        <is>
          <t>再生能源與太陽能</t>
        </is>
      </c>
      <c r="D331" s="11" t="inlineStr">
        <is>
          <t>NextEra Energy, Inc.</t>
        </is>
      </c>
      <c r="E331" s="11" t="inlineStr">
        <is>
          <t>Utilities - Regulated Electric</t>
        </is>
      </c>
      <c r="F331" s="9" t="inlineStr">
        <is>
          <t>USD</t>
        </is>
      </c>
      <c r="G331" s="11" t="inlineStr">
        <is>
          <t>25Q2 / 25Q3 / 25Q4 / 26Q1 / 26Q2</t>
        </is>
      </c>
      <c r="H331" s="12" t="n">
        <v>6700</v>
      </c>
      <c r="I331" s="12" t="n">
        <v>7966</v>
      </c>
      <c r="J331" s="12" t="n">
        <v>6500</v>
      </c>
      <c r="K331" s="12" t="n">
        <v>6701</v>
      </c>
      <c r="L331" s="12" t="n">
        <v>7534</v>
      </c>
      <c r="M331" s="13">
        <f>IF(OR(N(H331)=0,L331=""),"",L331/H331-1)</f>
        <v>0.1244776119402986</v>
      </c>
      <c r="N331" s="14" t="n">
        <v>2384</v>
      </c>
      <c r="O331" s="14" t="n">
        <v>1523</v>
      </c>
      <c r="P331" s="14" t="n">
        <v>1951</v>
      </c>
      <c r="Q331" s="14" t="n">
        <v>2277</v>
      </c>
      <c r="R331" s="13">
        <f>IF(OR(N(L331)=0,Q331=""),"",Q331/L331)</f>
        <v>0.3022298911600743</v>
      </c>
      <c r="S331" s="14" t="n">
        <v>4701</v>
      </c>
      <c r="T331" s="13">
        <f>IF(OR(N(L331)=0,S331=""),"",S331/L331)</f>
        <v>0.6239713299707991</v>
      </c>
      <c r="U331" s="14" t="n">
        <v>3144</v>
      </c>
      <c r="V331" s="13">
        <f>IF(OR(N(L331)=0,U331=""),"",U331/L331)</f>
        <v>0.4173082028139103</v>
      </c>
      <c r="W331" s="14" t="n">
        <v>27412</v>
      </c>
      <c r="X331" s="14" t="n">
        <v>8020</v>
      </c>
      <c r="Y331" s="13">
        <f>IF(OR(N(W331)=0,X331=""),"",X331/W331)</f>
        <v>0.2925725959433825</v>
      </c>
      <c r="Z331" s="11" t="str">
        <f>IF(AA331="A","四季持續盈利",IF(AA331="B","最新季為正/波動",IF(AA331="C","虧損收窄",IF(AA331="D","虧損擴大或轉虧","數據不足"))))</f>
        <v>四季持續盈利</v>
      </c>
      <c r="AA331" s="9" t="str">
        <f>IF(COUNT(N331:Q331)&lt;4,"—",IF(MIN(N331:Q331)&gt;0,"A",IF(Q331&gt;0,"B",IF(Q331&gt;N331,"C","D"))))</f>
        <v>A</v>
      </c>
      <c r="AB331" s="9" t="inlineStr">
        <is>
          <t>2026-06-30</t>
        </is>
      </c>
    </row>
    <row r="332" ht="15" customHeight="1">
      <c r="A332" s="9" t="n">
        <v>331</v>
      </c>
      <c r="B332" s="10" t="inlineStr">
        <is>
          <t>NEM</t>
        </is>
      </c>
      <c r="C332" s="11" t="inlineStr">
        <is>
          <t>黃金與貴金屬礦</t>
        </is>
      </c>
      <c r="D332" s="11" t="inlineStr">
        <is>
          <t>Newmont Corporation</t>
        </is>
      </c>
      <c r="E332" s="11" t="inlineStr">
        <is>
          <t>Gold</t>
        </is>
      </c>
      <c r="F332" s="9" t="inlineStr">
        <is>
          <t>USD</t>
        </is>
      </c>
      <c r="G332" s="11" t="inlineStr">
        <is>
          <t>25Q2 / 25Q3 / 25Q4 / 26Q1 / 26Q2</t>
        </is>
      </c>
      <c r="H332" s="12" t="n">
        <v>5317</v>
      </c>
      <c r="I332" s="12" t="n">
        <v>5524</v>
      </c>
      <c r="J332" s="12" t="n">
        <v>6818</v>
      </c>
      <c r="K332" s="12" t="n">
        <v>7307</v>
      </c>
      <c r="L332" s="12" t="n">
        <v>6118</v>
      </c>
      <c r="M332" s="13">
        <f>IF(OR(N(H332)=0,L332=""),"",L332/H332-1)</f>
        <v>0.1506488621403046</v>
      </c>
      <c r="N332" s="14" t="n">
        <v>2616</v>
      </c>
      <c r="O332" s="14" t="n">
        <v>3974</v>
      </c>
      <c r="P332" s="14" t="n">
        <v>4485</v>
      </c>
      <c r="Q332" s="14" t="n">
        <v>3155</v>
      </c>
      <c r="R332" s="13">
        <f>IF(OR(N(L332)=0,Q332=""),"",Q332/L332)</f>
        <v>0.5156914024190912</v>
      </c>
      <c r="S332" s="14" t="n">
        <v>3426</v>
      </c>
      <c r="T332" s="13">
        <f>IF(OR(N(L332)=0,S332=""),"",S332/L332)</f>
        <v>0.5599869238313174</v>
      </c>
      <c r="U332" s="14" t="n">
        <v>2202</v>
      </c>
      <c r="V332" s="13">
        <f>IF(OR(N(L332)=0,U332=""),"",U332/L332)</f>
        <v>0.3599215429879045</v>
      </c>
      <c r="W332" s="14" t="n">
        <v>22669</v>
      </c>
      <c r="X332" s="14" t="n">
        <v>11023</v>
      </c>
      <c r="Y332" s="13">
        <f>IF(OR(N(W332)=0,X332=""),"",X332/W332)</f>
        <v>0.4862587674798183</v>
      </c>
      <c r="Z332" s="11" t="str">
        <f>IF(AA332="A","四季持續盈利",IF(AA332="B","最新季為正/波動",IF(AA332="C","虧損收窄",IF(AA332="D","虧損擴大或轉虧","數據不足"))))</f>
        <v>四季持續盈利</v>
      </c>
      <c r="AA332" s="9" t="str">
        <f>IF(COUNT(N332:Q332)&lt;4,"—",IF(MIN(N332:Q332)&gt;0,"A",IF(Q332&gt;0,"B",IF(Q332&gt;N332,"C","D"))))</f>
        <v>A</v>
      </c>
      <c r="AB332" s="9" t="inlineStr">
        <is>
          <t>2026-06-30</t>
        </is>
      </c>
    </row>
    <row r="333" ht="15" customHeight="1">
      <c r="A333" s="9" t="n">
        <v>332</v>
      </c>
      <c r="B333" s="10" t="inlineStr">
        <is>
          <t>NET</t>
        </is>
      </c>
      <c r="C333" s="11" t="inlineStr">
        <is>
          <t>—</t>
        </is>
      </c>
      <c r="D333" s="11" t="inlineStr">
        <is>
          <t>Cloudflare, Inc.</t>
        </is>
      </c>
      <c r="E333" s="11" t="inlineStr">
        <is>
          <t>G3 AI</t>
        </is>
      </c>
      <c r="F333" s="9" t="inlineStr">
        <is>
          <t>USD</t>
        </is>
      </c>
      <c r="G333" s="11" t="inlineStr">
        <is>
          <t>25Q2 / 25Q3 / 25Q4 / 26Q1 / 26Q2</t>
        </is>
      </c>
      <c r="H333" s="12" t="n">
        <v>512.316</v>
      </c>
      <c r="I333" s="12" t="n">
        <v>562.027</v>
      </c>
      <c r="J333" s="12" t="n">
        <v>614.5069999999999</v>
      </c>
      <c r="K333" s="12" t="n">
        <v>639.755</v>
      </c>
      <c r="L333" s="12" t="n">
        <v>696.061</v>
      </c>
      <c r="M333" s="13">
        <f>IF(OR(N(H333)=0,L333=""),"",L333/H333-1)</f>
        <v>0.3586555953747297</v>
      </c>
      <c r="N333" s="14" t="n">
        <v>-37.46</v>
      </c>
      <c r="O333" s="14" t="n">
        <v>-49.234</v>
      </c>
      <c r="P333" s="14" t="n">
        <v>-61.994</v>
      </c>
      <c r="Q333" s="14" t="n">
        <v>-55.003</v>
      </c>
      <c r="R333" s="13">
        <f>IF(OR(N(L333)=0,Q333=""),"",Q333/L333)</f>
        <v>-0.07902037321441654</v>
      </c>
      <c r="S333" s="14" t="n">
        <v>499.517</v>
      </c>
      <c r="T333" s="13">
        <f>IF(OR(N(L333)=0,S333=""),"",S333/L333)</f>
        <v>0.7176339430021219</v>
      </c>
      <c r="U333" s="14" t="n">
        <v>-169.981</v>
      </c>
      <c r="V333" s="13">
        <f>IF(OR(N(L333)=0,U333=""),"",U333/L333)</f>
        <v>-0.2442041717608083</v>
      </c>
      <c r="W333" s="14" t="n">
        <v>2167.937</v>
      </c>
      <c r="X333" s="14" t="n">
        <v>-207.205</v>
      </c>
      <c r="Y333" s="13">
        <f>IF(OR(N(W333)=0,X333=""),"",X333/W333)</f>
        <v>-0.09557703936968649</v>
      </c>
      <c r="Z333" s="11" t="str">
        <f>IF(AA333="A","四季持續盈利",IF(AA333="B","最新季為正/波動",IF(AA333="C","虧損收窄",IF(AA333="D","虧損擴大或轉虧","數據不足"))))</f>
        <v>虧損擴大或轉虧</v>
      </c>
      <c r="AA333" s="9" t="str">
        <f>IF(COUNT(N333:Q333)&lt;4,"—",IF(MIN(N333:Q333)&gt;0,"A",IF(Q333&gt;0,"B",IF(Q333&gt;N333,"C","D"))))</f>
        <v>D</v>
      </c>
      <c r="AB333" s="9" t="inlineStr">
        <is>
          <t>2026-06-30</t>
        </is>
      </c>
    </row>
    <row r="334" ht="15" customHeight="1">
      <c r="A334" s="9" t="n">
        <v>333</v>
      </c>
      <c r="B334" s="10" t="inlineStr">
        <is>
          <t>NFE</t>
        </is>
      </c>
      <c r="C334" s="11" t="inlineStr">
        <is>
          <t>LNG液化天然氣</t>
        </is>
      </c>
      <c r="D334" s="11" t="inlineStr">
        <is>
          <t>New Fortress Energy Inc.</t>
        </is>
      </c>
      <c r="E334" s="11" t="inlineStr">
        <is>
          <t>Oil &amp; Gas Midstream</t>
        </is>
      </c>
      <c r="F334" s="9" t="inlineStr">
        <is>
          <t>USD</t>
        </is>
      </c>
      <c r="G334" s="11" t="inlineStr">
        <is>
          <t>25Q2 / 25Q3 / 25Q4 / 26Q1 / 26Q2</t>
        </is>
      </c>
      <c r="H334" s="12" t="n">
        <v>304.1</v>
      </c>
      <c r="I334" s="12" t="n">
        <v>327.367</v>
      </c>
      <c r="J334" s="12" t="n">
        <v>404.442</v>
      </c>
      <c r="K334" s="12" t="n">
        <v>226.953</v>
      </c>
      <c r="L334" s="12" t="n">
        <v>312.502</v>
      </c>
      <c r="M334" s="13">
        <f>IF(OR(N(H334)=0,L334=""),"",L334/H334-1)</f>
        <v>0.027629069385070704</v>
      </c>
      <c r="N334" s="14" t="n">
        <v>-71.88200000000001</v>
      </c>
      <c r="O334" s="14" t="n">
        <v>-7.278</v>
      </c>
      <c r="P334" s="14" t="n">
        <v>-110.227</v>
      </c>
      <c r="Q334" s="14" t="n">
        <v>-75.831</v>
      </c>
      <c r="R334" s="13">
        <f>IF(OR(N(L334)=0,Q334=""),"",Q334/L334)</f>
        <v>-0.24265764699105927</v>
      </c>
      <c r="S334" s="14" t="n">
        <v>50.559</v>
      </c>
      <c r="T334" s="13">
        <f>IF(OR(N(L334)=0,S334=""),"",S334/L334)</f>
        <v>0.16178776455830682</v>
      </c>
      <c r="U334" s="14" t="n">
        <v>-371.441</v>
      </c>
      <c r="V334" s="13">
        <f>IF(OR(N(L334)=0,U334=""),"",U334/L334)</f>
        <v>-1.1886035929370051</v>
      </c>
      <c r="W334" s="14" t="n">
        <v>1504.037</v>
      </c>
      <c r="X334" s="14" t="n">
        <v>-170.621</v>
      </c>
      <c r="Y334" s="13">
        <f>IF(OR(N(W334)=0,X334=""),"",X334/W334)</f>
        <v>-0.11344202303533757</v>
      </c>
      <c r="Z334" s="11" t="str">
        <f>IF(AA334="A","四季持續盈利",IF(AA334="B","最新季為正/波動",IF(AA334="C","虧損收窄",IF(AA334="D","虧損擴大或轉虧","數據不足"))))</f>
        <v>虧損擴大或轉虧</v>
      </c>
      <c r="AA334" s="9" t="str">
        <f>IF(COUNT(N334:Q334)&lt;4,"—",IF(MIN(N334:Q334)&gt;0,"A",IF(Q334&gt;0,"B",IF(Q334&gt;N334,"C","D"))))</f>
        <v>D</v>
      </c>
      <c r="AB334" s="9" t="inlineStr">
        <is>
          <t>2026-06-30</t>
        </is>
      </c>
    </row>
    <row r="335" ht="15" customHeight="1">
      <c r="A335" s="9" t="n">
        <v>334</v>
      </c>
      <c r="B335" s="10" t="inlineStr">
        <is>
          <t>NFLX</t>
        </is>
      </c>
      <c r="C335" s="11" t="inlineStr">
        <is>
          <t>串流影音</t>
        </is>
      </c>
      <c r="D335" s="11" t="inlineStr">
        <is>
          <t>Netflix, Inc.</t>
        </is>
      </c>
      <c r="E335" s="11" t="inlineStr">
        <is>
          <t>Entertainment</t>
        </is>
      </c>
      <c r="F335" s="9" t="inlineStr">
        <is>
          <t>USD</t>
        </is>
      </c>
      <c r="G335" s="11" t="inlineStr">
        <is>
          <t>25Q2 / 25Q3 / 25Q4 / 26Q1 / 26Q2</t>
        </is>
      </c>
      <c r="H335" s="12" t="n">
        <v>11079.166</v>
      </c>
      <c r="I335" s="12" t="n">
        <v>11510.307</v>
      </c>
      <c r="J335" s="12" t="n">
        <v>12050.762</v>
      </c>
      <c r="K335" s="12" t="n">
        <v>12249.757</v>
      </c>
      <c r="L335" s="12" t="n">
        <v>12559.938</v>
      </c>
      <c r="M335" s="13">
        <f>IF(OR(N(H335)=0,L335=""),"",L335/H335-1)</f>
        <v>0.13365374252899542</v>
      </c>
      <c r="N335" s="14" t="n">
        <v>3248.247</v>
      </c>
      <c r="O335" s="14" t="n">
        <v>2956.663</v>
      </c>
      <c r="P335" s="14" t="n">
        <v>3956.997</v>
      </c>
      <c r="Q335" s="14" t="n">
        <v>4192.61</v>
      </c>
      <c r="R335" s="13">
        <f>IF(OR(N(L335)=0,Q335=""),"",Q335/L335)</f>
        <v>0.3338081764416353</v>
      </c>
      <c r="S335" s="14" t="n">
        <v>6522.973</v>
      </c>
      <c r="T335" s="13">
        <f>IF(OR(N(L335)=0,S335=""),"",S335/L335)</f>
        <v>0.5193475477347101</v>
      </c>
      <c r="U335" s="14" t="n">
        <v>3401.414</v>
      </c>
      <c r="V335" s="13">
        <f>IF(OR(N(L335)=0,U335=""),"",U335/L335)</f>
        <v>0.2708145533839419</v>
      </c>
      <c r="W335" s="14" t="n">
        <v>45183.036</v>
      </c>
      <c r="X335" s="14" t="n">
        <v>13326.603</v>
      </c>
      <c r="Y335" s="13">
        <f>IF(OR(N(W335)=0,X335=""),"",X335/W335)</f>
        <v>0.2949470460550725</v>
      </c>
      <c r="Z335" s="11" t="str">
        <f>IF(AA335="A","四季持續盈利",IF(AA335="B","最新季為正/波動",IF(AA335="C","虧損收窄",IF(AA335="D","虧損擴大或轉虧","數據不足"))))</f>
        <v>四季持續盈利</v>
      </c>
      <c r="AA335" s="9" t="str">
        <f>IF(COUNT(N335:Q335)&lt;4,"—",IF(MIN(N335:Q335)&gt;0,"A",IF(Q335&gt;0,"B",IF(Q335&gt;N335,"C","D"))))</f>
        <v>A</v>
      </c>
      <c r="AB335" s="9" t="inlineStr">
        <is>
          <t>2026-06-30</t>
        </is>
      </c>
    </row>
    <row r="336" ht="15" customHeight="1">
      <c r="A336" s="9" t="n">
        <v>335</v>
      </c>
      <c r="B336" s="10" t="inlineStr">
        <is>
          <t>NI</t>
        </is>
      </c>
      <c r="C336" s="11" t="inlineStr">
        <is>
          <t>燃氣公用</t>
        </is>
      </c>
      <c r="D336" s="11" t="inlineStr">
        <is>
          <t>NiSource Inc.</t>
        </is>
      </c>
      <c r="E336" s="11" t="inlineStr">
        <is>
          <t>Utilities - Regulated Gas</t>
        </is>
      </c>
      <c r="F336" s="9" t="inlineStr">
        <is>
          <t>USD</t>
        </is>
      </c>
      <c r="G336" s="11" t="inlineStr">
        <is>
          <t>25Q2 / 25Q3 / 25Q4 / 26Q1 / 26Q2</t>
        </is>
      </c>
      <c r="H336" s="12" t="n">
        <v>1283</v>
      </c>
      <c r="I336" s="12" t="n">
        <v>1273.1</v>
      </c>
      <c r="J336" s="12" t="n">
        <v>1902.9</v>
      </c>
      <c r="K336" s="12" t="n">
        <v>2363.1</v>
      </c>
      <c r="L336" s="12" t="n">
        <v>1342.4</v>
      </c>
      <c r="M336" s="13">
        <f>IF(OR(N(H336)=0,L336=""),"",L336/H336-1)</f>
        <v>0.04629773967264228</v>
      </c>
      <c r="N336" s="14" t="n">
        <v>302.2</v>
      </c>
      <c r="O336" s="14" t="n">
        <v>515.1</v>
      </c>
      <c r="P336" s="14" t="n">
        <v>819.2</v>
      </c>
      <c r="Q336" s="14" t="n">
        <v>228.1</v>
      </c>
      <c r="R336" s="13">
        <f>IF(OR(N(L336)=0,Q336=""),"",Q336/L336)</f>
        <v>0.16991954707985696</v>
      </c>
      <c r="S336" s="14" t="n">
        <v>673.9</v>
      </c>
      <c r="T336" s="13">
        <f>IF(OR(N(L336)=0,S336=""),"",S336/L336)</f>
        <v>0.5020113230035756</v>
      </c>
      <c r="U336" s="14" t="n">
        <v>45.5</v>
      </c>
      <c r="V336" s="13">
        <f>IF(OR(N(L336)=0,U336=""),"",U336/L336)</f>
        <v>0.033894517282479136</v>
      </c>
      <c r="W336" s="14" t="n">
        <v>6642.2</v>
      </c>
      <c r="X336" s="14" t="n">
        <v>1831.9</v>
      </c>
      <c r="Y336" s="13">
        <f>IF(OR(N(W336)=0,X336=""),"",X336/W336)</f>
        <v>0.27579717563457895</v>
      </c>
      <c r="Z336" s="11" t="str">
        <f>IF(AA336="A","四季持續盈利",IF(AA336="B","最新季為正/波動",IF(AA336="C","虧損收窄",IF(AA336="D","虧損擴大或轉虧","數據不足"))))</f>
        <v>四季持續盈利</v>
      </c>
      <c r="AA336" s="9" t="str">
        <f>IF(COUNT(N336:Q336)&lt;4,"—",IF(MIN(N336:Q336)&gt;0,"A",IF(Q336&gt;0,"B",IF(Q336&gt;N336,"C","D"))))</f>
        <v>A</v>
      </c>
      <c r="AB336" s="9" t="inlineStr">
        <is>
          <t>2026-06-30</t>
        </is>
      </c>
    </row>
    <row r="337" ht="15" customHeight="1">
      <c r="A337" s="9" t="n">
        <v>336</v>
      </c>
      <c r="B337" s="10" t="inlineStr">
        <is>
          <t>NJR</t>
        </is>
      </c>
      <c r="C337" s="11" t="inlineStr">
        <is>
          <t>燃氣公用</t>
        </is>
      </c>
      <c r="D337" s="11" t="inlineStr">
        <is>
          <t>New Jersey Resources Corporation</t>
        </is>
      </c>
      <c r="E337" s="11" t="inlineStr">
        <is>
          <t>Utilities - Regulated Gas</t>
        </is>
      </c>
      <c r="F337" s="9" t="inlineStr">
        <is>
          <t>USD</t>
        </is>
      </c>
      <c r="G337" s="11" t="inlineStr">
        <is>
          <t>25Q2 / 25Q3 / 25Q4 / 26Q1 / 26Q2</t>
        </is>
      </c>
      <c r="H337" s="12" t="n">
        <v>298.946</v>
      </c>
      <c r="I337" s="12" t="n">
        <v>336.078</v>
      </c>
      <c r="J337" s="12" t="n">
        <v>604.854</v>
      </c>
      <c r="K337" s="12" t="n">
        <v>939.401</v>
      </c>
      <c r="L337" s="12" t="n">
        <v>349.18</v>
      </c>
      <c r="M337" s="13">
        <f>IF(OR(N(H337)=0,L337=""),"",L337/H337-1)</f>
        <v>0.16803703678925275</v>
      </c>
      <c r="N337" s="14" t="n">
        <v>38.295</v>
      </c>
      <c r="O337" s="14" t="n">
        <v>179.208</v>
      </c>
      <c r="P337" s="14" t="n">
        <v>301.027</v>
      </c>
      <c r="Q337" s="14" t="n">
        <v>31.892</v>
      </c>
      <c r="R337" s="13">
        <f>IF(OR(N(L337)=0,Q337=""),"",Q337/L337)</f>
        <v>0.09133398247322298</v>
      </c>
      <c r="S337" s="14" t="n">
        <v>95.871</v>
      </c>
      <c r="T337" s="13">
        <f>IF(OR(N(L337)=0,S337=""),"",S337/L337)</f>
        <v>0.27456039864826165</v>
      </c>
      <c r="U337" s="14" t="n">
        <v>9.689</v>
      </c>
      <c r="V337" s="13">
        <f>IF(OR(N(L337)=0,U337=""),"",U337/L337)</f>
        <v>0.02774786642992153</v>
      </c>
      <c r="W337" s="14" t="n">
        <v>2036.412</v>
      </c>
      <c r="X337" s="14" t="n">
        <v>450.667</v>
      </c>
      <c r="Y337" s="13">
        <f>IF(OR(N(W337)=0,X337=""),"",X337/W337)</f>
        <v>0.22130443151975138</v>
      </c>
      <c r="Z337" s="11" t="str">
        <f>IF(AA337="A","四季持續盈利",IF(AA337="B","最新季為正/波動",IF(AA337="C","虧損收窄",IF(AA337="D","虧損擴大或轉虧","數據不足"))))</f>
        <v>四季持續盈利</v>
      </c>
      <c r="AA337" s="9" t="str">
        <f>IF(COUNT(N337:Q337)&lt;4,"—",IF(MIN(N337:Q337)&gt;0,"A",IF(Q337&gt;0,"B",IF(Q337&gt;N337,"C","D"))))</f>
        <v>A</v>
      </c>
      <c r="AB337" s="9" t="inlineStr">
        <is>
          <t>2026-06-30</t>
        </is>
      </c>
    </row>
    <row r="338" ht="15" customHeight="1">
      <c r="A338" s="9" t="n">
        <v>337</v>
      </c>
      <c r="B338" s="10" t="inlineStr">
        <is>
          <t>NKE</t>
        </is>
      </c>
      <c r="C338" s="11" t="inlineStr">
        <is>
          <t>服裝與奢侈品</t>
        </is>
      </c>
      <c r="D338" s="11" t="inlineStr">
        <is>
          <t>NIKE, Inc.</t>
        </is>
      </c>
      <c r="E338" s="11" t="inlineStr">
        <is>
          <t>Footwear &amp; Accessories</t>
        </is>
      </c>
      <c r="F338" s="9" t="inlineStr">
        <is>
          <t>USD</t>
        </is>
      </c>
      <c r="G338" s="11" t="inlineStr">
        <is>
          <t>25Q2 / 25Q3 / 25Q4 / 26Q1 / 26Q2</t>
        </is>
      </c>
      <c r="H338" s="12" t="n">
        <v>11097</v>
      </c>
      <c r="I338" s="12" t="n">
        <v>11720</v>
      </c>
      <c r="J338" s="12" t="n">
        <v>12427</v>
      </c>
      <c r="K338" s="12" t="n">
        <v>11279</v>
      </c>
      <c r="L338" s="12" t="n">
        <v>10972</v>
      </c>
      <c r="M338" s="13">
        <f>IF(OR(N(H338)=0,L338=""),"",L338/H338-1)</f>
        <v>-0.011264305668198582</v>
      </c>
      <c r="N338" s="14" t="n">
        <v>927</v>
      </c>
      <c r="O338" s="14" t="n">
        <v>1006</v>
      </c>
      <c r="P338" s="14" t="n">
        <v>553</v>
      </c>
      <c r="Q338" s="14" t="n">
        <v>1311</v>
      </c>
      <c r="R338" s="13">
        <f>IF(OR(N(L338)=0,Q338=""),"",Q338/L338)</f>
        <v>0.11948596427269413</v>
      </c>
      <c r="S338" s="14" t="n">
        <v>5393</v>
      </c>
      <c r="T338" s="13">
        <f>IF(OR(N(L338)=0,S338=""),"",S338/L338)</f>
        <v>0.4915238789646373</v>
      </c>
      <c r="U338" s="14" t="n">
        <v>1069</v>
      </c>
      <c r="V338" s="13">
        <f>IF(OR(N(L338)=0,U338=""),"",U338/L338)</f>
        <v>0.09742982136347066</v>
      </c>
      <c r="W338" s="14" t="n">
        <v>46398</v>
      </c>
      <c r="X338" s="14" t="n">
        <v>3797</v>
      </c>
      <c r="Y338" s="13">
        <f>IF(OR(N(W338)=0,X338=""),"",X338/W338)</f>
        <v>0.0818354239406871</v>
      </c>
      <c r="Z338" s="11" t="str">
        <f>IF(AA338="A","四季持續盈利",IF(AA338="B","最新季為正/波動",IF(AA338="C","虧損收窄",IF(AA338="D","虧損擴大或轉虧","數據不足"))))</f>
        <v>四季持續盈利</v>
      </c>
      <c r="AA338" s="9" t="str">
        <f>IF(COUNT(N338:Q338)&lt;4,"—",IF(MIN(N338:Q338)&gt;0,"A",IF(Q338&gt;0,"B",IF(Q338&gt;N338,"C","D"))))</f>
        <v>A</v>
      </c>
      <c r="AB338" s="9" t="inlineStr">
        <is>
          <t>2026-05-31</t>
        </is>
      </c>
    </row>
    <row r="339" ht="15" customHeight="1">
      <c r="A339" s="9" t="n">
        <v>338</v>
      </c>
      <c r="B339" s="10" t="inlineStr">
        <is>
          <t>NKTX</t>
        </is>
      </c>
      <c r="C339" s="11" t="inlineStr">
        <is>
          <t>腫瘤與細胞治療</t>
        </is>
      </c>
      <c r="D339" s="11" t="inlineStr">
        <is>
          <t>Nkarta, Inc.</t>
        </is>
      </c>
      <c r="E339" s="11" t="inlineStr">
        <is>
          <t>Biotechnology</t>
        </is>
      </c>
      <c r="F339" s="9" t="inlineStr">
        <is>
          <t>USD</t>
        </is>
      </c>
      <c r="G339" s="11" t="inlineStr">
        <is>
          <t>25Q2 / 25Q3 / 25Q4 / 26Q1 / 26Q2</t>
        </is>
      </c>
      <c r="H339" s="12" t="n">
        <v>0</v>
      </c>
      <c r="I339" s="12" t="n">
        <v>0</v>
      </c>
      <c r="J339" s="12" t="n">
        <v>0</v>
      </c>
      <c r="K339" s="12" t="n">
        <v>0</v>
      </c>
      <c r="L339" s="12" t="n">
        <v>0</v>
      </c>
      <c r="M339" s="13" t="str">
        <f>IF(OR(N(H339)=0,L339=""),"",L339/H339-1)</f>
        <v/>
      </c>
      <c r="N339" s="14" t="n">
        <v>-27.286</v>
      </c>
      <c r="O339" s="14" t="n">
        <v>-30.961</v>
      </c>
      <c r="P339" s="14" t="n">
        <v>-30.876</v>
      </c>
      <c r="Q339" s="14" t="n">
        <v>-43.128</v>
      </c>
      <c r="R339" s="13" t="str">
        <f>IF(OR(N(L339)=0,Q339=""),"",Q339/L339)</f>
        <v/>
      </c>
      <c r="S339" s="14" t="n"/>
      <c r="T339" s="13" t="str">
        <f>IF(OR(N(L339)=0,S339=""),"",S339/L339)</f>
        <v/>
      </c>
      <c r="U339" s="14" t="n">
        <v>-40.368</v>
      </c>
      <c r="V339" s="13" t="str">
        <f>IF(OR(N(L339)=0,U339=""),"",U339/L339)</f>
        <v/>
      </c>
      <c r="W339" s="14" t="n">
        <v>0</v>
      </c>
      <c r="X339" s="14" t="n">
        <v>-121.997</v>
      </c>
      <c r="Y339" s="13" t="str">
        <f>IF(OR(N(W339)=0,X339=""),"",X339/W339)</f>
        <v/>
      </c>
      <c r="Z339" s="11" t="str">
        <f>IF(AA339="A","四季持續盈利",IF(AA339="B","最新季為正/波動",IF(AA339="C","虧損收窄",IF(AA339="D","虧損擴大或轉虧","數據不足"))))</f>
        <v>虧損擴大或轉虧</v>
      </c>
      <c r="AA339" s="9" t="str">
        <f>IF(COUNT(N339:Q339)&lt;4,"—",IF(MIN(N339:Q339)&gt;0,"A",IF(Q339&gt;0,"B",IF(Q339&gt;N339,"C","D"))))</f>
        <v>D</v>
      </c>
      <c r="AB339" s="9" t="inlineStr">
        <is>
          <t>2026-06-30</t>
        </is>
      </c>
    </row>
    <row r="340" ht="15" customHeight="1">
      <c r="A340" s="9" t="n">
        <v>339</v>
      </c>
      <c r="B340" s="10" t="inlineStr">
        <is>
          <t>NNE</t>
        </is>
      </c>
      <c r="C340" s="11" t="inlineStr">
        <is>
          <t>小型模組化核能SMR</t>
        </is>
      </c>
      <c r="D340" s="11" t="inlineStr">
        <is>
          <t>NANO Nuclear Energy Inc.</t>
        </is>
      </c>
      <c r="E340" s="11" t="inlineStr">
        <is>
          <t>F3 能源</t>
        </is>
      </c>
      <c r="F340" s="9" t="inlineStr">
        <is>
          <t>USD</t>
        </is>
      </c>
      <c r="G340" s="11" t="inlineStr">
        <is>
          <t>25Q2 / 25Q3 / 25Q4 / 26Q1 / 26Q2</t>
        </is>
      </c>
      <c r="H340" s="12" t="n">
        <v>0</v>
      </c>
      <c r="I340" s="12" t="n">
        <v>0</v>
      </c>
      <c r="J340" s="12" t="n">
        <v>0</v>
      </c>
      <c r="K340" s="12" t="n">
        <v>0</v>
      </c>
      <c r="L340" s="12" t="n">
        <v>0.214042</v>
      </c>
      <c r="M340" s="13" t="str">
        <f>IF(OR(N(H340)=0,L340=""),"",L340/H340-1)</f>
        <v/>
      </c>
      <c r="N340" s="14" t="n">
        <v>-10.459046</v>
      </c>
      <c r="O340" s="14" t="n">
        <v>-12.215163</v>
      </c>
      <c r="P340" s="14" t="n">
        <v>-14.248739</v>
      </c>
      <c r="Q340" s="14" t="n">
        <v>-15.418458</v>
      </c>
      <c r="R340" s="13">
        <f>IF(OR(N(L340)=0,Q340=""),"",Q340/L340)</f>
        <v>-72.03473150129413</v>
      </c>
      <c r="S340" s="14" t="n">
        <v>0.062211</v>
      </c>
      <c r="T340" s="13">
        <f>IF(OR(N(L340)=0,S340=""),"",S340/L340)</f>
        <v>0.2906485643004644</v>
      </c>
      <c r="U340" s="14" t="n">
        <v>-10.104135</v>
      </c>
      <c r="V340" s="13">
        <f>IF(OR(N(L340)=0,U340=""),"",U340/L340)</f>
        <v>-47.206319320507184</v>
      </c>
      <c r="W340" s="14" t="n">
        <v>0</v>
      </c>
      <c r="X340" s="14" t="n">
        <v>-45.009033</v>
      </c>
      <c r="Y340" s="13" t="str">
        <f>IF(OR(N(W340)=0,X340=""),"",X340/W340)</f>
        <v/>
      </c>
      <c r="Z340" s="11" t="str">
        <f>IF(AA340="A","四季持續盈利",IF(AA340="B","最新季為正/波動",IF(AA340="C","虧損收窄",IF(AA340="D","虧損擴大或轉虧","數據不足"))))</f>
        <v>虧損擴大或轉虧</v>
      </c>
      <c r="AA340" s="9" t="str">
        <f>IF(COUNT(N340:Q340)&lt;4,"—",IF(MIN(N340:Q340)&gt;0,"A",IF(Q340&gt;0,"B",IF(Q340&gt;N340,"C","D"))))</f>
        <v>D</v>
      </c>
      <c r="AB340" s="9" t="inlineStr">
        <is>
          <t>2026-06-30</t>
        </is>
      </c>
    </row>
    <row r="341" ht="15" customHeight="1">
      <c r="A341" s="9" t="n">
        <v>340</v>
      </c>
      <c r="B341" s="10" t="inlineStr">
        <is>
          <t>NOC</t>
        </is>
      </c>
      <c r="C341" s="11" t="inlineStr">
        <is>
          <t>航太與國防</t>
        </is>
      </c>
      <c r="D341" s="11" t="inlineStr">
        <is>
          <t>Northrop Grumman Corporation</t>
        </is>
      </c>
      <c r="E341" s="11" t="inlineStr">
        <is>
          <t>Aerospace &amp; Defense</t>
        </is>
      </c>
      <c r="F341" s="9" t="inlineStr">
        <is>
          <t>USD</t>
        </is>
      </c>
      <c r="G341" s="11" t="inlineStr">
        <is>
          <t>25Q2 / 25Q3 / 25Q4 / 26Q1 / 26Q2</t>
        </is>
      </c>
      <c r="H341" s="12" t="n">
        <v>10351</v>
      </c>
      <c r="I341" s="12" t="n">
        <v>10423</v>
      </c>
      <c r="J341" s="12" t="n">
        <v>11712</v>
      </c>
      <c r="K341" s="12" t="n">
        <v>9881</v>
      </c>
      <c r="L341" s="12" t="n">
        <v>10876</v>
      </c>
      <c r="M341" s="13">
        <f>IF(OR(N(H341)=0,L341=""),"",L341/H341-1)</f>
        <v>0.050719737223456685</v>
      </c>
      <c r="N341" s="14" t="n">
        <v>1242</v>
      </c>
      <c r="O341" s="14" t="n">
        <v>1271</v>
      </c>
      <c r="P341" s="14" t="n">
        <v>989</v>
      </c>
      <c r="Q341" s="14" t="n">
        <v>1096</v>
      </c>
      <c r="R341" s="13">
        <f>IF(OR(N(L341)=0,Q341=""),"",Q341/L341)</f>
        <v>0.10077234277307834</v>
      </c>
      <c r="S341" s="14" t="n">
        <v>2121</v>
      </c>
      <c r="T341" s="13">
        <f>IF(OR(N(L341)=0,S341=""),"",S341/L341)</f>
        <v>0.19501655020228026</v>
      </c>
      <c r="U341" s="14" t="n">
        <v>1094</v>
      </c>
      <c r="V341" s="13">
        <f>IF(OR(N(L341)=0,U341=""),"",U341/L341)</f>
        <v>0.10058845163663112</v>
      </c>
      <c r="W341" s="14" t="n">
        <v>41954</v>
      </c>
      <c r="X341" s="14" t="n">
        <v>4280</v>
      </c>
      <c r="Y341" s="13">
        <f>IF(OR(N(W341)=0,X341=""),"",X341/W341)</f>
        <v>0.1020164942556133</v>
      </c>
      <c r="Z341" s="11" t="str">
        <f>IF(AA341="A","四季持續盈利",IF(AA341="B","最新季為正/波動",IF(AA341="C","虧損收窄",IF(AA341="D","虧損擴大或轉虧","數據不足"))))</f>
        <v>四季持續盈利</v>
      </c>
      <c r="AA341" s="9" t="str">
        <f>IF(COUNT(N341:Q341)&lt;4,"—",IF(MIN(N341:Q341)&gt;0,"A",IF(Q341&gt;0,"B",IF(Q341&gt;N341,"C","D"))))</f>
        <v>A</v>
      </c>
      <c r="AB341" s="9" t="inlineStr">
        <is>
          <t>2026-06-30</t>
        </is>
      </c>
    </row>
    <row r="342" ht="15" customHeight="1">
      <c r="A342" s="9" t="n">
        <v>341</v>
      </c>
      <c r="B342" s="10" t="inlineStr">
        <is>
          <t>NOW</t>
        </is>
      </c>
      <c r="C342" s="11" t="inlineStr">
        <is>
          <t>企業軟體/SaaS</t>
        </is>
      </c>
      <c r="D342" s="11" t="inlineStr">
        <is>
          <t>ServiceNow, Inc.</t>
        </is>
      </c>
      <c r="E342" s="11" t="inlineStr">
        <is>
          <t>G3 AI</t>
        </is>
      </c>
      <c r="F342" s="9" t="inlineStr">
        <is>
          <t>USD</t>
        </is>
      </c>
      <c r="G342" s="11" t="inlineStr">
        <is>
          <t>25Q2 / 25Q3 / 25Q4 / 26Q1 / 26Q2</t>
        </is>
      </c>
      <c r="H342" s="12" t="n">
        <v>3215</v>
      </c>
      <c r="I342" s="12" t="n">
        <v>3407</v>
      </c>
      <c r="J342" s="12" t="n">
        <v>3568</v>
      </c>
      <c r="K342" s="12" t="n">
        <v>3770</v>
      </c>
      <c r="L342" s="12" t="n">
        <v>3987</v>
      </c>
      <c r="M342" s="13">
        <f>IF(OR(N(H342)=0,L342=""),"",L342/H342-1)</f>
        <v>0.2401244167962675</v>
      </c>
      <c r="N342" s="14" t="n">
        <v>572</v>
      </c>
      <c r="O342" s="14" t="n">
        <v>443</v>
      </c>
      <c r="P342" s="14" t="n">
        <v>503</v>
      </c>
      <c r="Q342" s="14" t="n">
        <v>162</v>
      </c>
      <c r="R342" s="13">
        <f>IF(OR(N(L342)=0,Q342=""),"",Q342/L342)</f>
        <v>0.040632054176072234</v>
      </c>
      <c r="S342" s="14" t="n">
        <v>2818</v>
      </c>
      <c r="T342" s="13">
        <f>IF(OR(N(L342)=0,S342=""),"",S342/L342)</f>
        <v>0.7067970905442689</v>
      </c>
      <c r="U342" s="14" t="n">
        <v>298</v>
      </c>
      <c r="V342" s="13">
        <f>IF(OR(N(L342)=0,U342=""),"",U342/L342)</f>
        <v>0.07474291447203411</v>
      </c>
      <c r="W342" s="14" t="n">
        <v>13278</v>
      </c>
      <c r="X342" s="14" t="n">
        <v>1824</v>
      </c>
      <c r="Y342" s="13">
        <f>IF(OR(N(W342)=0,X342=""),"",X342/W342)</f>
        <v>0.13737008585630367</v>
      </c>
      <c r="Z342" s="11" t="str">
        <f>IF(AA342="A","四季持續盈利",IF(AA342="B","最新季為正/波動",IF(AA342="C","虧損收窄",IF(AA342="D","虧損擴大或轉虧","數據不足"))))</f>
        <v>四季持續盈利</v>
      </c>
      <c r="AA342" s="9" t="str">
        <f>IF(COUNT(N342:Q342)&lt;4,"—",IF(MIN(N342:Q342)&gt;0,"A",IF(Q342&gt;0,"B",IF(Q342&gt;N342,"C","D"))))</f>
        <v>A</v>
      </c>
      <c r="AB342" s="9" t="inlineStr">
        <is>
          <t>2026-06-30</t>
        </is>
      </c>
    </row>
    <row r="343" ht="15" customHeight="1">
      <c r="A343" s="9" t="n">
        <v>342</v>
      </c>
      <c r="B343" s="10" t="inlineStr">
        <is>
          <t>NRG</t>
        </is>
      </c>
      <c r="C343" s="11" t="inlineStr">
        <is>
          <t>IPP與電力交易商</t>
        </is>
      </c>
      <c r="D343" s="11" t="inlineStr">
        <is>
          <t>NRG Energy, Inc.</t>
        </is>
      </c>
      <c r="E343" s="11" t="inlineStr">
        <is>
          <t>F3 能源</t>
        </is>
      </c>
      <c r="F343" s="9" t="inlineStr">
        <is>
          <t>USD</t>
        </is>
      </c>
      <c r="G343" s="11" t="inlineStr">
        <is>
          <t>25Q2 / 25Q3 / 25Q4 / 26Q1 / 26Q2</t>
        </is>
      </c>
      <c r="H343" s="12" t="n">
        <v>6740</v>
      </c>
      <c r="I343" s="12" t="n">
        <v>7635</v>
      </c>
      <c r="J343" s="12" t="n">
        <v>7753</v>
      </c>
      <c r="K343" s="12" t="n">
        <v>10256</v>
      </c>
      <c r="L343" s="12" t="n">
        <v>7481</v>
      </c>
      <c r="M343" s="13">
        <f>IF(OR(N(H343)=0,L343=""),"",L343/H343-1)</f>
        <v>0.10994065281899101</v>
      </c>
      <c r="N343" s="14" t="n">
        <v>422</v>
      </c>
      <c r="O343" s="14" t="n">
        <v>330</v>
      </c>
      <c r="P343" s="14" t="n">
        <v>373</v>
      </c>
      <c r="Q343" s="14" t="n">
        <v>955</v>
      </c>
      <c r="R343" s="13">
        <f>IF(OR(N(L343)=0,Q343=""),"",Q343/L343)</f>
        <v>0.12765673038363856</v>
      </c>
      <c r="S343" s="14" t="n">
        <v>2011</v>
      </c>
      <c r="T343" s="13">
        <f>IF(OR(N(L343)=0,S343=""),"",S343/L343)</f>
        <v>0.2688143296350755</v>
      </c>
      <c r="U343" s="14" t="n">
        <v>506</v>
      </c>
      <c r="V343" s="13">
        <f>IF(OR(N(L343)=0,U343=""),"",U343/L343)</f>
        <v>0.06763801630798022</v>
      </c>
      <c r="W343" s="14" t="n">
        <v>30713</v>
      </c>
      <c r="X343" s="14" t="n">
        <v>1944</v>
      </c>
      <c r="Y343" s="13">
        <f>IF(OR(N(W343)=0,X343=""),"",X343/W343)</f>
        <v>0.06329567284211897</v>
      </c>
      <c r="Z343" s="11" t="str">
        <f>IF(AA343="A","四季持續盈利",IF(AA343="B","最新季為正/波動",IF(AA343="C","虧損收窄",IF(AA343="D","虧損擴大或轉虧","數據不足"))))</f>
        <v>四季持續盈利</v>
      </c>
      <c r="AA343" s="9" t="str">
        <f>IF(COUNT(N343:Q343)&lt;4,"—",IF(MIN(N343:Q343)&gt;0,"A",IF(Q343&gt;0,"B",IF(Q343&gt;N343,"C","D"))))</f>
        <v>A</v>
      </c>
      <c r="AB343" s="9" t="inlineStr">
        <is>
          <t>2026-06-30</t>
        </is>
      </c>
    </row>
    <row r="344" ht="15" customHeight="1">
      <c r="A344" s="9" t="n">
        <v>343</v>
      </c>
      <c r="B344" s="10" t="inlineStr">
        <is>
          <t>NSC</t>
        </is>
      </c>
      <c r="C344" s="11" t="inlineStr">
        <is>
          <t>鐵路運輸</t>
        </is>
      </c>
      <c r="D344" s="11" t="inlineStr">
        <is>
          <t>Norfolk Southern Corporation</t>
        </is>
      </c>
      <c r="E344" s="11" t="inlineStr">
        <is>
          <t>Railroads</t>
        </is>
      </c>
      <c r="F344" s="9" t="inlineStr">
        <is>
          <t>USD</t>
        </is>
      </c>
      <c r="G344" s="11" t="inlineStr">
        <is>
          <t>25Q2 / 25Q3 / 25Q4 / 26Q1 / 26Q2</t>
        </is>
      </c>
      <c r="H344" s="12" t="n">
        <v>3110</v>
      </c>
      <c r="I344" s="12" t="n">
        <v>3103</v>
      </c>
      <c r="J344" s="12" t="n">
        <v>2974</v>
      </c>
      <c r="K344" s="12" t="n">
        <v>2998</v>
      </c>
      <c r="L344" s="12" t="n">
        <v>3465</v>
      </c>
      <c r="M344" s="13">
        <f>IF(OR(N(H344)=0,L344=""),"",L344/H344-1)</f>
        <v>0.11414790996784574</v>
      </c>
      <c r="N344" s="14" t="n">
        <v>1189</v>
      </c>
      <c r="O344" s="14" t="n">
        <v>1158</v>
      </c>
      <c r="P344" s="14" t="n">
        <v>992</v>
      </c>
      <c r="Q344" s="14" t="n">
        <v>1266</v>
      </c>
      <c r="R344" s="13">
        <f>IF(OR(N(L344)=0,Q344=""),"",Q344/L344)</f>
        <v>0.36536796536796534</v>
      </c>
      <c r="S344" s="14" t="n">
        <v>1295</v>
      </c>
      <c r="T344" s="13">
        <f>IF(OR(N(L344)=0,S344=""),"",S344/L344)</f>
        <v>0.37373737373737376</v>
      </c>
      <c r="U344" s="14" t="n">
        <v>734</v>
      </c>
      <c r="V344" s="13">
        <f>IF(OR(N(L344)=0,U344=""),"",U344/L344)</f>
        <v>0.21183261183261184</v>
      </c>
      <c r="W344" s="14" t="n">
        <v>12180</v>
      </c>
      <c r="X344" s="14" t="n">
        <v>4571</v>
      </c>
      <c r="Y344" s="13">
        <f>IF(OR(N(W344)=0,X344=""),"",X344/W344)</f>
        <v>0.37528735632183907</v>
      </c>
      <c r="Z344" s="11" t="str">
        <f>IF(AA344="A","四季持續盈利",IF(AA344="B","最新季為正/波動",IF(AA344="C","虧損收窄",IF(AA344="D","虧損擴大或轉虧","數據不足"))))</f>
        <v>四季持續盈利</v>
      </c>
      <c r="AA344" s="9" t="str">
        <f>IF(COUNT(N344:Q344)&lt;4,"—",IF(MIN(N344:Q344)&gt;0,"A",IF(Q344&gt;0,"B",IF(Q344&gt;N344,"C","D"))))</f>
        <v>A</v>
      </c>
      <c r="AB344" s="9" t="inlineStr">
        <is>
          <t>2026-06-30</t>
        </is>
      </c>
    </row>
    <row r="345" ht="15" customHeight="1">
      <c r="A345" s="9" t="n">
        <v>344</v>
      </c>
      <c r="B345" s="10" t="inlineStr">
        <is>
          <t>NTAP</t>
        </is>
      </c>
      <c r="C345" s="11" t="inlineStr">
        <is>
          <t>—</t>
        </is>
      </c>
      <c r="D345" s="11" t="inlineStr">
        <is>
          <t>NetApp, Inc.</t>
        </is>
      </c>
      <c r="E345" s="11" t="inlineStr">
        <is>
          <t>C4 儲存系統</t>
        </is>
      </c>
      <c r="F345" s="9" t="inlineStr">
        <is>
          <t>USD</t>
        </is>
      </c>
      <c r="G345" s="11" t="inlineStr">
        <is>
          <t>25Q3 / 25Q4 / 26Q1 / 26Q2 / 26Q3</t>
        </is>
      </c>
      <c r="H345" s="12" t="n">
        <v>1559</v>
      </c>
      <c r="I345" s="12" t="n">
        <v>1705</v>
      </c>
      <c r="J345" s="12" t="n">
        <v>1713</v>
      </c>
      <c r="K345" s="12" t="n">
        <v>1948</v>
      </c>
      <c r="L345" s="12" t="n"/>
      <c r="M345" s="13" t="str">
        <f>IF(OR(N(H345)=0,L345=""),"",L345/H345-1)</f>
        <v/>
      </c>
      <c r="N345" s="14" t="n">
        <v>422</v>
      </c>
      <c r="O345" s="14" t="n">
        <v>431</v>
      </c>
      <c r="P345" s="14" t="n">
        <v>531</v>
      </c>
      <c r="Q345" s="14" t="n"/>
      <c r="R345" s="13" t="str">
        <f>IF(OR(N(L345)=0,Q345=""),"",Q345/L345)</f>
        <v/>
      </c>
      <c r="S345" s="14" t="n"/>
      <c r="T345" s="13" t="str">
        <f>IF(OR(N(L345)=0,S345=""),"",S345/L345)</f>
        <v/>
      </c>
      <c r="U345" s="14" t="n"/>
      <c r="V345" s="13" t="str">
        <f>IF(OR(N(L345)=0,U345=""),"",U345/L345)</f>
        <v/>
      </c>
      <c r="W345" s="14" t="n">
        <v>6925</v>
      </c>
      <c r="X345" s="14" t="n">
        <v>1695</v>
      </c>
      <c r="Y345" s="13">
        <f>IF(OR(N(W345)=0,X345=""),"",X345/W345)</f>
        <v>0.24476534296028882</v>
      </c>
      <c r="Z345" s="11" t="str">
        <f>IF(AA345="A","四季持續盈利",IF(AA345="B","最新季為正/波動",IF(AA345="C","虧損收窄",IF(AA345="D","虧損擴大或轉虧","數據不足"))))</f>
        <v>數據不足</v>
      </c>
      <c r="AA345" s="9" t="str">
        <f>IF(COUNT(N345:Q345)&lt;4,"—",IF(MIN(N345:Q345)&gt;0,"A",IF(Q345&gt;0,"B",IF(Q345&gt;N345,"C","D"))))</f>
        <v>—</v>
      </c>
      <c r="AB345" s="9" t="inlineStr">
        <is>
          <t>2026-07-31</t>
        </is>
      </c>
    </row>
    <row r="346" ht="15" customHeight="1">
      <c r="A346" s="9" t="n">
        <v>345</v>
      </c>
      <c r="B346" s="10" t="inlineStr">
        <is>
          <t>NTLA</t>
        </is>
      </c>
      <c r="C346" s="11" t="inlineStr">
        <is>
          <t>基因治療與基因編輯</t>
        </is>
      </c>
      <c r="D346" s="11" t="inlineStr">
        <is>
          <t>Intellia Therapeutics, Inc.</t>
        </is>
      </c>
      <c r="E346" s="11" t="inlineStr">
        <is>
          <t>Biotechnology</t>
        </is>
      </c>
      <c r="F346" s="9" t="inlineStr">
        <is>
          <t>USD</t>
        </is>
      </c>
      <c r="G346" s="11" t="inlineStr">
        <is>
          <t>25Q2 / 25Q3 / 25Q4 / 26Q1 / 26Q2</t>
        </is>
      </c>
      <c r="H346" s="12" t="n">
        <v>14.245</v>
      </c>
      <c r="I346" s="12" t="n">
        <v>13.782</v>
      </c>
      <c r="J346" s="12" t="n">
        <v>23.017</v>
      </c>
      <c r="K346" s="12" t="n">
        <v>15.048</v>
      </c>
      <c r="L346" s="12" t="n">
        <v>7.659</v>
      </c>
      <c r="M346" s="13">
        <f>IF(OR(N(H346)=0,L346=""),"",L346/H346-1)</f>
        <v>-0.46233766233766227</v>
      </c>
      <c r="N346" s="14" t="n">
        <v>-111.477</v>
      </c>
      <c r="O346" s="14" t="n">
        <v>-98.70999999999999</v>
      </c>
      <c r="P346" s="14" t="n">
        <v>-100.532</v>
      </c>
      <c r="Q346" s="14" t="n">
        <v>-112.76</v>
      </c>
      <c r="R346" s="13">
        <f>IF(OR(N(L346)=0,Q346=""),"",Q346/L346)</f>
        <v>-14.722548635592116</v>
      </c>
      <c r="S346" s="14" t="n"/>
      <c r="T346" s="13" t="str">
        <f>IF(OR(N(L346)=0,S346=""),"",S346/L346)</f>
        <v/>
      </c>
      <c r="U346" s="14" t="n">
        <v>-106.634</v>
      </c>
      <c r="V346" s="13">
        <f>IF(OR(N(L346)=0,U346=""),"",U346/L346)</f>
        <v>-13.922705314009661</v>
      </c>
      <c r="W346" s="14" t="n">
        <v>67.67100000000001</v>
      </c>
      <c r="X346" s="14" t="n">
        <v>-440.99</v>
      </c>
      <c r="Y346" s="13">
        <f>IF(OR(N(W346)=0,X346=""),"",X346/W346)</f>
        <v>-6.516676271962878</v>
      </c>
      <c r="Z346" s="11" t="str">
        <f>IF(AA346="A","四季持續盈利",IF(AA346="B","最新季為正/波動",IF(AA346="C","虧損收窄",IF(AA346="D","虧損擴大或轉虧","數據不足"))))</f>
        <v>虧損擴大或轉虧</v>
      </c>
      <c r="AA346" s="9" t="str">
        <f>IF(COUNT(N346:Q346)&lt;4,"—",IF(MIN(N346:Q346)&gt;0,"A",IF(Q346&gt;0,"B",IF(Q346&gt;N346,"C","D"))))</f>
        <v>D</v>
      </c>
      <c r="AB346" s="9" t="inlineStr">
        <is>
          <t>2026-06-30</t>
        </is>
      </c>
    </row>
    <row r="347" ht="15" customHeight="1">
      <c r="A347" s="9" t="n">
        <v>346</v>
      </c>
      <c r="B347" s="10" t="inlineStr">
        <is>
          <t>NTR</t>
        </is>
      </c>
      <c r="C347" s="11" t="inlineStr">
        <is>
          <t>基礎化工與化肥</t>
        </is>
      </c>
      <c r="D347" s="11" t="inlineStr">
        <is>
          <t>Nutrien Ltd.</t>
        </is>
      </c>
      <c r="E347" s="11" t="inlineStr">
        <is>
          <t>Agricultural Inputs</t>
        </is>
      </c>
      <c r="F347" s="9" t="inlineStr">
        <is>
          <t>USD</t>
        </is>
      </c>
      <c r="G347" s="11" t="inlineStr">
        <is>
          <t>25Q2 / 25Q3 / 25Q4 / 26Q1 / 26Q2</t>
        </is>
      </c>
      <c r="H347" s="12" t="n">
        <v>10438</v>
      </c>
      <c r="I347" s="12" t="n">
        <v>6007</v>
      </c>
      <c r="J347" s="12" t="n">
        <v>5340</v>
      </c>
      <c r="K347" s="12" t="n">
        <v>6046</v>
      </c>
      <c r="L347" s="12" t="n">
        <v>10812</v>
      </c>
      <c r="M347" s="13">
        <f>IF(OR(N(H347)=0,L347=""),"",L347/H347-1)</f>
        <v>0.03583061889250816</v>
      </c>
      <c r="N347" s="14" t="n">
        <v>877</v>
      </c>
      <c r="O347" s="14" t="n">
        <v>771</v>
      </c>
      <c r="P347" s="14" t="n">
        <v>507</v>
      </c>
      <c r="Q347" s="14" t="n">
        <v>1989</v>
      </c>
      <c r="R347" s="13">
        <f>IF(OR(N(L347)=0,Q347=""),"",Q347/L347)</f>
        <v>0.18396226415094338</v>
      </c>
      <c r="S347" s="14" t="n">
        <v>3251</v>
      </c>
      <c r="T347" s="13">
        <f>IF(OR(N(L347)=0,S347=""),"",S347/L347)</f>
        <v>0.30068442471328155</v>
      </c>
      <c r="U347" s="14" t="n">
        <v>1214</v>
      </c>
      <c r="V347" s="13">
        <f>IF(OR(N(L347)=0,U347=""),"",U347/L347)</f>
        <v>0.11228264890862005</v>
      </c>
      <c r="W347" s="14" t="n">
        <v>26885</v>
      </c>
      <c r="X347" s="14" t="n">
        <v>3869</v>
      </c>
      <c r="Y347" s="13">
        <f>IF(OR(N(W347)=0,X347=""),"",X347/W347)</f>
        <v>0.14390924307234518</v>
      </c>
      <c r="Z347" s="11" t="str">
        <f>IF(AA347="A","四季持續盈利",IF(AA347="B","最新季為正/波動",IF(AA347="C","虧損收窄",IF(AA347="D","虧損擴大或轉虧","數據不足"))))</f>
        <v>四季持續盈利</v>
      </c>
      <c r="AA347" s="9" t="str">
        <f>IF(COUNT(N347:Q347)&lt;4,"—",IF(MIN(N347:Q347)&gt;0,"A",IF(Q347&gt;0,"B",IF(Q347&gt;N347,"C","D"))))</f>
        <v>A</v>
      </c>
      <c r="AB347" s="9" t="inlineStr">
        <is>
          <t>2026-06-30</t>
        </is>
      </c>
    </row>
    <row r="348" ht="15" customHeight="1">
      <c r="A348" s="9" t="n">
        <v>347</v>
      </c>
      <c r="B348" s="10" t="inlineStr">
        <is>
          <t>NUE</t>
        </is>
      </c>
      <c r="C348" s="11" t="inlineStr">
        <is>
          <t>鋼鐵</t>
        </is>
      </c>
      <c r="D348" s="11" t="inlineStr">
        <is>
          <t>Nucor Corporation</t>
        </is>
      </c>
      <c r="E348" s="11" t="inlineStr">
        <is>
          <t>Steel</t>
        </is>
      </c>
      <c r="F348" s="9" t="inlineStr">
        <is>
          <t>USD</t>
        </is>
      </c>
      <c r="G348" s="11" t="inlineStr">
        <is>
          <t>25Q2 / 25Q3 / 25Q4 / 26Q1 / 26Q2</t>
        </is>
      </c>
      <c r="H348" s="12" t="n">
        <v>8456</v>
      </c>
      <c r="I348" s="12" t="n">
        <v>8521</v>
      </c>
      <c r="J348" s="12" t="n">
        <v>7687</v>
      </c>
      <c r="K348" s="12" t="n">
        <v>9496</v>
      </c>
      <c r="L348" s="12" t="n">
        <v>10397</v>
      </c>
      <c r="M348" s="13">
        <f>IF(OR(N(H348)=0,L348=""),"",L348/H348-1)</f>
        <v>0.2295411542100283</v>
      </c>
      <c r="N348" s="14" t="n">
        <v>888</v>
      </c>
      <c r="O348" s="14" t="n">
        <v>528</v>
      </c>
      <c r="P348" s="14" t="n">
        <v>1123</v>
      </c>
      <c r="Q348" s="14" t="n">
        <v>1629</v>
      </c>
      <c r="R348" s="13">
        <f>IF(OR(N(L348)=0,Q348=""),"",Q348/L348)</f>
        <v>0.15667981148408194</v>
      </c>
      <c r="S348" s="14" t="n">
        <v>2034</v>
      </c>
      <c r="T348" s="13">
        <f>IF(OR(N(L348)=0,S348=""),"",S348/L348)</f>
        <v>0.19563335577570454</v>
      </c>
      <c r="U348" s="14" t="n">
        <v>1156</v>
      </c>
      <c r="V348" s="13">
        <f>IF(OR(N(L348)=0,U348=""),"",U348/L348)</f>
        <v>0.11118591901510051</v>
      </c>
      <c r="W348" s="14" t="n">
        <v>32494</v>
      </c>
      <c r="X348" s="14" t="n">
        <v>2659</v>
      </c>
      <c r="Y348" s="13">
        <f>IF(OR(N(W348)=0,X348=""),"",X348/W348)</f>
        <v>0.08183049178309842</v>
      </c>
      <c r="Z348" s="11" t="str">
        <f>IF(AA348="A","四季持續盈利",IF(AA348="B","最新季為正/波動",IF(AA348="C","虧損收窄",IF(AA348="D","虧損擴大或轉虧","數據不足"))))</f>
        <v>四季持續盈利</v>
      </c>
      <c r="AA348" s="9" t="str">
        <f>IF(COUNT(N348:Q348)&lt;4,"—",IF(MIN(N348:Q348)&gt;0,"A",IF(Q348&gt;0,"B",IF(Q348&gt;N348,"C","D"))))</f>
        <v>A</v>
      </c>
      <c r="AB348" s="9" t="inlineStr">
        <is>
          <t>2026-06-30</t>
        </is>
      </c>
    </row>
    <row r="349" ht="15" customHeight="1">
      <c r="A349" s="9" t="n">
        <v>348</v>
      </c>
      <c r="B349" s="10" t="inlineStr">
        <is>
          <t>NVDA</t>
        </is>
      </c>
      <c r="C349" s="11" t="inlineStr">
        <is>
          <t>AI加速晶片/GPU</t>
        </is>
      </c>
      <c r="D349" s="11" t="inlineStr">
        <is>
          <t>NVIDIA Corporation</t>
        </is>
      </c>
      <c r="E349" s="11" t="inlineStr">
        <is>
          <t>A1 GPU</t>
        </is>
      </c>
      <c r="F349" s="9" t="inlineStr">
        <is>
          <t>USD</t>
        </is>
      </c>
      <c r="G349" s="11" t="inlineStr">
        <is>
          <t>25Q3 / 25Q4 / 26Q1 / 26Q2 / 26Q3</t>
        </is>
      </c>
      <c r="H349" s="12" t="n">
        <v>46743</v>
      </c>
      <c r="I349" s="12" t="n">
        <v>57006</v>
      </c>
      <c r="J349" s="12" t="n">
        <v>68127</v>
      </c>
      <c r="K349" s="12" t="n">
        <v>81615</v>
      </c>
      <c r="L349" s="12" t="n">
        <v>96221</v>
      </c>
      <c r="M349" s="13">
        <f>IF(OR(N(H349)=0,L349=""),"",L349/H349-1)</f>
        <v>1.0585114348672526</v>
      </c>
      <c r="N349" s="14" t="n">
        <v>36010</v>
      </c>
      <c r="O349" s="14" t="n">
        <v>44299</v>
      </c>
      <c r="P349" s="14" t="n">
        <v>53536</v>
      </c>
      <c r="Q349" s="14" t="n">
        <v>63734</v>
      </c>
      <c r="R349" s="13">
        <f>IF(OR(N(L349)=0,Q349=""),"",Q349/L349)</f>
        <v>0.6623710000935347</v>
      </c>
      <c r="S349" s="14" t="n">
        <v>72142</v>
      </c>
      <c r="T349" s="13">
        <f>IF(OR(N(L349)=0,S349=""),"",S349/L349)</f>
        <v>0.7497531723844068</v>
      </c>
      <c r="U349" s="14" t="n">
        <v>59688</v>
      </c>
      <c r="V349" s="13">
        <f>IF(OR(N(L349)=0,U349=""),"",U349/L349)</f>
        <v>0.6203219671381507</v>
      </c>
      <c r="W349" s="14" t="n">
        <v>215938</v>
      </c>
      <c r="X349" s="14" t="n">
        <v>130387</v>
      </c>
      <c r="Y349" s="13">
        <f>IF(OR(N(W349)=0,X349=""),"",X349/W349)</f>
        <v>0.6038168363141272</v>
      </c>
      <c r="Z349" s="11" t="str">
        <f>IF(AA349="A","四季持續盈利",IF(AA349="B","最新季為正/波動",IF(AA349="C","虧損收窄",IF(AA349="D","虧損擴大或轉虧","數據不足"))))</f>
        <v>四季持續盈利</v>
      </c>
      <c r="AA349" s="9" t="str">
        <f>IF(COUNT(N349:Q349)&lt;4,"—",IF(MIN(N349:Q349)&gt;0,"A",IF(Q349&gt;0,"B",IF(Q349&gt;N349,"C","D"))))</f>
        <v>A</v>
      </c>
      <c r="AB349" s="9" t="inlineStr">
        <is>
          <t>2026-07-31</t>
        </is>
      </c>
    </row>
    <row r="350" ht="15" customHeight="1">
      <c r="A350" s="9" t="n">
        <v>349</v>
      </c>
      <c r="B350" s="10" t="inlineStr">
        <is>
          <t>NVO</t>
        </is>
      </c>
      <c r="C350" s="11" t="inlineStr">
        <is>
          <t>GLP-1減重與代謝</t>
        </is>
      </c>
      <c r="D350" s="11" t="inlineStr">
        <is>
          <t>Novo Nordisk A/S</t>
        </is>
      </c>
      <c r="E350" s="11" t="inlineStr">
        <is>
          <t>Drug Manufacturers - General</t>
        </is>
      </c>
      <c r="F350" s="9" t="inlineStr">
        <is>
          <t>DKK</t>
        </is>
      </c>
      <c r="G350" s="11" t="inlineStr">
        <is>
          <t>25Q2 / 25Q3 / 25Q4 / 26Q1 / 26Q2</t>
        </is>
      </c>
      <c r="H350" s="12" t="n">
        <v>76857</v>
      </c>
      <c r="I350" s="12" t="n">
        <v>74976</v>
      </c>
      <c r="J350" s="12" t="n">
        <v>79144</v>
      </c>
      <c r="K350" s="12" t="n">
        <v>96823</v>
      </c>
      <c r="L350" s="12" t="n">
        <v>78488</v>
      </c>
      <c r="M350" s="13">
        <f>IF(OR(N(H350)=0,L350=""),"",L350/H350-1)</f>
        <v>0.02122122903574164</v>
      </c>
      <c r="N350" s="14" t="n">
        <v>23682</v>
      </c>
      <c r="O350" s="14" t="n">
        <v>31736</v>
      </c>
      <c r="P350" s="14" t="n">
        <v>59618</v>
      </c>
      <c r="Q350" s="14" t="n">
        <v>27061</v>
      </c>
      <c r="R350" s="13">
        <f>IF(OR(N(L350)=0,Q350=""),"",Q350/L350)</f>
        <v>0.34477881969218227</v>
      </c>
      <c r="S350" s="14" t="n">
        <v>61388</v>
      </c>
      <c r="T350" s="13">
        <f>IF(OR(N(L350)=0,S350=""),"",S350/L350)</f>
        <v>0.7821323004790541</v>
      </c>
      <c r="U350" s="14" t="n">
        <v>20989</v>
      </c>
      <c r="V350" s="13">
        <f>IF(OR(N(L350)=0,U350=""),"",U350/L350)</f>
        <v>0.2674166751605341</v>
      </c>
      <c r="W350" s="14" t="n">
        <v>309064</v>
      </c>
      <c r="X350" s="14" t="n">
        <v>127658</v>
      </c>
      <c r="Y350" s="13">
        <f>IF(OR(N(W350)=0,X350=""),"",X350/W350)</f>
        <v>0.4130471358682991</v>
      </c>
      <c r="Z350" s="11" t="str">
        <f>IF(AA350="A","四季持續盈利",IF(AA350="B","最新季為正/波動",IF(AA350="C","虧損收窄",IF(AA350="D","虧損擴大或轉虧","數據不足"))))</f>
        <v>四季持續盈利</v>
      </c>
      <c r="AA350" s="9" t="str">
        <f>IF(COUNT(N350:Q350)&lt;4,"—",IF(MIN(N350:Q350)&gt;0,"A",IF(Q350&gt;0,"B",IF(Q350&gt;N350,"C","D"))))</f>
        <v>A</v>
      </c>
      <c r="AB350" s="9" t="inlineStr">
        <is>
          <t>2026-06-30</t>
        </is>
      </c>
    </row>
    <row r="351" ht="15" customHeight="1">
      <c r="A351" s="9" t="n">
        <v>350</v>
      </c>
      <c r="B351" s="10" t="inlineStr">
        <is>
          <t>NVR</t>
        </is>
      </c>
      <c r="C351" s="11" t="inlineStr">
        <is>
          <t>住宅建築商</t>
        </is>
      </c>
      <c r="D351" s="11" t="inlineStr">
        <is>
          <t>NVR, Inc.</t>
        </is>
      </c>
      <c r="E351" s="11" t="inlineStr">
        <is>
          <t>Residential Construction</t>
        </is>
      </c>
      <c r="F351" s="9" t="inlineStr">
        <is>
          <t>USD</t>
        </is>
      </c>
      <c r="G351" s="11" t="inlineStr">
        <is>
          <t>25Q2 / 25Q3 / 25Q4 / 26Q1 / 26Q2</t>
        </is>
      </c>
      <c r="H351" s="12" t="n">
        <v>2603.307</v>
      </c>
      <c r="I351" s="12" t="n">
        <v>2614.386</v>
      </c>
      <c r="J351" s="12" t="n">
        <v>2717.314</v>
      </c>
      <c r="K351" s="12" t="n">
        <v>1884.692</v>
      </c>
      <c r="L351" s="12" t="n">
        <v>2330.339</v>
      </c>
      <c r="M351" s="13">
        <f>IF(OR(N(H351)=0,L351=""),"",L351/H351-1)</f>
        <v>-0.10485432567115593</v>
      </c>
      <c r="N351" s="14" t="n">
        <v>427.855</v>
      </c>
      <c r="O351" s="14" t="n">
        <v>452.081</v>
      </c>
      <c r="P351" s="14" t="n">
        <v>230.055</v>
      </c>
      <c r="Q351" s="14" t="n">
        <v>312.248</v>
      </c>
      <c r="R351" s="13">
        <f>IF(OR(N(L351)=0,Q351=""),"",Q351/L351)</f>
        <v>0.1339925221180266</v>
      </c>
      <c r="S351" s="14" t="n">
        <v>489.122</v>
      </c>
      <c r="T351" s="13">
        <f>IF(OR(N(L351)=0,S351=""),"",S351/L351)</f>
        <v>0.20989306706020028</v>
      </c>
      <c r="U351" s="14" t="n">
        <v>236.458</v>
      </c>
      <c r="V351" s="13">
        <f>IF(OR(N(L351)=0,U351=""),"",U351/L351)</f>
        <v>0.10146935703346166</v>
      </c>
      <c r="W351" s="14" t="n">
        <v>10341.845</v>
      </c>
      <c r="X351" s="14" t="n">
        <v>1689.318</v>
      </c>
      <c r="Y351" s="13">
        <f>IF(OR(N(W351)=0,X351=""),"",X351/W351)</f>
        <v>0.16334783590355492</v>
      </c>
      <c r="Z351" s="11" t="str">
        <f>IF(AA351="A","四季持續盈利",IF(AA351="B","最新季為正/波動",IF(AA351="C","虧損收窄",IF(AA351="D","虧損擴大或轉虧","數據不足"))))</f>
        <v>四季持續盈利</v>
      </c>
      <c r="AA351" s="9" t="str">
        <f>IF(COUNT(N351:Q351)&lt;4,"—",IF(MIN(N351:Q351)&gt;0,"A",IF(Q351&gt;0,"B",IF(Q351&gt;N351,"C","D"))))</f>
        <v>A</v>
      </c>
      <c r="AB351" s="9" t="inlineStr">
        <is>
          <t>2026-06-30</t>
        </is>
      </c>
    </row>
    <row r="352" ht="15" customHeight="1">
      <c r="A352" s="9" t="n">
        <v>351</v>
      </c>
      <c r="B352" s="10" t="inlineStr">
        <is>
          <t>NWSA</t>
        </is>
      </c>
      <c r="C352" s="11" t="inlineStr">
        <is>
          <t>傳媒與娛樂內容</t>
        </is>
      </c>
      <c r="D352" s="11" t="inlineStr">
        <is>
          <t>News Corporation</t>
        </is>
      </c>
      <c r="E352" s="11" t="inlineStr">
        <is>
          <t>Entertainment</t>
        </is>
      </c>
      <c r="F352" s="9" t="inlineStr">
        <is>
          <t>USD</t>
        </is>
      </c>
      <c r="G352" s="11" t="inlineStr">
        <is>
          <t>25Q2 / 25Q3 / 25Q4 / 26Q1 / 26Q2</t>
        </is>
      </c>
      <c r="H352" s="12" t="n">
        <v>2109</v>
      </c>
      <c r="I352" s="12" t="n">
        <v>2144</v>
      </c>
      <c r="J352" s="12" t="n">
        <v>2362</v>
      </c>
      <c r="K352" s="12" t="n">
        <v>2185</v>
      </c>
      <c r="L352" s="12" t="n">
        <v>2337</v>
      </c>
      <c r="M352" s="13">
        <f>IF(OR(N(H352)=0,L352=""),"",L352/H352-1)</f>
        <v>0.10810810810810811</v>
      </c>
      <c r="N352" s="14" t="n">
        <v>223</v>
      </c>
      <c r="O352" s="14" t="n">
        <v>403</v>
      </c>
      <c r="P352" s="14" t="n">
        <v>221</v>
      </c>
      <c r="Q352" s="14" t="n">
        <v>295</v>
      </c>
      <c r="R352" s="13">
        <f>IF(OR(N(L352)=0,Q352=""),"",Q352/L352)</f>
        <v>0.12623020967051776</v>
      </c>
      <c r="S352" s="14" t="n"/>
      <c r="T352" s="13" t="str">
        <f>IF(OR(N(L352)=0,S352=""),"",S352/L352)</f>
        <v/>
      </c>
      <c r="U352" s="14" t="n">
        <v>179</v>
      </c>
      <c r="V352" s="13">
        <f>IF(OR(N(L352)=0,U352=""),"",U352/L352)</f>
        <v>0.07659392383397519</v>
      </c>
      <c r="W352" s="14" t="n">
        <v>9028</v>
      </c>
      <c r="X352" s="14" t="n">
        <v>1142</v>
      </c>
      <c r="Y352" s="13">
        <f>IF(OR(N(W352)=0,X352=""),"",X352/W352)</f>
        <v>0.12649534780682323</v>
      </c>
      <c r="Z352" s="11" t="str">
        <f>IF(AA352="A","四季持續盈利",IF(AA352="B","最新季為正/波動",IF(AA352="C","虧損收窄",IF(AA352="D","虧損擴大或轉虧","數據不足"))))</f>
        <v>四季持續盈利</v>
      </c>
      <c r="AA352" s="9" t="str">
        <f>IF(COUNT(N352:Q352)&lt;4,"—",IF(MIN(N352:Q352)&gt;0,"A",IF(Q352&gt;0,"B",IF(Q352&gt;N352,"C","D"))))</f>
        <v>A</v>
      </c>
      <c r="AB352" s="9" t="inlineStr">
        <is>
          <t>2026-06-30</t>
        </is>
      </c>
    </row>
    <row r="353" ht="15" customHeight="1">
      <c r="A353" s="9" t="n">
        <v>352</v>
      </c>
      <c r="B353" s="10" t="inlineStr">
        <is>
          <t>NXPI</t>
        </is>
      </c>
      <c r="C353" s="11" t="inlineStr">
        <is>
          <t>類比/功率半導體</t>
        </is>
      </c>
      <c r="D353" s="11" t="inlineStr">
        <is>
          <t>NXP Semiconductors N.V.</t>
        </is>
      </c>
      <c r="E353" s="11" t="inlineStr">
        <is>
          <t>Semiconductors</t>
        </is>
      </c>
      <c r="F353" s="9" t="inlineStr">
        <is>
          <t>USD</t>
        </is>
      </c>
      <c r="G353" s="11" t="inlineStr">
        <is>
          <t>25Q2 / 25Q3 / 25Q4 / 26Q1 / 26Q2</t>
        </is>
      </c>
      <c r="H353" s="12" t="n">
        <v>2926</v>
      </c>
      <c r="I353" s="12" t="n">
        <v>3173</v>
      </c>
      <c r="J353" s="12" t="n">
        <v>3335</v>
      </c>
      <c r="K353" s="12" t="n">
        <v>3181</v>
      </c>
      <c r="L353" s="12" t="n">
        <v>3496</v>
      </c>
      <c r="M353" s="13">
        <f>IF(OR(N(H353)=0,L353=""),"",L353/H353-1)</f>
        <v>0.19480519480519476</v>
      </c>
      <c r="N353" s="14" t="n">
        <v>895</v>
      </c>
      <c r="O353" s="14" t="n">
        <v>749</v>
      </c>
      <c r="P353" s="14" t="n">
        <v>884</v>
      </c>
      <c r="Q353" s="14" t="n">
        <v>1076</v>
      </c>
      <c r="R353" s="13">
        <f>IF(OR(N(L353)=0,Q353=""),"",Q353/L353)</f>
        <v>0.30778032036613273</v>
      </c>
      <c r="S353" s="14" t="n">
        <v>2002</v>
      </c>
      <c r="T353" s="13">
        <f>IF(OR(N(L353)=0,S353=""),"",S353/L353)</f>
        <v>0.5726544622425629</v>
      </c>
      <c r="U353" s="14" t="n">
        <v>767</v>
      </c>
      <c r="V353" s="13">
        <f>IF(OR(N(L353)=0,U353=""),"",U353/L353)</f>
        <v>0.21939359267734554</v>
      </c>
      <c r="W353" s="14" t="n">
        <v>12269</v>
      </c>
      <c r="X353" s="14" t="n">
        <v>3035</v>
      </c>
      <c r="Y353" s="13">
        <f>IF(OR(N(W353)=0,X353=""),"",X353/W353)</f>
        <v>0.2473714239139294</v>
      </c>
      <c r="Z353" s="11" t="str">
        <f>IF(AA353="A","四季持續盈利",IF(AA353="B","最新季為正/波動",IF(AA353="C","虧損收窄",IF(AA353="D","虧損擴大或轉虧","數據不足"))))</f>
        <v>四季持續盈利</v>
      </c>
      <c r="AA353" s="9" t="str">
        <f>IF(COUNT(N353:Q353)&lt;4,"—",IF(MIN(N353:Q353)&gt;0,"A",IF(Q353&gt;0,"B",IF(Q353&gt;N353,"C","D"))))</f>
        <v>A</v>
      </c>
      <c r="AB353" s="9" t="inlineStr">
        <is>
          <t>2026-06-30</t>
        </is>
      </c>
    </row>
    <row r="354" ht="15" customHeight="1">
      <c r="A354" s="9" t="n">
        <v>353</v>
      </c>
      <c r="B354" s="10" t="inlineStr">
        <is>
          <t>NXT</t>
        </is>
      </c>
      <c r="C354" s="11" t="inlineStr">
        <is>
          <t>再生能源與太陽能</t>
        </is>
      </c>
      <c r="D354" s="11" t="inlineStr">
        <is>
          <t>Nextpower Inc.</t>
        </is>
      </c>
      <c r="E354" s="11" t="inlineStr">
        <is>
          <t>Solar</t>
        </is>
      </c>
      <c r="F354" s="9" t="inlineStr">
        <is>
          <t>USD</t>
        </is>
      </c>
      <c r="G354" s="11" t="inlineStr">
        <is>
          <t>25Q2 / 25Q3 / 25Q4 / 26Q1 / 26Q2</t>
        </is>
      </c>
      <c r="H354" s="12" t="n">
        <v>864.253</v>
      </c>
      <c r="I354" s="12" t="n">
        <v>905.268</v>
      </c>
      <c r="J354" s="12" t="n">
        <v>909.352</v>
      </c>
      <c r="K354" s="12" t="n">
        <v>880.5170000000001</v>
      </c>
      <c r="L354" s="12" t="n">
        <v>935.17</v>
      </c>
      <c r="M354" s="13">
        <f>IF(OR(N(H354)=0,L354=""),"",L354/H354-1)</f>
        <v>0.08205583318773546</v>
      </c>
      <c r="N354" s="14" t="n">
        <v>181.345</v>
      </c>
      <c r="O354" s="14" t="n">
        <v>176.105</v>
      </c>
      <c r="P354" s="14" t="n">
        <v>153.586</v>
      </c>
      <c r="Q354" s="14" t="n">
        <v>190.907</v>
      </c>
      <c r="R354" s="13">
        <f>IF(OR(N(L354)=0,Q354=""),"",Q354/L354)</f>
        <v>0.20414149299057927</v>
      </c>
      <c r="S354" s="14" t="n">
        <v>335.853</v>
      </c>
      <c r="T354" s="13">
        <f>IF(OR(N(L354)=0,S354=""),"",S354/L354)</f>
        <v>0.3591357721056065</v>
      </c>
      <c r="U354" s="14" t="n">
        <v>165.355</v>
      </c>
      <c r="V354" s="13">
        <f>IF(OR(N(L354)=0,U354=""),"",U354/L354)</f>
        <v>0.17681811863083718</v>
      </c>
      <c r="W354" s="14" t="n">
        <v>3559.39</v>
      </c>
      <c r="X354" s="14" t="n">
        <v>697.266</v>
      </c>
      <c r="Y354" s="13">
        <f>IF(OR(N(W354)=0,X354=""),"",X354/W354)</f>
        <v>0.19589480219925323</v>
      </c>
      <c r="Z354" s="11" t="str">
        <f>IF(AA354="A","四季持續盈利",IF(AA354="B","最新季為正/波動",IF(AA354="C","虧損收窄",IF(AA354="D","虧損擴大或轉虧","數據不足"))))</f>
        <v>四季持續盈利</v>
      </c>
      <c r="AA354" s="9" t="str">
        <f>IF(COUNT(N354:Q354)&lt;4,"—",IF(MIN(N354:Q354)&gt;0,"A",IF(Q354&gt;0,"B",IF(Q354&gt;N354,"C","D"))))</f>
        <v>A</v>
      </c>
      <c r="AB354" s="9" t="inlineStr">
        <is>
          <t>2026-06-30</t>
        </is>
      </c>
    </row>
    <row r="355" ht="15" customHeight="1">
      <c r="A355" s="9" t="n">
        <v>354</v>
      </c>
      <c r="B355" s="10" t="inlineStr">
        <is>
          <t>O</t>
        </is>
      </c>
      <c r="C355" s="11" t="inlineStr">
        <is>
          <t>零售與購物中心REIT</t>
        </is>
      </c>
      <c r="D355" s="11" t="inlineStr">
        <is>
          <t>Realty Income Corporation</t>
        </is>
      </c>
      <c r="E355" s="11" t="inlineStr">
        <is>
          <t>REIT - Retail</t>
        </is>
      </c>
      <c r="F355" s="9" t="inlineStr">
        <is>
          <t>USD</t>
        </is>
      </c>
      <c r="G355" s="11" t="inlineStr">
        <is>
          <t>25Q2 / 25Q3 / 25Q4 / 26Q1 / 26Q2</t>
        </is>
      </c>
      <c r="H355" s="12" t="n">
        <v>1338.516</v>
      </c>
      <c r="I355" s="12" t="n">
        <v>1387.631</v>
      </c>
      <c r="J355" s="12" t="n">
        <v>1708.836</v>
      </c>
      <c r="K355" s="12" t="n">
        <v>1446.487</v>
      </c>
      <c r="L355" s="12" t="n">
        <v>1427.17</v>
      </c>
      <c r="M355" s="13">
        <f>IF(OR(N(H355)=0,L355=""),"",L355/H355-1)</f>
        <v>0.06623305212638475</v>
      </c>
      <c r="N355" s="14" t="n">
        <v>582.409</v>
      </c>
      <c r="O355" s="14" t="n">
        <v>943.044</v>
      </c>
      <c r="P355" s="14" t="n">
        <v>601.381</v>
      </c>
      <c r="Q355" s="14" t="n">
        <v>605.191</v>
      </c>
      <c r="R355" s="13">
        <f>IF(OR(N(L355)=0,Q355=""),"",Q355/L355)</f>
        <v>0.42404969274858634</v>
      </c>
      <c r="S355" s="14" t="n">
        <v>1314.731</v>
      </c>
      <c r="T355" s="13">
        <f>IF(OR(N(L355)=0,S355=""),"",S355/L355)</f>
        <v>0.9212154123194853</v>
      </c>
      <c r="U355" s="14" t="n">
        <v>343.955</v>
      </c>
      <c r="V355" s="13">
        <f>IF(OR(N(L355)=0,U355=""),"",U355/L355)</f>
        <v>0.2410049258322414</v>
      </c>
      <c r="W355" s="14" t="n">
        <v>5749.377</v>
      </c>
      <c r="X355" s="14" t="n">
        <v>2593.823</v>
      </c>
      <c r="Y355" s="13">
        <f>IF(OR(N(W355)=0,X355=""),"",X355/W355)</f>
        <v>0.45114853313672065</v>
      </c>
      <c r="Z355" s="11" t="str">
        <f>IF(AA355="A","四季持續盈利",IF(AA355="B","最新季為正/波動",IF(AA355="C","虧損收窄",IF(AA355="D","虧損擴大或轉虧","數據不足"))))</f>
        <v>四季持續盈利</v>
      </c>
      <c r="AA355" s="9" t="str">
        <f>IF(COUNT(N355:Q355)&lt;4,"—",IF(MIN(N355:Q355)&gt;0,"A",IF(Q355&gt;0,"B",IF(Q355&gt;N355,"C","D"))))</f>
        <v>A</v>
      </c>
      <c r="AB355" s="9" t="inlineStr">
        <is>
          <t>2026-06-30</t>
        </is>
      </c>
    </row>
    <row r="356" ht="15" customHeight="1">
      <c r="A356" s="9" t="n">
        <v>355</v>
      </c>
      <c r="B356" s="10" t="inlineStr">
        <is>
          <t>ODFL</t>
        </is>
      </c>
      <c r="C356" s="11" t="inlineStr">
        <is>
          <t>貨運與物流</t>
        </is>
      </c>
      <c r="D356" s="11" t="inlineStr">
        <is>
          <t>Old Dominion Freight Line, Inc.</t>
        </is>
      </c>
      <c r="E356" s="11" t="inlineStr">
        <is>
          <t>Trucking</t>
        </is>
      </c>
      <c r="F356" s="9" t="inlineStr">
        <is>
          <t>USD</t>
        </is>
      </c>
      <c r="G356" s="11" t="inlineStr">
        <is>
          <t>25Q2 / 25Q3 / 25Q4 / 26Q1 / 26Q2</t>
        </is>
      </c>
      <c r="H356" s="12" t="n">
        <v>1407.724</v>
      </c>
      <c r="I356" s="12" t="n">
        <v>1406.511</v>
      </c>
      <c r="J356" s="12" t="n">
        <v>1307.296</v>
      </c>
      <c r="K356" s="12" t="n">
        <v>1334.696</v>
      </c>
      <c r="L356" s="12" t="n">
        <v>1554.004</v>
      </c>
      <c r="M356" s="13">
        <f>IF(OR(N(H356)=0,L356=""),"",L356/H356-1)</f>
        <v>0.10391241464946255</v>
      </c>
      <c r="N356" s="14" t="n">
        <v>360.844</v>
      </c>
      <c r="O356" s="14" t="n">
        <v>304.251</v>
      </c>
      <c r="P356" s="14" t="n">
        <v>317.341</v>
      </c>
      <c r="Q356" s="14" t="n">
        <v>465.301</v>
      </c>
      <c r="R356" s="13">
        <f>IF(OR(N(L356)=0,Q356=""),"",Q356/L356)</f>
        <v>0.29942072221178323</v>
      </c>
      <c r="S356" s="14" t="n">
        <v>563.486</v>
      </c>
      <c r="T356" s="13">
        <f>IF(OR(N(L356)=0,S356=""),"",S356/L356)</f>
        <v>0.36260267026339704</v>
      </c>
      <c r="U356" s="14" t="n">
        <v>350.601</v>
      </c>
      <c r="V356" s="13">
        <f>IF(OR(N(L356)=0,U356=""),"",U356/L356)</f>
        <v>0.2256113883876747</v>
      </c>
      <c r="W356" s="14" t="n">
        <v>5496.389</v>
      </c>
      <c r="X356" s="14" t="n">
        <v>1361.045</v>
      </c>
      <c r="Y356" s="13">
        <f>IF(OR(N(W356)=0,X356=""),"",X356/W356)</f>
        <v>0.24762530454085402</v>
      </c>
      <c r="Z356" s="11" t="str">
        <f>IF(AA356="A","四季持續盈利",IF(AA356="B","最新季為正/波動",IF(AA356="C","虧損收窄",IF(AA356="D","虧損擴大或轉虧","數據不足"))))</f>
        <v>四季持續盈利</v>
      </c>
      <c r="AA356" s="9" t="str">
        <f>IF(COUNT(N356:Q356)&lt;4,"—",IF(MIN(N356:Q356)&gt;0,"A",IF(Q356&gt;0,"B",IF(Q356&gt;N356,"C","D"))))</f>
        <v>A</v>
      </c>
      <c r="AB356" s="9" t="inlineStr">
        <is>
          <t>2026-06-30</t>
        </is>
      </c>
    </row>
    <row r="357" ht="15" customHeight="1">
      <c r="A357" s="9" t="n">
        <v>356</v>
      </c>
      <c r="B357" s="10" t="inlineStr">
        <is>
          <t>OHI</t>
        </is>
      </c>
      <c r="C357" s="11" t="inlineStr">
        <is>
          <t>醫療與長者住宅REIT</t>
        </is>
      </c>
      <c r="D357" s="11" t="inlineStr">
        <is>
          <t>Omega Healthcare Investors, Inc.</t>
        </is>
      </c>
      <c r="E357" s="11" t="inlineStr">
        <is>
          <t>REIT - Healthcare Facilities</t>
        </is>
      </c>
      <c r="F357" s="9" t="inlineStr">
        <is>
          <t>USD</t>
        </is>
      </c>
      <c r="G357" s="11" t="inlineStr">
        <is>
          <t>25Q2 / 25Q3 / 25Q4 / 26Q1 / 26Q2</t>
        </is>
      </c>
      <c r="H357" s="12" t="n">
        <v>282.506</v>
      </c>
      <c r="I357" s="12" t="n">
        <v>311.591</v>
      </c>
      <c r="J357" s="12" t="n">
        <v>319.217</v>
      </c>
      <c r="K357" s="12" t="n">
        <v>322.955</v>
      </c>
      <c r="L357" s="12" t="n">
        <v>328.246</v>
      </c>
      <c r="M357" s="13">
        <f>IF(OR(N(H357)=0,L357=""),"",L357/H357-1)</f>
        <v>0.16190806566940186</v>
      </c>
      <c r="N357" s="14" t="n">
        <v>206.104</v>
      </c>
      <c r="O357" s="14" t="n">
        <v>201.708</v>
      </c>
      <c r="P357" s="14" t="n">
        <v>207.079</v>
      </c>
      <c r="Q357" s="14" t="n">
        <v>193.229</v>
      </c>
      <c r="R357" s="13">
        <f>IF(OR(N(L357)=0,Q357=""),"",Q357/L357)</f>
        <v>0.5886713014019973</v>
      </c>
      <c r="S357" s="14" t="n">
        <v>312.049</v>
      </c>
      <c r="T357" s="13">
        <f>IF(OR(N(L357)=0,S357=""),"",S357/L357)</f>
        <v>0.9506559105061447</v>
      </c>
      <c r="U357" s="14" t="n">
        <v>362.823</v>
      </c>
      <c r="V357" s="13">
        <f>IF(OR(N(L357)=0,U357=""),"",U357/L357)</f>
        <v>1.1053386789176411</v>
      </c>
      <c r="W357" s="14" t="n">
        <v>1190.099</v>
      </c>
      <c r="X357" s="14" t="n">
        <v>743.941</v>
      </c>
      <c r="Y357" s="13">
        <f>IF(OR(N(W357)=0,X357=""),"",X357/W357)</f>
        <v>0.6251084993769427</v>
      </c>
      <c r="Z357" s="11" t="str">
        <f>IF(AA357="A","四季持續盈利",IF(AA357="B","最新季為正/波動",IF(AA357="C","虧損收窄",IF(AA357="D","虧損擴大或轉虧","數據不足"))))</f>
        <v>四季持續盈利</v>
      </c>
      <c r="AA357" s="9" t="str">
        <f>IF(COUNT(N357:Q357)&lt;4,"—",IF(MIN(N357:Q357)&gt;0,"A",IF(Q357&gt;0,"B",IF(Q357&gt;N357,"C","D"))))</f>
        <v>A</v>
      </c>
      <c r="AB357" s="9" t="inlineStr">
        <is>
          <t>2026-06-30</t>
        </is>
      </c>
    </row>
    <row r="358" ht="15" customHeight="1">
      <c r="A358" s="9" t="n">
        <v>357</v>
      </c>
      <c r="B358" s="10" t="inlineStr">
        <is>
          <t>OKE</t>
        </is>
      </c>
      <c r="C358" s="11" t="inlineStr">
        <is>
          <t>中游與管道</t>
        </is>
      </c>
      <c r="D358" s="11" t="inlineStr">
        <is>
          <t>ONEOK, Inc.</t>
        </is>
      </c>
      <c r="E358" s="11" t="inlineStr">
        <is>
          <t>Oil &amp; Gas Midstream</t>
        </is>
      </c>
      <c r="F358" s="9" t="inlineStr">
        <is>
          <t>USD</t>
        </is>
      </c>
      <c r="G358" s="11" t="inlineStr">
        <is>
          <t>25Q2 / 25Q3 / 25Q4 / 26Q1 / 26Q2</t>
        </is>
      </c>
      <c r="H358" s="12" t="n">
        <v>7887</v>
      </c>
      <c r="I358" s="12" t="n">
        <v>8634</v>
      </c>
      <c r="J358" s="12" t="n">
        <v>9065</v>
      </c>
      <c r="K358" s="12" t="n">
        <v>9618</v>
      </c>
      <c r="L358" s="12" t="n">
        <v>12049</v>
      </c>
      <c r="M358" s="13">
        <f>IF(OR(N(H358)=0,L358=""),"",L358/H358-1)</f>
        <v>0.5277038164067454</v>
      </c>
      <c r="N358" s="14" t="n">
        <v>1568</v>
      </c>
      <c r="O358" s="14" t="n">
        <v>1539</v>
      </c>
      <c r="P358" s="14" t="n">
        <v>1435</v>
      </c>
      <c r="Q358" s="14" t="n">
        <v>1597</v>
      </c>
      <c r="R358" s="13">
        <f>IF(OR(N(L358)=0,Q358=""),"",Q358/L358)</f>
        <v>0.13254211967798157</v>
      </c>
      <c r="S358" s="14" t="n">
        <v>2420</v>
      </c>
      <c r="T358" s="13">
        <f>IF(OR(N(L358)=0,S358=""),"",S358/L358)</f>
        <v>0.20084654328160012</v>
      </c>
      <c r="U358" s="14" t="n">
        <v>966</v>
      </c>
      <c r="V358" s="13">
        <f>IF(OR(N(L358)=0,U358=""),"",U358/L358)</f>
        <v>0.08017262843389493</v>
      </c>
      <c r="W358" s="14" t="n">
        <v>33629</v>
      </c>
      <c r="X358" s="14" t="n">
        <v>5822</v>
      </c>
      <c r="Y358" s="13">
        <f>IF(OR(N(W358)=0,X358=""),"",X358/W358)</f>
        <v>0.17312438669005917</v>
      </c>
      <c r="Z358" s="11" t="str">
        <f>IF(AA358="A","四季持續盈利",IF(AA358="B","最新季為正/波動",IF(AA358="C","虧損收窄",IF(AA358="D","虧損擴大或轉虧","數據不足"))))</f>
        <v>四季持續盈利</v>
      </c>
      <c r="AA358" s="9" t="str">
        <f>IF(COUNT(N358:Q358)&lt;4,"—",IF(MIN(N358:Q358)&gt;0,"A",IF(Q358&gt;0,"B",IF(Q358&gt;N358,"C","D"))))</f>
        <v>A</v>
      </c>
      <c r="AB358" s="9" t="inlineStr">
        <is>
          <t>2026-06-30</t>
        </is>
      </c>
    </row>
    <row r="359" ht="15" customHeight="1">
      <c r="A359" s="9" t="n">
        <v>358</v>
      </c>
      <c r="B359" s="10" t="inlineStr">
        <is>
          <t>OKLO</t>
        </is>
      </c>
      <c r="C359" s="11" t="inlineStr">
        <is>
          <t>小型模組化核能SMR</t>
        </is>
      </c>
      <c r="D359" s="11" t="inlineStr">
        <is>
          <t>Oklo Inc.</t>
        </is>
      </c>
      <c r="E359" s="11" t="inlineStr">
        <is>
          <t>F3 能源</t>
        </is>
      </c>
      <c r="F359" s="9" t="inlineStr">
        <is>
          <t>USD</t>
        </is>
      </c>
      <c r="G359" s="11" t="inlineStr">
        <is>
          <t>25Q2 / 25Q3 / 25Q4 / 26Q1 / 26Q2</t>
        </is>
      </c>
      <c r="H359" s="12" t="n">
        <v>0</v>
      </c>
      <c r="I359" s="12" t="n">
        <v>0</v>
      </c>
      <c r="J359" s="12" t="n">
        <v>0</v>
      </c>
      <c r="K359" s="12" t="n">
        <v>0</v>
      </c>
      <c r="L359" s="12" t="n">
        <v>1.21</v>
      </c>
      <c r="M359" s="13" t="str">
        <f>IF(OR(N(H359)=0,L359=""),"",L359/H359-1)</f>
        <v/>
      </c>
      <c r="N359" s="14" t="n">
        <v>-36.309</v>
      </c>
      <c r="O359" s="14" t="n">
        <v>-57.096</v>
      </c>
      <c r="P359" s="14" t="n">
        <v>-51.249</v>
      </c>
      <c r="Q359" s="14" t="n">
        <v>-73.19</v>
      </c>
      <c r="R359" s="13">
        <f>IF(OR(N(L359)=0,Q359=""),"",Q359/L359)</f>
        <v>-60.48760330578512</v>
      </c>
      <c r="S359" s="14" t="n">
        <v>0.489</v>
      </c>
      <c r="T359" s="13">
        <f>IF(OR(N(L359)=0,S359=""),"",S359/L359)</f>
        <v>0.4041322314049587</v>
      </c>
      <c r="U359" s="14" t="n">
        <v>-48.536</v>
      </c>
      <c r="V359" s="13">
        <f>IF(OR(N(L359)=0,U359=""),"",U359/L359)</f>
        <v>-40.11239669421488</v>
      </c>
      <c r="W359" s="14" t="n">
        <v>0</v>
      </c>
      <c r="X359" s="14" t="n">
        <v>-139.294</v>
      </c>
      <c r="Y359" s="13" t="str">
        <f>IF(OR(N(W359)=0,X359=""),"",X359/W359)</f>
        <v/>
      </c>
      <c r="Z359" s="11" t="str">
        <f>IF(AA359="A","四季持續盈利",IF(AA359="B","最新季為正/波動",IF(AA359="C","虧損收窄",IF(AA359="D","虧損擴大或轉虧","數據不足"))))</f>
        <v>虧損擴大或轉虧</v>
      </c>
      <c r="AA359" s="9" t="str">
        <f>IF(COUNT(N359:Q359)&lt;4,"—",IF(MIN(N359:Q359)&gt;0,"A",IF(Q359&gt;0,"B",IF(Q359&gt;N359,"C","D"))))</f>
        <v>D</v>
      </c>
      <c r="AB359" s="9" t="inlineStr">
        <is>
          <t>2026-06-30</t>
        </is>
      </c>
    </row>
    <row r="360" ht="15" customHeight="1">
      <c r="A360" s="9" t="n">
        <v>359</v>
      </c>
      <c r="B360" s="10" t="inlineStr">
        <is>
          <t>ON</t>
        </is>
      </c>
      <c r="C360" s="11" t="inlineStr">
        <is>
          <t>類比/功率半導體</t>
        </is>
      </c>
      <c r="D360" s="11" t="inlineStr">
        <is>
          <t>ON Semiconductor Corporation</t>
        </is>
      </c>
      <c r="E360" s="11" t="inlineStr">
        <is>
          <t>Semiconductors</t>
        </is>
      </c>
      <c r="F360" s="9" t="inlineStr">
        <is>
          <t>USD</t>
        </is>
      </c>
      <c r="G360" s="11" t="inlineStr">
        <is>
          <t>25Q2 / 25Q3 / 25Q4 / 26Q1 / 26Q2</t>
        </is>
      </c>
      <c r="H360" s="12" t="n">
        <v>1468.7</v>
      </c>
      <c r="I360" s="12" t="n">
        <v>1550.9</v>
      </c>
      <c r="J360" s="12" t="n">
        <v>1530.1</v>
      </c>
      <c r="K360" s="12" t="n">
        <v>1513.3</v>
      </c>
      <c r="L360" s="12" t="n">
        <v>1603.5</v>
      </c>
      <c r="M360" s="13">
        <f>IF(OR(N(H360)=0,L360=""),"",L360/H360-1)</f>
        <v>0.09178184789269417</v>
      </c>
      <c r="N360" s="14" t="n">
        <v>284</v>
      </c>
      <c r="O360" s="14" t="n">
        <v>258.9</v>
      </c>
      <c r="P360" s="14" t="n">
        <v>275.9</v>
      </c>
      <c r="Q360" s="14" t="n">
        <v>299.8</v>
      </c>
      <c r="R360" s="13">
        <f>IF(OR(N(L360)=0,Q360=""),"",Q360/L360)</f>
        <v>0.18696601184908015</v>
      </c>
      <c r="S360" s="14" t="n">
        <v>616.3</v>
      </c>
      <c r="T360" s="13">
        <f>IF(OR(N(L360)=0,S360=""),"",S360/L360)</f>
        <v>0.3843467415029622</v>
      </c>
      <c r="U360" s="14" t="n">
        <v>226.8</v>
      </c>
      <c r="V360" s="13">
        <f>IF(OR(N(L360)=0,U360=""),"",U360/L360)</f>
        <v>0.14144059869036482</v>
      </c>
      <c r="W360" s="14" t="n">
        <v>5995.4</v>
      </c>
      <c r="X360" s="14" t="n">
        <v>751.1</v>
      </c>
      <c r="Y360" s="13">
        <f>IF(OR(N(W360)=0,X360=""),"",X360/W360)</f>
        <v>0.1252793808586583</v>
      </c>
      <c r="Z360" s="11" t="str">
        <f>IF(AA360="A","四季持續盈利",IF(AA360="B","最新季為正/波動",IF(AA360="C","虧損收窄",IF(AA360="D","虧損擴大或轉虧","數據不足"))))</f>
        <v>四季持續盈利</v>
      </c>
      <c r="AA360" s="9" t="str">
        <f>IF(COUNT(N360:Q360)&lt;4,"—",IF(MIN(N360:Q360)&gt;0,"A",IF(Q360&gt;0,"B",IF(Q360&gt;N360,"C","D"))))</f>
        <v>A</v>
      </c>
      <c r="AB360" s="9" t="inlineStr">
        <is>
          <t>2026-06-30</t>
        </is>
      </c>
    </row>
    <row r="361" ht="15" customHeight="1">
      <c r="A361" s="9" t="n">
        <v>360</v>
      </c>
      <c r="B361" s="10" t="inlineStr">
        <is>
          <t>ONDS</t>
        </is>
      </c>
      <c r="C361" s="11" t="inlineStr">
        <is>
          <t>國防科技與無人機</t>
        </is>
      </c>
      <c r="D361" s="11" t="inlineStr">
        <is>
          <t>Ondas Inc.</t>
        </is>
      </c>
      <c r="E361" s="11" t="inlineStr">
        <is>
          <t>Communication Equipment</t>
        </is>
      </c>
      <c r="F361" s="9" t="inlineStr">
        <is>
          <t>USD</t>
        </is>
      </c>
      <c r="G361" s="11" t="inlineStr">
        <is>
          <t>25Q2 / 25Q3 / 25Q4 / 26Q1 / 26Q2</t>
        </is>
      </c>
      <c r="H361" s="12" t="n">
        <v>6.273</v>
      </c>
      <c r="I361" s="12" t="n">
        <v>10.09831</v>
      </c>
      <c r="J361" s="12" t="n">
        <v>30.11112</v>
      </c>
      <c r="K361" s="12" t="n">
        <v>50.122</v>
      </c>
      <c r="L361" s="12" t="n">
        <v>83.77200000000001</v>
      </c>
      <c r="M361" s="13">
        <f>IF(OR(N(H361)=0,L361=""),"",L361/H361-1)</f>
        <v>12.354375896700144</v>
      </c>
      <c r="N361" s="14" t="n">
        <v>-15.50355</v>
      </c>
      <c r="O361" s="14" t="n">
        <v>-23.320908</v>
      </c>
      <c r="P361" s="14" t="n">
        <v>-42.671</v>
      </c>
      <c r="Q361" s="14" t="n">
        <v>-143.712</v>
      </c>
      <c r="R361" s="13">
        <f>IF(OR(N(L361)=0,Q361=""),"",Q361/L361)</f>
        <v>-1.7155135367425869</v>
      </c>
      <c r="S361" s="14" t="n">
        <v>36.131</v>
      </c>
      <c r="T361" s="13">
        <f>IF(OR(N(L361)=0,S361=""),"",S361/L361)</f>
        <v>0.43130162822900253</v>
      </c>
      <c r="U361" s="14" t="n">
        <v>-88.245</v>
      </c>
      <c r="V361" s="13">
        <f>IF(OR(N(L361)=0,U361=""),"",U361/L361)</f>
        <v>-1.0533949290932532</v>
      </c>
      <c r="W361" s="14" t="n">
        <v>50.731</v>
      </c>
      <c r="X361" s="14" t="n">
        <v>-58.384</v>
      </c>
      <c r="Y361" s="13">
        <f>IF(OR(N(W361)=0,X361=""),"",X361/W361)</f>
        <v>-1.1508545071061087</v>
      </c>
      <c r="Z361" s="11" t="str">
        <f>IF(AA361="A","四季持續盈利",IF(AA361="B","最新季為正/波動",IF(AA361="C","虧損收窄",IF(AA361="D","虧損擴大或轉虧","數據不足"))))</f>
        <v>虧損擴大或轉虧</v>
      </c>
      <c r="AA361" s="9" t="str">
        <f>IF(COUNT(N361:Q361)&lt;4,"—",IF(MIN(N361:Q361)&gt;0,"A",IF(Q361&gt;0,"B",IF(Q361&gt;N361,"C","D"))))</f>
        <v>D</v>
      </c>
      <c r="AB361" s="9" t="inlineStr">
        <is>
          <t>2026-06-30</t>
        </is>
      </c>
    </row>
    <row r="362" ht="15" customHeight="1">
      <c r="A362" s="9" t="n">
        <v>361</v>
      </c>
      <c r="B362" s="10" t="inlineStr">
        <is>
          <t>ONON</t>
        </is>
      </c>
      <c r="C362" s="11" t="inlineStr">
        <is>
          <t>服裝與奢侈品</t>
        </is>
      </c>
      <c r="D362" s="11" t="inlineStr">
        <is>
          <t>On Holding AG</t>
        </is>
      </c>
      <c r="E362" s="11" t="inlineStr">
        <is>
          <t>Footwear &amp; Accessories</t>
        </is>
      </c>
      <c r="F362" s="9" t="inlineStr">
        <is>
          <t>CHF</t>
        </is>
      </c>
      <c r="G362" s="11" t="inlineStr">
        <is>
          <t>25Q2 / 25Q3 / 25Q4 / 26Q1 / 26Q2</t>
        </is>
      </c>
      <c r="H362" s="12" t="n">
        <v>749.2</v>
      </c>
      <c r="I362" s="12" t="n">
        <v>794.4</v>
      </c>
      <c r="J362" s="12" t="n">
        <v>743.8</v>
      </c>
      <c r="K362" s="12" t="n">
        <v>831.9</v>
      </c>
      <c r="L362" s="12" t="n">
        <v>850.3</v>
      </c>
      <c r="M362" s="13">
        <f>IF(OR(N(H362)=0,L362=""),"",L362/H362-1)</f>
        <v>0.13494394020288292</v>
      </c>
      <c r="N362" s="14" t="n">
        <v>124.7</v>
      </c>
      <c r="O362" s="14" t="n">
        <v>82.5</v>
      </c>
      <c r="P362" s="14" t="n">
        <v>117.4</v>
      </c>
      <c r="Q362" s="14" t="n">
        <v>119.4</v>
      </c>
      <c r="R362" s="13">
        <f>IF(OR(N(L362)=0,Q362=""),"",Q362/L362)</f>
        <v>0.1404210278725156</v>
      </c>
      <c r="S362" s="14" t="n">
        <v>555.7</v>
      </c>
      <c r="T362" s="13">
        <f>IF(OR(N(L362)=0,S362=""),"",S362/L362)</f>
        <v>0.6535340468070093</v>
      </c>
      <c r="U362" s="14" t="n">
        <v>105</v>
      </c>
      <c r="V362" s="13">
        <f>IF(OR(N(L362)=0,U362=""),"",U362/L362)</f>
        <v>0.12348582853110668</v>
      </c>
      <c r="W362" s="14" t="n">
        <v>3014</v>
      </c>
      <c r="X362" s="14" t="n">
        <v>377</v>
      </c>
      <c r="Y362" s="13">
        <f>IF(OR(N(W362)=0,X362=""),"",X362/W362)</f>
        <v>0.12508294625082947</v>
      </c>
      <c r="Z362" s="11" t="str">
        <f>IF(AA362="A","四季持續盈利",IF(AA362="B","最新季為正/波動",IF(AA362="C","虧損收窄",IF(AA362="D","虧損擴大或轉虧","數據不足"))))</f>
        <v>四季持續盈利</v>
      </c>
      <c r="AA362" s="9" t="str">
        <f>IF(COUNT(N362:Q362)&lt;4,"—",IF(MIN(N362:Q362)&gt;0,"A",IF(Q362&gt;0,"B",IF(Q362&gt;N362,"C","D"))))</f>
        <v>A</v>
      </c>
      <c r="AB362" s="9" t="inlineStr">
        <is>
          <t>2026-06-30</t>
        </is>
      </c>
    </row>
    <row r="363" ht="15" customHeight="1">
      <c r="A363" s="9" t="n">
        <v>362</v>
      </c>
      <c r="B363" s="10" t="inlineStr">
        <is>
          <t>ONTO</t>
        </is>
      </c>
      <c r="C363" s="11" t="inlineStr">
        <is>
          <t>—</t>
        </is>
      </c>
      <c r="D363" s="11" t="inlineStr">
        <is>
          <t>Onto Innovation Inc.</t>
        </is>
      </c>
      <c r="E363" s="11" t="inlineStr">
        <is>
          <t>B3 先進封裝</t>
        </is>
      </c>
      <c r="F363" s="9" t="inlineStr">
        <is>
          <t>USD</t>
        </is>
      </c>
      <c r="G363" s="11" t="inlineStr">
        <is>
          <t>25Q2 / 25Q3 / 25Q4 / 26Q1 / 26Q2</t>
        </is>
      </c>
      <c r="H363" s="12" t="n">
        <v>253.597</v>
      </c>
      <c r="I363" s="12" t="n">
        <v>218.193</v>
      </c>
      <c r="J363" s="12" t="n">
        <v>266.866</v>
      </c>
      <c r="K363" s="12" t="n">
        <v>291.949</v>
      </c>
      <c r="L363" s="12" t="n">
        <v>343.129</v>
      </c>
      <c r="M363" s="13">
        <f>IF(OR(N(H363)=0,L363=""),"",L363/H363-1)</f>
        <v>0.3530483404772138</v>
      </c>
      <c r="N363" s="14" t="n">
        <v>27.762</v>
      </c>
      <c r="O363" s="14" t="n">
        <v>20.861</v>
      </c>
      <c r="P363" s="14" t="n">
        <v>38.723</v>
      </c>
      <c r="Q363" s="14" t="n">
        <v>67.31100000000001</v>
      </c>
      <c r="R363" s="13">
        <f>IF(OR(N(L363)=0,Q363=""),"",Q363/L363)</f>
        <v>0.1961682049608165</v>
      </c>
      <c r="S363" s="14" t="n">
        <v>183.254</v>
      </c>
      <c r="T363" s="13">
        <f>IF(OR(N(L363)=0,S363=""),"",S363/L363)</f>
        <v>0.5340673624205473</v>
      </c>
      <c r="U363" s="14" t="n">
        <v>60.102</v>
      </c>
      <c r="V363" s="13">
        <f>IF(OR(N(L363)=0,U363=""),"",U363/L363)</f>
        <v>0.1751586138157952</v>
      </c>
      <c r="W363" s="14" t="n">
        <v>1005.263</v>
      </c>
      <c r="X363" s="14" t="n">
        <v>151.351</v>
      </c>
      <c r="Y363" s="13">
        <f>IF(OR(N(W363)=0,X363=""),"",X363/W363)</f>
        <v>0.15055861003538376</v>
      </c>
      <c r="Z363" s="11" t="str">
        <f>IF(AA363="A","四季持續盈利",IF(AA363="B","最新季為正/波動",IF(AA363="C","虧損收窄",IF(AA363="D","虧損擴大或轉虧","數據不足"))))</f>
        <v>四季持續盈利</v>
      </c>
      <c r="AA363" s="9" t="str">
        <f>IF(COUNT(N363:Q363)&lt;4,"—",IF(MIN(N363:Q363)&gt;0,"A",IF(Q363&gt;0,"B",IF(Q363&gt;N363,"C","D"))))</f>
        <v>A</v>
      </c>
      <c r="AB363" s="9" t="inlineStr">
        <is>
          <t>2026-06-30</t>
        </is>
      </c>
    </row>
    <row r="364" ht="15" customHeight="1">
      <c r="A364" s="9" t="n">
        <v>363</v>
      </c>
      <c r="B364" s="10" t="inlineStr">
        <is>
          <t>OPEN</t>
        </is>
      </c>
      <c r="C364" s="11" t="inlineStr">
        <is>
          <t>地產開發與服務</t>
        </is>
      </c>
      <c r="D364" s="11" t="inlineStr">
        <is>
          <t>Opendoor Technologies Inc.</t>
        </is>
      </c>
      <c r="E364" s="11" t="inlineStr">
        <is>
          <t>Real Estate Services</t>
        </is>
      </c>
      <c r="F364" s="9" t="inlineStr">
        <is>
          <t>USD</t>
        </is>
      </c>
      <c r="G364" s="11" t="inlineStr">
        <is>
          <t>25Q2 / 25Q3 / 25Q4 / 26Q1 / 26Q2</t>
        </is>
      </c>
      <c r="H364" s="12" t="n">
        <v>1567</v>
      </c>
      <c r="I364" s="12" t="n">
        <v>915</v>
      </c>
      <c r="J364" s="12" t="n">
        <v>736</v>
      </c>
      <c r="K364" s="12" t="n">
        <v>720</v>
      </c>
      <c r="L364" s="12" t="n">
        <v>883</v>
      </c>
      <c r="M364" s="13">
        <f>IF(OR(N(H364)=0,L364=""),"",L364/H364-1)</f>
        <v>-0.43650287172941926</v>
      </c>
      <c r="N364" s="14" t="n">
        <v>-67</v>
      </c>
      <c r="O364" s="14" t="n">
        <v>-150</v>
      </c>
      <c r="P364" s="14" t="n">
        <v>-159</v>
      </c>
      <c r="Q364" s="14" t="n">
        <v>-141</v>
      </c>
      <c r="R364" s="13">
        <f>IF(OR(N(L364)=0,Q364=""),"",Q364/L364)</f>
        <v>-0.159682899207248</v>
      </c>
      <c r="S364" s="14" t="n">
        <v>86</v>
      </c>
      <c r="T364" s="13">
        <f>IF(OR(N(L364)=0,S364=""),"",S364/L364)</f>
        <v>0.09739524348810873</v>
      </c>
      <c r="U364" s="14" t="n">
        <v>-162</v>
      </c>
      <c r="V364" s="13">
        <f>IF(OR(N(L364)=0,U364=""),"",U364/L364)</f>
        <v>-0.18346545866364666</v>
      </c>
      <c r="W364" s="14" t="n">
        <v>4371</v>
      </c>
      <c r="X364" s="14" t="n">
        <v>-277</v>
      </c>
      <c r="Y364" s="13">
        <f>IF(OR(N(W364)=0,X364=""),"",X364/W364)</f>
        <v>-0.06337222603523221</v>
      </c>
      <c r="Z364" s="11" t="str">
        <f>IF(AA364="A","四季持續盈利",IF(AA364="B","最新季為正/波動",IF(AA364="C","虧損收窄",IF(AA364="D","虧損擴大或轉虧","數據不足"))))</f>
        <v>虧損擴大或轉虧</v>
      </c>
      <c r="AA364" s="9" t="str">
        <f>IF(COUNT(N364:Q364)&lt;4,"—",IF(MIN(N364:Q364)&gt;0,"A",IF(Q364&gt;0,"B",IF(Q364&gt;N364,"C","D"))))</f>
        <v>D</v>
      </c>
      <c r="AB364" s="9" t="inlineStr">
        <is>
          <t>2026-06-30</t>
        </is>
      </c>
    </row>
    <row r="365" ht="15" customHeight="1">
      <c r="A365" s="9" t="n">
        <v>364</v>
      </c>
      <c r="B365" s="10" t="inlineStr">
        <is>
          <t>ORCL</t>
        </is>
      </c>
      <c r="C365" s="11" t="inlineStr">
        <is>
          <t>—</t>
        </is>
      </c>
      <c r="D365" s="11" t="inlineStr">
        <is>
          <t>Oracle Corporation</t>
        </is>
      </c>
      <c r="E365" s="11" t="inlineStr">
        <is>
          <t>G1 其他雲平台</t>
        </is>
      </c>
      <c r="F365" s="9" t="inlineStr">
        <is>
          <t>USD</t>
        </is>
      </c>
      <c r="G365" s="11" t="inlineStr">
        <is>
          <t>25Q2 / 25Q3 / 25Q4 / 26Q1 / 26Q2</t>
        </is>
      </c>
      <c r="H365" s="12" t="n">
        <v>15903</v>
      </c>
      <c r="I365" s="12" t="n">
        <v>14926</v>
      </c>
      <c r="J365" s="12" t="n">
        <v>16058</v>
      </c>
      <c r="K365" s="12" t="n">
        <v>17190</v>
      </c>
      <c r="L365" s="12" t="n">
        <v>19184</v>
      </c>
      <c r="M365" s="13">
        <f>IF(OR(N(H365)=0,L365=""),"",L365/H365-1)</f>
        <v>0.2063132742249889</v>
      </c>
      <c r="N365" s="14" t="n">
        <v>4692</v>
      </c>
      <c r="O365" s="14" t="n">
        <v>5158</v>
      </c>
      <c r="P365" s="14" t="n">
        <v>5637</v>
      </c>
      <c r="Q365" s="14" t="n">
        <v>6955</v>
      </c>
      <c r="R365" s="13">
        <f>IF(OR(N(L365)=0,Q365=""),"",Q365/L365)</f>
        <v>0.3625417014178482</v>
      </c>
      <c r="S365" s="14" t="n">
        <v>12513</v>
      </c>
      <c r="T365" s="13">
        <f>IF(OR(N(L365)=0,S365=""),"",S365/L365)</f>
        <v>0.6522623019182652</v>
      </c>
      <c r="U365" s="14" t="n">
        <v>4304</v>
      </c>
      <c r="V365" s="13">
        <f>IF(OR(N(L365)=0,U365=""),"",U365/L365)</f>
        <v>0.2243536280233528</v>
      </c>
      <c r="W365" s="14" t="n">
        <v>67357</v>
      </c>
      <c r="X365" s="14" t="n">
        <v>22444</v>
      </c>
      <c r="Y365" s="13">
        <f>IF(OR(N(W365)=0,X365=""),"",X365/W365)</f>
        <v>0.33320961444244845</v>
      </c>
      <c r="Z365" s="11" t="str">
        <f>IF(AA365="A","四季持續盈利",IF(AA365="B","最新季為正/波動",IF(AA365="C","虧損收窄",IF(AA365="D","虧損擴大或轉虧","數據不足"))))</f>
        <v>四季持續盈利</v>
      </c>
      <c r="AA365" s="9" t="str">
        <f>IF(COUNT(N365:Q365)&lt;4,"—",IF(MIN(N365:Q365)&gt;0,"A",IF(Q365&gt;0,"B",IF(Q365&gt;N365,"C","D"))))</f>
        <v>A</v>
      </c>
      <c r="AB365" s="9" t="inlineStr">
        <is>
          <t>2026-05-31</t>
        </is>
      </c>
    </row>
    <row r="366" ht="15" customHeight="1">
      <c r="A366" s="9" t="n">
        <v>365</v>
      </c>
      <c r="B366" s="10" t="inlineStr">
        <is>
          <t>OSCR</t>
        </is>
      </c>
      <c r="C366" s="11" t="inlineStr">
        <is>
          <t>數位醫療與遠距醫療</t>
        </is>
      </c>
      <c r="D366" s="11" t="inlineStr">
        <is>
          <t>Oscar Health, Inc.</t>
        </is>
      </c>
      <c r="E366" s="11" t="inlineStr">
        <is>
          <t>Healthcare Plans</t>
        </is>
      </c>
      <c r="F366" s="9" t="inlineStr">
        <is>
          <t>USD</t>
        </is>
      </c>
      <c r="G366" s="11" t="inlineStr">
        <is>
          <t>25Q2 / 25Q3 / 25Q4 / 26Q1 / 26Q2</t>
        </is>
      </c>
      <c r="H366" s="12" t="n">
        <v>2863.945</v>
      </c>
      <c r="I366" s="12" t="n">
        <v>2985.984</v>
      </c>
      <c r="J366" s="12" t="n">
        <v>2805.235</v>
      </c>
      <c r="K366" s="12" t="n">
        <v>4647.194</v>
      </c>
      <c r="L366" s="12" t="n">
        <v>4880.22</v>
      </c>
      <c r="M366" s="13">
        <f>IF(OR(N(H366)=0,L366=""),"",L366/H366-1)</f>
        <v>0.7040201540183209</v>
      </c>
      <c r="N366" s="14" t="n">
        <v>-132.434</v>
      </c>
      <c r="O366" s="14" t="n">
        <v>-353.778</v>
      </c>
      <c r="P366" s="14" t="n">
        <v>704.1559999999999</v>
      </c>
      <c r="Q366" s="14" t="n">
        <v>387.72</v>
      </c>
      <c r="R366" s="13">
        <f>IF(OR(N(L366)=0,Q366=""),"",Q366/L366)</f>
        <v>0.07944723803435091</v>
      </c>
      <c r="S366" s="14" t="n"/>
      <c r="T366" s="13" t="str">
        <f>IF(OR(N(L366)=0,S366=""),"",S366/L366)</f>
        <v/>
      </c>
      <c r="U366" s="14" t="n">
        <v>361.808</v>
      </c>
      <c r="V366" s="13">
        <f>IF(OR(N(L366)=0,U366=""),"",U366/L366)</f>
        <v>0.07413764133584141</v>
      </c>
      <c r="W366" s="14" t="n">
        <v>11701.427</v>
      </c>
      <c r="X366" s="14" t="n">
        <v>-419.696</v>
      </c>
      <c r="Y366" s="13">
        <f>IF(OR(N(W366)=0,X366=""),"",X366/W366)</f>
        <v>-0.03586707843410894</v>
      </c>
      <c r="Z366" s="11" t="str">
        <f>IF(AA366="A","四季持續盈利",IF(AA366="B","最新季為正/波動",IF(AA366="C","虧損收窄",IF(AA366="D","虧損擴大或轉虧","數據不足"))))</f>
        <v>最新季為正/波動</v>
      </c>
      <c r="AA366" s="9" t="str">
        <f>IF(COUNT(N366:Q366)&lt;4,"—",IF(MIN(N366:Q366)&gt;0,"A",IF(Q366&gt;0,"B",IF(Q366&gt;N366,"C","D"))))</f>
        <v>B</v>
      </c>
      <c r="AB366" s="9" t="inlineStr">
        <is>
          <t>2026-06-30</t>
        </is>
      </c>
    </row>
    <row r="367" ht="15" customHeight="1">
      <c r="A367" s="9" t="n">
        <v>366</v>
      </c>
      <c r="B367" s="10" t="inlineStr">
        <is>
          <t>OWL</t>
        </is>
      </c>
      <c r="C367" s="11" t="inlineStr">
        <is>
          <t>另類資產與私募信貸</t>
        </is>
      </c>
      <c r="D367" s="11" t="inlineStr">
        <is>
          <t>Blue Owl Capital Inc.</t>
        </is>
      </c>
      <c r="E367" s="11" t="inlineStr">
        <is>
          <t>Asset Management</t>
        </is>
      </c>
      <c r="F367" s="9" t="inlineStr">
        <is>
          <t>USD</t>
        </is>
      </c>
      <c r="G367" s="11" t="inlineStr">
        <is>
          <t>25Q2 / 25Q3 / 25Q4 / 26Q1 / 26Q2</t>
        </is>
      </c>
      <c r="H367" s="12" t="n">
        <v>703.106</v>
      </c>
      <c r="I367" s="12" t="n">
        <v>727.99</v>
      </c>
      <c r="J367" s="12" t="n">
        <v>755.596</v>
      </c>
      <c r="K367" s="12" t="n">
        <v>753.811</v>
      </c>
      <c r="L367" s="12" t="n">
        <v>753.052</v>
      </c>
      <c r="M367" s="13">
        <f>IF(OR(N(H367)=0,L367=""),"",L367/H367-1)</f>
        <v>0.0710362306679222</v>
      </c>
      <c r="N367" s="14" t="n">
        <v>112.676</v>
      </c>
      <c r="O367" s="14" t="n">
        <v>166.998</v>
      </c>
      <c r="P367" s="14" t="n">
        <v>109.489</v>
      </c>
      <c r="Q367" s="14" t="n">
        <v>116.411</v>
      </c>
      <c r="R367" s="13">
        <f>IF(OR(N(L367)=0,Q367=""),"",Q367/L367)</f>
        <v>0.15458560630607182</v>
      </c>
      <c r="S367" s="14" t="n">
        <v>393.644</v>
      </c>
      <c r="T367" s="13">
        <f>IF(OR(N(L367)=0,S367=""),"",S367/L367)</f>
        <v>0.5227314979576444</v>
      </c>
      <c r="U367" s="14" t="n">
        <v>11.393</v>
      </c>
      <c r="V367" s="13">
        <f>IF(OR(N(L367)=0,U367=""),"",U367/L367)</f>
        <v>0.015129101310400876</v>
      </c>
      <c r="W367" s="14" t="n">
        <v>2870.178</v>
      </c>
      <c r="X367" s="14" t="n">
        <v>456.25</v>
      </c>
      <c r="Y367" s="13">
        <f>IF(OR(N(W367)=0,X367=""),"",X367/W367)</f>
        <v>0.15896226645176711</v>
      </c>
      <c r="Z367" s="11" t="str">
        <f>IF(AA367="A","四季持續盈利",IF(AA367="B","最新季為正/波動",IF(AA367="C","虧損收窄",IF(AA367="D","虧損擴大或轉虧","數據不足"))))</f>
        <v>四季持續盈利</v>
      </c>
      <c r="AA367" s="9" t="str">
        <f>IF(COUNT(N367:Q367)&lt;4,"—",IF(MIN(N367:Q367)&gt;0,"A",IF(Q367&gt;0,"B",IF(Q367&gt;N367,"C","D"))))</f>
        <v>A</v>
      </c>
      <c r="AB367" s="9" t="inlineStr">
        <is>
          <t>2026-06-30</t>
        </is>
      </c>
    </row>
    <row r="368" ht="15" customHeight="1">
      <c r="A368" s="9" t="n">
        <v>367</v>
      </c>
      <c r="B368" s="10" t="inlineStr">
        <is>
          <t>OXY</t>
        </is>
      </c>
      <c r="C368" s="11" t="inlineStr">
        <is>
          <t>頁岩E&amp;P勘探生產</t>
        </is>
      </c>
      <c r="D368" s="11" t="inlineStr">
        <is>
          <t>Occidental Petroleum Corporation</t>
        </is>
      </c>
      <c r="E368" s="11" t="inlineStr">
        <is>
          <t>Oil &amp; Gas E&amp;P</t>
        </is>
      </c>
      <c r="F368" s="9" t="inlineStr">
        <is>
          <t>USD</t>
        </is>
      </c>
      <c r="G368" s="11" t="inlineStr">
        <is>
          <t>25Q2 / 25Q3 / 25Q4 / 26Q1 / 26Q2</t>
        </is>
      </c>
      <c r="H368" s="12" t="n">
        <v>5258</v>
      </c>
      <c r="I368" s="12" t="n">
        <v>6624</v>
      </c>
      <c r="J368" s="12" t="n">
        <v>1752</v>
      </c>
      <c r="K368" s="12" t="n">
        <v>5230</v>
      </c>
      <c r="L368" s="12" t="n">
        <v>8065</v>
      </c>
      <c r="M368" s="13">
        <f>IF(OR(N(H368)=0,L368=""),"",L368/H368-1)</f>
        <v>0.5338531761125904</v>
      </c>
      <c r="N368" s="14" t="n">
        <v>1174</v>
      </c>
      <c r="O368" s="14" t="n">
        <v>117</v>
      </c>
      <c r="P368" s="14" t="n">
        <v>927</v>
      </c>
      <c r="Q368" s="14" t="n">
        <v>3665</v>
      </c>
      <c r="R368" s="13">
        <f>IF(OR(N(L368)=0,Q368=""),"",Q368/L368)</f>
        <v>0.45443273403595785</v>
      </c>
      <c r="S368" s="14" t="n">
        <v>4638</v>
      </c>
      <c r="T368" s="13">
        <f>IF(OR(N(L368)=0,S368=""),"",S368/L368)</f>
        <v>0.575077495350279</v>
      </c>
      <c r="U368" s="14" t="n">
        <v>2977</v>
      </c>
      <c r="V368" s="13">
        <f>IF(OR(N(L368)=0,U368=""),"",U368/L368)</f>
        <v>0.36912585244885304</v>
      </c>
      <c r="W368" s="14" t="n">
        <v>21593</v>
      </c>
      <c r="X368" s="14" t="n">
        <v>3722</v>
      </c>
      <c r="Y368" s="13">
        <f>IF(OR(N(W368)=0,X368=""),"",X368/W368)</f>
        <v>0.17237067568193395</v>
      </c>
      <c r="Z368" s="11" t="str">
        <f>IF(AA368="A","四季持續盈利",IF(AA368="B","最新季為正/波動",IF(AA368="C","虧損收窄",IF(AA368="D","虧損擴大或轉虧","數據不足"))))</f>
        <v>四季持續盈利</v>
      </c>
      <c r="AA368" s="9" t="str">
        <f>IF(COUNT(N368:Q368)&lt;4,"—",IF(MIN(N368:Q368)&gt;0,"A",IF(Q368&gt;0,"B",IF(Q368&gt;N368,"C","D"))))</f>
        <v>A</v>
      </c>
      <c r="AB368" s="9" t="inlineStr">
        <is>
          <t>2026-06-30</t>
        </is>
      </c>
    </row>
    <row r="369" ht="15" customHeight="1">
      <c r="A369" s="9" t="n">
        <v>368</v>
      </c>
      <c r="B369" s="10" t="inlineStr">
        <is>
          <t>PAAS</t>
        </is>
      </c>
      <c r="C369" s="11" t="inlineStr">
        <is>
          <t>白銀礦</t>
        </is>
      </c>
      <c r="D369" s="11" t="inlineStr">
        <is>
          <t>Pan American Silver Corp.</t>
        </is>
      </c>
      <c r="E369" s="11" t="inlineStr">
        <is>
          <t>Gold</t>
        </is>
      </c>
      <c r="F369" s="9" t="inlineStr">
        <is>
          <t>USD</t>
        </is>
      </c>
      <c r="G369" s="11" t="inlineStr">
        <is>
          <t>25Q2 / 25Q3 / 25Q4 / 26Q1 / 26Q2</t>
        </is>
      </c>
      <c r="H369" s="12" t="n">
        <v>812</v>
      </c>
      <c r="I369" s="12" t="n">
        <v>854.6</v>
      </c>
      <c r="J369" s="12" t="n">
        <v>1179.3</v>
      </c>
      <c r="K369" s="12" t="n">
        <v>1154</v>
      </c>
      <c r="L369" s="12" t="n">
        <v>1124</v>
      </c>
      <c r="M369" s="13">
        <f>IF(OR(N(H369)=0,L369=""),"",L369/H369-1)</f>
        <v>0.3842364532019704</v>
      </c>
      <c r="N369" s="14" t="n">
        <v>250.3</v>
      </c>
      <c r="O369" s="14" t="n">
        <v>453.3</v>
      </c>
      <c r="P369" s="14" t="n">
        <v>560</v>
      </c>
      <c r="Q369" s="14" t="n">
        <v>427</v>
      </c>
      <c r="R369" s="13">
        <f>IF(OR(N(L369)=0,Q369=""),"",Q369/L369)</f>
        <v>0.3798932384341637</v>
      </c>
      <c r="S369" s="14" t="n">
        <v>457</v>
      </c>
      <c r="T369" s="13">
        <f>IF(OR(N(L369)=0,S369=""),"",S369/L369)</f>
        <v>0.40658362989323843</v>
      </c>
      <c r="U369" s="14" t="n">
        <v>304</v>
      </c>
      <c r="V369" s="13">
        <f>IF(OR(N(L369)=0,U369=""),"",U369/L369)</f>
        <v>0.2704626334519573</v>
      </c>
      <c r="W369" s="14" t="n">
        <v>3619</v>
      </c>
      <c r="X369" s="14" t="n">
        <v>1138</v>
      </c>
      <c r="Y369" s="13">
        <f>IF(OR(N(W369)=0,X369=""),"",X369/W369)</f>
        <v>0.3144515059408676</v>
      </c>
      <c r="Z369" s="11" t="str">
        <f>IF(AA369="A","四季持續盈利",IF(AA369="B","最新季為正/波動",IF(AA369="C","虧損收窄",IF(AA369="D","虧損擴大或轉虧","數據不足"))))</f>
        <v>四季持續盈利</v>
      </c>
      <c r="AA369" s="9" t="str">
        <f>IF(COUNT(N369:Q369)&lt;4,"—",IF(MIN(N369:Q369)&gt;0,"A",IF(Q369&gt;0,"B",IF(Q369&gt;N369,"C","D"))))</f>
        <v>A</v>
      </c>
      <c r="AB369" s="9" t="inlineStr">
        <is>
          <t>2026-06-30</t>
        </is>
      </c>
    </row>
    <row r="370" ht="15" customHeight="1">
      <c r="A370" s="9" t="n">
        <v>369</v>
      </c>
      <c r="B370" s="10" t="inlineStr">
        <is>
          <t>PANW</t>
        </is>
      </c>
      <c r="C370" s="11" t="inlineStr">
        <is>
          <t>網絡安全</t>
        </is>
      </c>
      <c r="D370" s="11" t="inlineStr">
        <is>
          <t>Palo Alto Networks, Inc.</t>
        </is>
      </c>
      <c r="E370" s="11" t="inlineStr">
        <is>
          <t>D8 安全</t>
        </is>
      </c>
      <c r="F370" s="9" t="inlineStr">
        <is>
          <t>USD</t>
        </is>
      </c>
      <c r="G370" s="11" t="inlineStr">
        <is>
          <t>25Q2 / 25Q3 / 25Q4 / 26Q1 / 26Q2</t>
        </is>
      </c>
      <c r="H370" s="12" t="n">
        <v>2289</v>
      </c>
      <c r="I370" s="12" t="n">
        <v>2536.3</v>
      </c>
      <c r="J370" s="12" t="n">
        <v>2474</v>
      </c>
      <c r="K370" s="12" t="n">
        <v>2594</v>
      </c>
      <c r="L370" s="12" t="n">
        <v>3002</v>
      </c>
      <c r="M370" s="13">
        <f>IF(OR(N(H370)=0,L370=""),"",L370/H370-1)</f>
        <v>0.3114897335080822</v>
      </c>
      <c r="N370" s="14" t="n">
        <v>497.2</v>
      </c>
      <c r="O370" s="14" t="n">
        <v>309</v>
      </c>
      <c r="P370" s="14" t="n">
        <v>397</v>
      </c>
      <c r="Q370" s="14" t="n">
        <v>-183</v>
      </c>
      <c r="R370" s="13">
        <f>IF(OR(N(L370)=0,Q370=""),"",Q370/L370)</f>
        <v>-0.06095936042638241</v>
      </c>
      <c r="S370" s="14" t="n">
        <v>2028</v>
      </c>
      <c r="T370" s="13">
        <f>IF(OR(N(L370)=0,S370=""),"",S370/L370)</f>
        <v>0.6755496335776149</v>
      </c>
      <c r="U370" s="14" t="n">
        <v>-177</v>
      </c>
      <c r="V370" s="13">
        <f>IF(OR(N(L370)=0,U370=""),"",U370/L370)</f>
        <v>-0.05896069287141906</v>
      </c>
      <c r="W370" s="14" t="n">
        <v>9221.5</v>
      </c>
      <c r="X370" s="14" t="n">
        <v>1242.9</v>
      </c>
      <c r="Y370" s="13">
        <f>IF(OR(N(W370)=0,X370=""),"",X370/W370)</f>
        <v>0.1347828444396248</v>
      </c>
      <c r="Z370" s="11" t="str">
        <f>IF(AA370="A","四季持續盈利",IF(AA370="B","最新季為正/波動",IF(AA370="C","虧損收窄",IF(AA370="D","虧損擴大或轉虧","數據不足"))))</f>
        <v>虧損擴大或轉虧</v>
      </c>
      <c r="AA370" s="9" t="str">
        <f>IF(COUNT(N370:Q370)&lt;4,"—",IF(MIN(N370:Q370)&gt;0,"A",IF(Q370&gt;0,"B",IF(Q370&gt;N370,"C","D"))))</f>
        <v>D</v>
      </c>
      <c r="AB370" s="9" t="inlineStr">
        <is>
          <t>2026-04-30</t>
        </is>
      </c>
    </row>
    <row r="371" ht="15" customHeight="1">
      <c r="A371" s="9" t="n">
        <v>370</v>
      </c>
      <c r="B371" s="10" t="inlineStr">
        <is>
          <t>PARA</t>
        </is>
      </c>
      <c r="C371" s="11" t="inlineStr">
        <is>
          <t>傳媒與娛樂內容</t>
        </is>
      </c>
      <c r="D371" s="11" t="inlineStr">
        <is>
          <t>Banzai International, Inc.</t>
        </is>
      </c>
      <c r="E371" s="11" t="inlineStr">
        <is>
          <t>Software - Application</t>
        </is>
      </c>
      <c r="F371" s="9" t="inlineStr">
        <is>
          <t>USD</t>
        </is>
      </c>
      <c r="G371" s="11" t="inlineStr">
        <is>
          <t>25Q2 / 25Q3 / 25Q4 / 26Q1 / 26Q2</t>
        </is>
      </c>
      <c r="H371" s="12" t="n">
        <v>3.127</v>
      </c>
      <c r="I371" s="12" t="n">
        <v>2.844508</v>
      </c>
      <c r="J371" s="12" t="n">
        <v>2.810846</v>
      </c>
      <c r="K371" s="12" t="n">
        <v>2.696</v>
      </c>
      <c r="L371" s="12" t="n">
        <v>2.273</v>
      </c>
      <c r="M371" s="13">
        <f>IF(OR(N(H371)=0,L371=""),"",L371/H371-1)</f>
        <v>-0.273105212663895</v>
      </c>
      <c r="N371" s="14" t="n">
        <v>-4.430206</v>
      </c>
      <c r="O371" s="14" t="n">
        <v>-4.287197</v>
      </c>
      <c r="P371" s="14" t="n">
        <v>-5.78</v>
      </c>
      <c r="Q371" s="14" t="n">
        <v>-4.386</v>
      </c>
      <c r="R371" s="13">
        <f>IF(OR(N(L371)=0,Q371=""),"",Q371/L371)</f>
        <v>-1.9296084469863615</v>
      </c>
      <c r="S371" s="14" t="n">
        <v>1.823</v>
      </c>
      <c r="T371" s="13">
        <f>IF(OR(N(L371)=0,S371=""),"",S371/L371)</f>
        <v>0.8020237571491421</v>
      </c>
      <c r="U371" s="14" t="n">
        <v>-4.965</v>
      </c>
      <c r="V371" s="13">
        <f>IF(OR(N(L371)=0,U371=""),"",U371/L371)</f>
        <v>-2.1843378794544654</v>
      </c>
      <c r="W371" s="14" t="n">
        <v>12.161419</v>
      </c>
      <c r="X371" s="14" t="n">
        <v>-18.46498</v>
      </c>
      <c r="Y371" s="13">
        <f>IF(OR(N(W371)=0,X371=""),"",X371/W371)</f>
        <v>-1.518324465261825</v>
      </c>
      <c r="Z371" s="11" t="str">
        <f>IF(AA371="A","四季持續盈利",IF(AA371="B","最新季為正/波動",IF(AA371="C","虧損收窄",IF(AA371="D","虧損擴大或轉虧","數據不足"))))</f>
        <v>虧損收窄</v>
      </c>
      <c r="AA371" s="9" t="str">
        <f>IF(COUNT(N371:Q371)&lt;4,"—",IF(MIN(N371:Q371)&gt;0,"A",IF(Q371&gt;0,"B",IF(Q371&gt;N371,"C","D"))))</f>
        <v>C</v>
      </c>
      <c r="AB371" s="9" t="inlineStr">
        <is>
          <t>2026-06-30</t>
        </is>
      </c>
    </row>
    <row r="372" ht="15" customHeight="1">
      <c r="A372" s="9" t="n">
        <v>371</v>
      </c>
      <c r="B372" s="10" t="inlineStr">
        <is>
          <t>PAYX</t>
        </is>
      </c>
      <c r="C372" s="11" t="inlineStr">
        <is>
          <t>人力與商業服務</t>
        </is>
      </c>
      <c r="D372" s="11" t="inlineStr">
        <is>
          <t>Paychex, Inc.</t>
        </is>
      </c>
      <c r="E372" s="11" t="inlineStr">
        <is>
          <t>Software - Application</t>
        </is>
      </c>
      <c r="F372" s="9" t="inlineStr">
        <is>
          <t>USD</t>
        </is>
      </c>
      <c r="G372" s="11" t="inlineStr">
        <is>
          <t>25Q2 / 25Q3 / 25Q4 / 26Q1 / 26Q2</t>
        </is>
      </c>
      <c r="H372" s="12" t="n">
        <v>1427.3</v>
      </c>
      <c r="I372" s="12" t="n">
        <v>1540</v>
      </c>
      <c r="J372" s="12" t="n">
        <v>1557.6</v>
      </c>
      <c r="K372" s="12" t="n">
        <v>1808.9</v>
      </c>
      <c r="L372" s="12" t="n">
        <v>1605.5</v>
      </c>
      <c r="M372" s="13">
        <f>IF(OR(N(H372)=0,L372=""),"",L372/H372-1)</f>
        <v>0.12485111749457012</v>
      </c>
      <c r="N372" s="14" t="n">
        <v>541.9</v>
      </c>
      <c r="O372" s="14" t="n">
        <v>571.9</v>
      </c>
      <c r="P372" s="14" t="n">
        <v>792</v>
      </c>
      <c r="Q372" s="14" t="n">
        <v>604.7</v>
      </c>
      <c r="R372" s="13">
        <f>IF(OR(N(L372)=0,Q372=""),"",Q372/L372)</f>
        <v>0.3766427904079726</v>
      </c>
      <c r="S372" s="14" t="n">
        <v>1188.2</v>
      </c>
      <c r="T372" s="13">
        <f>IF(OR(N(L372)=0,S372=""),"",S372/L372)</f>
        <v>0.740080971659919</v>
      </c>
      <c r="U372" s="14" t="n">
        <v>420.6</v>
      </c>
      <c r="V372" s="13">
        <f>IF(OR(N(L372)=0,U372=""),"",U372/L372)</f>
        <v>0.2619744627841794</v>
      </c>
      <c r="W372" s="14" t="n">
        <v>6512</v>
      </c>
      <c r="X372" s="14" t="n">
        <v>2510.5</v>
      </c>
      <c r="Y372" s="13">
        <f>IF(OR(N(W372)=0,X372=""),"",X372/W372)</f>
        <v>0.3855190417690418</v>
      </c>
      <c r="Z372" s="11" t="str">
        <f>IF(AA372="A","四季持續盈利",IF(AA372="B","最新季為正/波動",IF(AA372="C","虧損收窄",IF(AA372="D","虧損擴大或轉虧","數據不足"))))</f>
        <v>四季持續盈利</v>
      </c>
      <c r="AA372" s="9" t="str">
        <f>IF(COUNT(N372:Q372)&lt;4,"—",IF(MIN(N372:Q372)&gt;0,"A",IF(Q372&gt;0,"B",IF(Q372&gt;N372,"C","D"))))</f>
        <v>A</v>
      </c>
      <c r="AB372" s="9" t="inlineStr">
        <is>
          <t>2026-05-31</t>
        </is>
      </c>
    </row>
    <row r="373" ht="15" customHeight="1">
      <c r="A373" s="9" t="n">
        <v>372</v>
      </c>
      <c r="B373" s="10" t="inlineStr">
        <is>
          <t>PCAR</t>
        </is>
      </c>
      <c r="C373" s="11" t="inlineStr">
        <is>
          <t>機械與重工</t>
        </is>
      </c>
      <c r="D373" s="11" t="inlineStr">
        <is>
          <t>PACCAR Inc</t>
        </is>
      </c>
      <c r="E373" s="11" t="inlineStr">
        <is>
          <t>Farm &amp; Heavy Construction Machinery</t>
        </is>
      </c>
      <c r="F373" s="9" t="inlineStr">
        <is>
          <t>USD</t>
        </is>
      </c>
      <c r="G373" s="11" t="inlineStr">
        <is>
          <t>25Q2 / 25Q3 / 25Q4 / 26Q1 / 26Q2</t>
        </is>
      </c>
      <c r="H373" s="12" t="n">
        <v>7510.5</v>
      </c>
      <c r="I373" s="12" t="n">
        <v>6671.8</v>
      </c>
      <c r="J373" s="12" t="n">
        <v>6820.8</v>
      </c>
      <c r="K373" s="12" t="n">
        <v>6776.5</v>
      </c>
      <c r="L373" s="12" t="n">
        <v>7546.7</v>
      </c>
      <c r="M373" s="13">
        <f>IF(OR(N(H373)=0,L373=""),"",L373/H373-1)</f>
        <v>0.004819918780374133</v>
      </c>
      <c r="N373" s="14" t="n">
        <v>636</v>
      </c>
      <c r="O373" s="14" t="n">
        <v>602.1</v>
      </c>
      <c r="P373" s="14" t="n">
        <v>674.6</v>
      </c>
      <c r="Q373" s="14" t="n">
        <v>879.2</v>
      </c>
      <c r="R373" s="13">
        <f>IF(OR(N(L373)=0,Q373=""),"",Q373/L373)</f>
        <v>0.11650125220294964</v>
      </c>
      <c r="S373" s="14" t="n">
        <v>1324.1</v>
      </c>
      <c r="T373" s="13">
        <f>IF(OR(N(L373)=0,S373=""),"",S373/L373)</f>
        <v>0.17545417202220837</v>
      </c>
      <c r="U373" s="14" t="n">
        <v>752</v>
      </c>
      <c r="V373" s="13">
        <f>IF(OR(N(L373)=0,U373=""),"",U373/L373)</f>
        <v>0.09964620297613527</v>
      </c>
      <c r="W373" s="14" t="n">
        <v>28444.8</v>
      </c>
      <c r="X373" s="14" t="n">
        <v>2961.7</v>
      </c>
      <c r="Y373" s="13">
        <f>IF(OR(N(W373)=0,X373=""),"",X373/W373)</f>
        <v>0.10412096411294859</v>
      </c>
      <c r="Z373" s="11" t="str">
        <f>IF(AA373="A","四季持續盈利",IF(AA373="B","最新季為正/波動",IF(AA373="C","虧損收窄",IF(AA373="D","虧損擴大或轉虧","數據不足"))))</f>
        <v>四季持續盈利</v>
      </c>
      <c r="AA373" s="9" t="str">
        <f>IF(COUNT(N373:Q373)&lt;4,"—",IF(MIN(N373:Q373)&gt;0,"A",IF(Q373&gt;0,"B",IF(Q373&gt;N373,"C","D"))))</f>
        <v>A</v>
      </c>
      <c r="AB373" s="9" t="inlineStr">
        <is>
          <t>2026-06-30</t>
        </is>
      </c>
    </row>
    <row r="374" ht="15" customHeight="1">
      <c r="A374" s="9" t="n">
        <v>373</v>
      </c>
      <c r="B374" s="10" t="inlineStr">
        <is>
          <t>PEP</t>
        </is>
      </c>
      <c r="C374" s="11" t="inlineStr">
        <is>
          <t>非酒精飲品</t>
        </is>
      </c>
      <c r="D374" s="11" t="inlineStr">
        <is>
          <t>PepsiCo, Inc.</t>
        </is>
      </c>
      <c r="E374" s="11" t="inlineStr">
        <is>
          <t>Beverages - Non-Alcoholic</t>
        </is>
      </c>
      <c r="F374" s="9" t="inlineStr">
        <is>
          <t>USD</t>
        </is>
      </c>
      <c r="G374" s="11" t="inlineStr">
        <is>
          <t>25Q2 / 25Q3 / 25Q4 / 26Q1 / 26Q2</t>
        </is>
      </c>
      <c r="H374" s="12" t="n">
        <v>22726</v>
      </c>
      <c r="I374" s="12" t="n">
        <v>23937</v>
      </c>
      <c r="J374" s="12" t="n">
        <v>29343</v>
      </c>
      <c r="K374" s="12" t="n">
        <v>19443</v>
      </c>
      <c r="L374" s="12" t="n">
        <v>24181</v>
      </c>
      <c r="M374" s="13">
        <f>IF(OR(N(H374)=0,L374=""),"",L374/H374-1)</f>
        <v>0.06402358532077801</v>
      </c>
      <c r="N374" s="14" t="n">
        <v>3702</v>
      </c>
      <c r="O374" s="14" t="n">
        <v>3557</v>
      </c>
      <c r="P374" s="14" t="n">
        <v>3213</v>
      </c>
      <c r="Q374" s="14" t="n">
        <v>4023</v>
      </c>
      <c r="R374" s="13">
        <f>IF(OR(N(L374)=0,Q374=""),"",Q374/L374)</f>
        <v>0.16637029072412224</v>
      </c>
      <c r="S374" s="14" t="n">
        <v>13111</v>
      </c>
      <c r="T374" s="13">
        <f>IF(OR(N(L374)=0,S374=""),"",S374/L374)</f>
        <v>0.5422025557255696</v>
      </c>
      <c r="U374" s="14" t="n">
        <v>2981</v>
      </c>
      <c r="V374" s="13">
        <f>IF(OR(N(L374)=0,U374=""),"",U374/L374)</f>
        <v>0.12327860717091932</v>
      </c>
      <c r="W374" s="14" t="n">
        <v>93925</v>
      </c>
      <c r="X374" s="14" t="n">
        <v>13491</v>
      </c>
      <c r="Y374" s="13">
        <f>IF(OR(N(W374)=0,X374=""),"",X374/W374)</f>
        <v>0.143635879691243</v>
      </c>
      <c r="Z374" s="11" t="str">
        <f>IF(AA374="A","四季持續盈利",IF(AA374="B","最新季為正/波動",IF(AA374="C","虧損收窄",IF(AA374="D","虧損擴大或轉虧","數據不足"))))</f>
        <v>四季持續盈利</v>
      </c>
      <c r="AA374" s="9" t="str">
        <f>IF(COUNT(N374:Q374)&lt;4,"—",IF(MIN(N374:Q374)&gt;0,"A",IF(Q374&gt;0,"B",IF(Q374&gt;N374,"C","D"))))</f>
        <v>A</v>
      </c>
      <c r="AB374" s="9" t="inlineStr">
        <is>
          <t>2026-06-30</t>
        </is>
      </c>
    </row>
    <row r="375" ht="15" customHeight="1">
      <c r="A375" s="9" t="n">
        <v>374</v>
      </c>
      <c r="B375" s="10" t="inlineStr">
        <is>
          <t>PFE</t>
        </is>
      </c>
      <c r="C375" s="11" t="inlineStr">
        <is>
          <t>大型藥廠</t>
        </is>
      </c>
      <c r="D375" s="11" t="inlineStr">
        <is>
          <t>Pfizer Inc.</t>
        </is>
      </c>
      <c r="E375" s="11" t="inlineStr">
        <is>
          <t>Drug Manufacturers - General</t>
        </is>
      </c>
      <c r="F375" s="9" t="inlineStr">
        <is>
          <t>USD</t>
        </is>
      </c>
      <c r="G375" s="11" t="inlineStr">
        <is>
          <t>25Q2 / 25Q3 / 25Q4 / 26Q1 / 26Q2</t>
        </is>
      </c>
      <c r="H375" s="12" t="n">
        <v>14653</v>
      </c>
      <c r="I375" s="12" t="n">
        <v>16654</v>
      </c>
      <c r="J375" s="12" t="n">
        <v>17557</v>
      </c>
      <c r="K375" s="12" t="n">
        <v>14450</v>
      </c>
      <c r="L375" s="12" t="n">
        <v>15034</v>
      </c>
      <c r="M375" s="13">
        <f>IF(OR(N(H375)=0,L375=""),"",L375/H375-1)</f>
        <v>0.026001501399030902</v>
      </c>
      <c r="N375" s="14" t="n">
        <v>5527</v>
      </c>
      <c r="O375" s="14" t="n">
        <v>3687</v>
      </c>
      <c r="P375" s="14" t="n">
        <v>4268</v>
      </c>
      <c r="Q375" s="14" t="n">
        <v>3537</v>
      </c>
      <c r="R375" s="13">
        <f>IF(OR(N(L375)=0,Q375=""),"",Q375/L375)</f>
        <v>0.2352667287481708</v>
      </c>
      <c r="S375" s="14" t="n">
        <v>10942</v>
      </c>
      <c r="T375" s="13">
        <f>IF(OR(N(L375)=0,S375=""),"",S375/L375)</f>
        <v>0.7278169482506319</v>
      </c>
      <c r="U375" s="14" t="n">
        <v>-248</v>
      </c>
      <c r="V375" s="13">
        <f>IF(OR(N(L375)=0,U375=""),"",U375/L375)</f>
        <v>-0.016495942530264734</v>
      </c>
      <c r="W375" s="14" t="n">
        <v>62579</v>
      </c>
      <c r="X375" s="14" t="n">
        <v>17407</v>
      </c>
      <c r="Y375" s="13">
        <f>IF(OR(N(W375)=0,X375=""),"",X375/W375)</f>
        <v>0.2781604052477668</v>
      </c>
      <c r="Z375" s="11" t="str">
        <f>IF(AA375="A","四季持續盈利",IF(AA375="B","最新季為正/波動",IF(AA375="C","虧損收窄",IF(AA375="D","虧損擴大或轉虧","數據不足"))))</f>
        <v>四季持續盈利</v>
      </c>
      <c r="AA375" s="9" t="str">
        <f>IF(COUNT(N375:Q375)&lt;4,"—",IF(MIN(N375:Q375)&gt;0,"A",IF(Q375&gt;0,"B",IF(Q375&gt;N375,"C","D"))))</f>
        <v>A</v>
      </c>
      <c r="AB375" s="9" t="inlineStr">
        <is>
          <t>2026-06-30</t>
        </is>
      </c>
    </row>
    <row r="376" ht="15" customHeight="1">
      <c r="A376" s="9" t="n">
        <v>375</v>
      </c>
      <c r="B376" s="10" t="inlineStr">
        <is>
          <t>PFGC</t>
        </is>
      </c>
      <c r="C376" s="11" t="inlineStr">
        <is>
          <t>必需品分銷</t>
        </is>
      </c>
      <c r="D376" s="11" t="inlineStr">
        <is>
          <t>Performance Food Group Company</t>
        </is>
      </c>
      <c r="E376" s="11" t="inlineStr">
        <is>
          <t>Food Distribution</t>
        </is>
      </c>
      <c r="F376" s="9" t="inlineStr">
        <is>
          <t>USD</t>
        </is>
      </c>
      <c r="G376" s="11" t="inlineStr">
        <is>
          <t>25Q2 / 25Q3 / 25Q4 / 26Q1 / 26Q2</t>
        </is>
      </c>
      <c r="H376" s="12" t="n">
        <v>16938.9</v>
      </c>
      <c r="I376" s="12" t="n">
        <v>17075.9</v>
      </c>
      <c r="J376" s="12" t="n">
        <v>16444.7</v>
      </c>
      <c r="K376" s="12" t="n">
        <v>16290</v>
      </c>
      <c r="L376" s="12" t="n">
        <v>18028.9</v>
      </c>
      <c r="M376" s="13">
        <f>IF(OR(N(H376)=0,L376=""),"",L376/H376-1)</f>
        <v>0.06434892466452946</v>
      </c>
      <c r="N376" s="14" t="n">
        <v>224.7</v>
      </c>
      <c r="O376" s="14" t="n">
        <v>190.1</v>
      </c>
      <c r="P376" s="14" t="n">
        <v>148.9</v>
      </c>
      <c r="Q376" s="14" t="n">
        <v>323.8</v>
      </c>
      <c r="R376" s="13">
        <f>IF(OR(N(L376)=0,Q376=""),"",Q376/L376)</f>
        <v>0.017960053025974962</v>
      </c>
      <c r="S376" s="14" t="n">
        <v>2168.8</v>
      </c>
      <c r="T376" s="13">
        <f>IF(OR(N(L376)=0,S376=""),"",S376/L376)</f>
        <v>0.12029574738336782</v>
      </c>
      <c r="U376" s="14" t="n">
        <v>162.3</v>
      </c>
      <c r="V376" s="13">
        <f>IF(OR(N(L376)=0,U376=""),"",U376/L376)</f>
        <v>0.009002213113390167</v>
      </c>
      <c r="W376" s="14" t="n">
        <v>67839.5</v>
      </c>
      <c r="X376" s="14" t="n">
        <v>887.5</v>
      </c>
      <c r="Y376" s="13">
        <f>IF(OR(N(W376)=0,X376=""),"",X376/W376)</f>
        <v>0.013082348779103619</v>
      </c>
      <c r="Z376" s="11" t="str">
        <f>IF(AA376="A","四季持續盈利",IF(AA376="B","最新季為正/波動",IF(AA376="C","虧損收窄",IF(AA376="D","虧損擴大或轉虧","數據不足"))))</f>
        <v>四季持續盈利</v>
      </c>
      <c r="AA376" s="9" t="str">
        <f>IF(COUNT(N376:Q376)&lt;4,"—",IF(MIN(N376:Q376)&gt;0,"A",IF(Q376&gt;0,"B",IF(Q376&gt;N376,"C","D"))))</f>
        <v>A</v>
      </c>
      <c r="AB376" s="9" t="inlineStr">
        <is>
          <t>2026-06-30</t>
        </is>
      </c>
    </row>
    <row r="377" ht="15" customHeight="1">
      <c r="A377" s="9" t="n">
        <v>376</v>
      </c>
      <c r="B377" s="10" t="inlineStr">
        <is>
          <t>PG</t>
        </is>
      </c>
      <c r="C377" s="11" t="inlineStr">
        <is>
          <t>家庭與個人護理</t>
        </is>
      </c>
      <c r="D377" s="11" t="inlineStr">
        <is>
          <t>The Procter &amp; Gamble Company</t>
        </is>
      </c>
      <c r="E377" s="11" t="inlineStr">
        <is>
          <t>Household &amp; Personal Products</t>
        </is>
      </c>
      <c r="F377" s="9" t="inlineStr">
        <is>
          <t>USD</t>
        </is>
      </c>
      <c r="G377" s="11" t="inlineStr">
        <is>
          <t>25Q2 / 25Q3 / 25Q4 / 26Q1 / 26Q2</t>
        </is>
      </c>
      <c r="H377" s="12" t="n">
        <v>20889</v>
      </c>
      <c r="I377" s="12" t="n">
        <v>22386</v>
      </c>
      <c r="J377" s="12" t="n">
        <v>22208</v>
      </c>
      <c r="K377" s="12" t="n">
        <v>21235</v>
      </c>
      <c r="L377" s="12" t="n">
        <v>21204</v>
      </c>
      <c r="M377" s="13">
        <f>IF(OR(N(H377)=0,L377=""),"",L377/H377-1)</f>
        <v>0.01507970702283501</v>
      </c>
      <c r="N377" s="14" t="n">
        <v>5856</v>
      </c>
      <c r="O377" s="14" t="n">
        <v>5366</v>
      </c>
      <c r="P377" s="14" t="n">
        <v>4577</v>
      </c>
      <c r="Q377" s="14" t="n">
        <v>3950</v>
      </c>
      <c r="R377" s="13">
        <f>IF(OR(N(L377)=0,Q377=""),"",Q377/L377)</f>
        <v>0.18628560648934164</v>
      </c>
      <c r="S377" s="14" t="n">
        <v>10284</v>
      </c>
      <c r="T377" s="13">
        <f>IF(OR(N(L377)=0,S377=""),"",S377/L377)</f>
        <v>0.48500282965478214</v>
      </c>
      <c r="U377" s="14" t="n">
        <v>3044</v>
      </c>
      <c r="V377" s="13">
        <f>IF(OR(N(L377)=0,U377=""),"",U377/L377)</f>
        <v>0.14355781927938124</v>
      </c>
      <c r="W377" s="14" t="n">
        <v>87032</v>
      </c>
      <c r="X377" s="14" t="n">
        <v>19748</v>
      </c>
      <c r="Y377" s="13">
        <f>IF(OR(N(W377)=0,X377=""),"",X377/W377)</f>
        <v>0.22690504641970768</v>
      </c>
      <c r="Z377" s="11" t="str">
        <f>IF(AA377="A","四季持續盈利",IF(AA377="B","最新季為正/波動",IF(AA377="C","虧損收窄",IF(AA377="D","虧損擴大或轉虧","數據不足"))))</f>
        <v>四季持續盈利</v>
      </c>
      <c r="AA377" s="9" t="str">
        <f>IF(COUNT(N377:Q377)&lt;4,"—",IF(MIN(N377:Q377)&gt;0,"A",IF(Q377&gt;0,"B",IF(Q377&gt;N377,"C","D"))))</f>
        <v>A</v>
      </c>
      <c r="AB377" s="9" t="inlineStr">
        <is>
          <t>2026-06-30</t>
        </is>
      </c>
    </row>
    <row r="378" ht="15" customHeight="1">
      <c r="A378" s="9" t="n">
        <v>377</v>
      </c>
      <c r="B378" s="10" t="inlineStr">
        <is>
          <t>PGR</t>
        </is>
      </c>
      <c r="C378" s="11" t="inlineStr">
        <is>
          <t>產險與再保</t>
        </is>
      </c>
      <c r="D378" s="11" t="inlineStr">
        <is>
          <t>The Progressive Corporation</t>
        </is>
      </c>
      <c r="E378" s="11" t="inlineStr">
        <is>
          <t>Insurance - Property &amp; Casualty</t>
        </is>
      </c>
      <c r="F378" s="9" t="inlineStr">
        <is>
          <t>USD</t>
        </is>
      </c>
      <c r="G378" s="11" t="inlineStr">
        <is>
          <t>25Q2 / 25Q3 / 25Q4 / 26Q1 / 26Q2</t>
        </is>
      </c>
      <c r="H378" s="12" t="n">
        <v>21995</v>
      </c>
      <c r="I378" s="12" t="n">
        <v>22502</v>
      </c>
      <c r="J378" s="12" t="n">
        <v>22738</v>
      </c>
      <c r="K378" s="12" t="n">
        <v>22180</v>
      </c>
      <c r="L378" s="12" t="n">
        <v>23599</v>
      </c>
      <c r="M378" s="13">
        <f>IF(OR(N(H378)=0,L378=""),"",L378/H378-1)</f>
        <v>0.07292566492384633</v>
      </c>
      <c r="N378" s="14" t="n">
        <v>3393</v>
      </c>
      <c r="O378" s="14" t="n">
        <v>3751</v>
      </c>
      <c r="P378" s="14" t="n">
        <v>3636</v>
      </c>
      <c r="Q378" s="14" t="n">
        <v>4297</v>
      </c>
      <c r="R378" s="13">
        <f>IF(OR(N(L378)=0,Q378=""),"",Q378/L378)</f>
        <v>0.1820839866096021</v>
      </c>
      <c r="S378" s="14" t="n"/>
      <c r="T378" s="13" t="str">
        <f>IF(OR(N(L378)=0,S378=""),"",S378/L378)</f>
        <v/>
      </c>
      <c r="U378" s="14" t="n">
        <v>3311</v>
      </c>
      <c r="V378" s="13">
        <f>IF(OR(N(L378)=0,U378=""),"",U378/L378)</f>
        <v>0.14030255519301665</v>
      </c>
      <c r="W378" s="14" t="n">
        <v>87637</v>
      </c>
      <c r="X378" s="14" t="n">
        <v>14501</v>
      </c>
      <c r="Y378" s="13">
        <f>IF(OR(N(W378)=0,X378=""),"",X378/W378)</f>
        <v>0.1654666408024008</v>
      </c>
      <c r="Z378" s="11" t="str">
        <f>IF(AA378="A","四季持續盈利",IF(AA378="B","最新季為正/波動",IF(AA378="C","虧損收窄",IF(AA378="D","虧損擴大或轉虧","數據不足"))))</f>
        <v>四季持續盈利</v>
      </c>
      <c r="AA378" s="9" t="str">
        <f>IF(COUNT(N378:Q378)&lt;4,"—",IF(MIN(N378:Q378)&gt;0,"A",IF(Q378&gt;0,"B",IF(Q378&gt;N378,"C","D"))))</f>
        <v>A</v>
      </c>
      <c r="AB378" s="9" t="inlineStr">
        <is>
          <t>2026-06-30</t>
        </is>
      </c>
    </row>
    <row r="379" ht="15" customHeight="1">
      <c r="A379" s="9" t="n">
        <v>378</v>
      </c>
      <c r="B379" s="10" t="inlineStr">
        <is>
          <t>PHM</t>
        </is>
      </c>
      <c r="C379" s="11" t="inlineStr">
        <is>
          <t>住宅建築商</t>
        </is>
      </c>
      <c r="D379" s="11" t="inlineStr">
        <is>
          <t>PulteGroup, Inc.</t>
        </is>
      </c>
      <c r="E379" s="11" t="inlineStr">
        <is>
          <t>Residential Construction</t>
        </is>
      </c>
      <c r="F379" s="9" t="inlineStr">
        <is>
          <t>USD</t>
        </is>
      </c>
      <c r="G379" s="11" t="inlineStr">
        <is>
          <t>25Q2 / 25Q3 / 25Q4 / 26Q1 / 26Q2</t>
        </is>
      </c>
      <c r="H379" s="12" t="n">
        <v>4403.755</v>
      </c>
      <c r="I379" s="12" t="n">
        <v>4404.799</v>
      </c>
      <c r="J379" s="12" t="n">
        <v>4610.748</v>
      </c>
      <c r="K379" s="12" t="n">
        <v>3408.572</v>
      </c>
      <c r="L379" s="12" t="n">
        <v>3982.957</v>
      </c>
      <c r="M379" s="13">
        <f>IF(OR(N(H379)=0,L379=""),"",L379/H379-1)</f>
        <v>-0.09555436212959167</v>
      </c>
      <c r="N379" s="14" t="n">
        <v>761.3099999999999</v>
      </c>
      <c r="O379" s="14" t="n">
        <v>739.912</v>
      </c>
      <c r="P379" s="14" t="n">
        <v>440.36</v>
      </c>
      <c r="Q379" s="14" t="n">
        <v>613.143</v>
      </c>
      <c r="R379" s="13">
        <f>IF(OR(N(L379)=0,Q379=""),"",Q379/L379)</f>
        <v>0.15394165691469933</v>
      </c>
      <c r="S379" s="14" t="n">
        <v>997.521</v>
      </c>
      <c r="T379" s="13">
        <f>IF(OR(N(L379)=0,S379=""),"",S379/L379)</f>
        <v>0.25044734351889814</v>
      </c>
      <c r="U379" s="14" t="n">
        <v>472.003</v>
      </c>
      <c r="V379" s="13">
        <f>IF(OR(N(L379)=0,U379=""),"",U379/L379)</f>
        <v>0.11850567304643259</v>
      </c>
      <c r="W379" s="14" t="n">
        <v>17311.953</v>
      </c>
      <c r="X379" s="14" t="n">
        <v>2978.583</v>
      </c>
      <c r="Y379" s="13">
        <f>IF(OR(N(W379)=0,X379=""),"",X379/W379)</f>
        <v>0.17205355167034014</v>
      </c>
      <c r="Z379" s="11" t="str">
        <f>IF(AA379="A","四季持續盈利",IF(AA379="B","最新季為正/波動",IF(AA379="C","虧損收窄",IF(AA379="D","虧損擴大或轉虧","數據不足"))))</f>
        <v>四季持續盈利</v>
      </c>
      <c r="AA379" s="9" t="str">
        <f>IF(COUNT(N379:Q379)&lt;4,"—",IF(MIN(N379:Q379)&gt;0,"A",IF(Q379&gt;0,"B",IF(Q379&gt;N379,"C","D"))))</f>
        <v>A</v>
      </c>
      <c r="AB379" s="9" t="inlineStr">
        <is>
          <t>2026-06-30</t>
        </is>
      </c>
    </row>
    <row r="380" ht="15" customHeight="1">
      <c r="A380" s="9" t="n">
        <v>379</v>
      </c>
      <c r="B380" s="10" t="inlineStr">
        <is>
          <t>PINS</t>
        </is>
      </c>
      <c r="C380" s="11" t="inlineStr">
        <is>
          <t>社交與線上社群</t>
        </is>
      </c>
      <c r="D380" s="11" t="inlineStr">
        <is>
          <t>Pinterest, Inc.</t>
        </is>
      </c>
      <c r="E380" s="11" t="inlineStr">
        <is>
          <t>Internet Content &amp; Information</t>
        </is>
      </c>
      <c r="F380" s="9" t="inlineStr">
        <is>
          <t>USD</t>
        </is>
      </c>
      <c r="G380" s="11" t="inlineStr">
        <is>
          <t>25Q2 / 25Q3 / 25Q4 / 26Q1 / 26Q2</t>
        </is>
      </c>
      <c r="H380" s="12" t="n">
        <v>998.227</v>
      </c>
      <c r="I380" s="12" t="n">
        <v>1049.205</v>
      </c>
      <c r="J380" s="12" t="n">
        <v>1319.347</v>
      </c>
      <c r="K380" s="12" t="n">
        <v>1007.514</v>
      </c>
      <c r="L380" s="12" t="n">
        <v>1179.654</v>
      </c>
      <c r="M380" s="13">
        <f>IF(OR(N(H380)=0,L380=""),"",L380/H380-1)</f>
        <v>0.18174924140501103</v>
      </c>
      <c r="N380" s="14" t="n">
        <v>58.516</v>
      </c>
      <c r="O380" s="14" t="n">
        <v>301.174</v>
      </c>
      <c r="P380" s="14" t="n">
        <v>-33.195</v>
      </c>
      <c r="Q380" s="14" t="n">
        <v>-40.863</v>
      </c>
      <c r="R380" s="13">
        <f>IF(OR(N(L380)=0,Q380=""),"",Q380/L380)</f>
        <v>-0.03463981811615948</v>
      </c>
      <c r="S380" s="14" t="n">
        <v>922.3</v>
      </c>
      <c r="T380" s="13">
        <f>IF(OR(N(L380)=0,S380=""),"",S380/L380)</f>
        <v>0.7818394207114967</v>
      </c>
      <c r="U380" s="14" t="n">
        <v>-46.669</v>
      </c>
      <c r="V380" s="13">
        <f>IF(OR(N(L380)=0,U380=""),"",U380/L380)</f>
        <v>-0.03956160026584066</v>
      </c>
      <c r="W380" s="14" t="n">
        <v>4221.767</v>
      </c>
      <c r="X380" s="14" t="n">
        <v>319.883</v>
      </c>
      <c r="Y380" s="13">
        <f>IF(OR(N(W380)=0,X380=""),"",X380/W380)</f>
        <v>0.07576993235296973</v>
      </c>
      <c r="Z380" s="11" t="str">
        <f>IF(AA380="A","四季持續盈利",IF(AA380="B","最新季為正/波動",IF(AA380="C","虧損收窄",IF(AA380="D","虧損擴大或轉虧","數據不足"))))</f>
        <v>虧損擴大或轉虧</v>
      </c>
      <c r="AA380" s="9" t="str">
        <f>IF(COUNT(N380:Q380)&lt;4,"—",IF(MIN(N380:Q380)&gt;0,"A",IF(Q380&gt;0,"B",IF(Q380&gt;N380,"C","D"))))</f>
        <v>D</v>
      </c>
      <c r="AB380" s="9" t="inlineStr">
        <is>
          <t>2026-06-30</t>
        </is>
      </c>
    </row>
    <row r="381" ht="15" customHeight="1">
      <c r="A381" s="9" t="n">
        <v>380</v>
      </c>
      <c r="B381" s="10" t="inlineStr">
        <is>
          <t>PKG</t>
        </is>
      </c>
      <c r="C381" s="11" t="inlineStr">
        <is>
          <t>包裝與建材</t>
        </is>
      </c>
      <c r="D381" s="11" t="inlineStr">
        <is>
          <t>Packaging Corporation of America</t>
        </is>
      </c>
      <c r="E381" s="11" t="inlineStr">
        <is>
          <t>Packaging &amp; Containers</t>
        </is>
      </c>
      <c r="F381" s="9" t="inlineStr">
        <is>
          <t>USD</t>
        </is>
      </c>
      <c r="G381" s="11" t="inlineStr">
        <is>
          <t>25Q2 / 25Q3 / 25Q4 / 26Q1 / 26Q2</t>
        </is>
      </c>
      <c r="H381" s="12" t="n">
        <v>2171.3</v>
      </c>
      <c r="I381" s="12" t="n">
        <v>2313.4</v>
      </c>
      <c r="J381" s="12" t="n">
        <v>2363.6</v>
      </c>
      <c r="K381" s="12" t="n">
        <v>2367.8</v>
      </c>
      <c r="L381" s="12" t="n">
        <v>2489.9</v>
      </c>
      <c r="M381" s="13">
        <f>IF(OR(N(H381)=0,L381=""),"",L381/H381-1)</f>
        <v>0.14673237231151837</v>
      </c>
      <c r="N381" s="14" t="n">
        <v>350</v>
      </c>
      <c r="O381" s="14" t="n">
        <v>282.2</v>
      </c>
      <c r="P381" s="14" t="n">
        <v>272.6</v>
      </c>
      <c r="Q381" s="14" t="n">
        <v>333.2</v>
      </c>
      <c r="R381" s="13">
        <f>IF(OR(N(L381)=0,Q381=""),"",Q381/L381)</f>
        <v>0.13382063536688218</v>
      </c>
      <c r="S381" s="14" t="n">
        <v>512.5</v>
      </c>
      <c r="T381" s="13">
        <f>IF(OR(N(L381)=0,S381=""),"",S381/L381)</f>
        <v>0.20583155950038154</v>
      </c>
      <c r="U381" s="14" t="n">
        <v>192.1</v>
      </c>
      <c r="V381" s="13">
        <f>IF(OR(N(L381)=0,U381=""),"",U381/L381)</f>
        <v>0.07715169283906984</v>
      </c>
      <c r="W381" s="14" t="n">
        <v>8989.299999999999</v>
      </c>
      <c r="X381" s="14" t="n">
        <v>1255.4</v>
      </c>
      <c r="Y381" s="13">
        <f>IF(OR(N(W381)=0,X381=""),"",X381/W381)</f>
        <v>0.13965492307521166</v>
      </c>
      <c r="Z381" s="11" t="str">
        <f>IF(AA381="A","四季持續盈利",IF(AA381="B","最新季為正/波動",IF(AA381="C","虧損收窄",IF(AA381="D","虧損擴大或轉虧","數據不足"))))</f>
        <v>四季持續盈利</v>
      </c>
      <c r="AA381" s="9" t="str">
        <f>IF(COUNT(N381:Q381)&lt;4,"—",IF(MIN(N381:Q381)&gt;0,"A",IF(Q381&gt;0,"B",IF(Q381&gt;N381,"C","D"))))</f>
        <v>A</v>
      </c>
      <c r="AB381" s="9" t="inlineStr">
        <is>
          <t>2026-06-30</t>
        </is>
      </c>
    </row>
    <row r="382" ht="15" customHeight="1">
      <c r="A382" s="9" t="n">
        <v>381</v>
      </c>
      <c r="B382" s="10" t="inlineStr">
        <is>
          <t>PL</t>
        </is>
      </c>
      <c r="C382" s="11" t="inlineStr">
        <is>
          <t>太空與衛星</t>
        </is>
      </c>
      <c r="D382" s="11" t="inlineStr">
        <is>
          <t>Planet Labs PBC</t>
        </is>
      </c>
      <c r="E382" s="11" t="inlineStr">
        <is>
          <t>Aerospace &amp; Defense</t>
        </is>
      </c>
      <c r="F382" s="9" t="inlineStr">
        <is>
          <t>USD</t>
        </is>
      </c>
      <c r="G382" s="11" t="inlineStr">
        <is>
          <t>25Q3 / 25Q4 / 26Q1 / 26Q2 / 26Q3</t>
        </is>
      </c>
      <c r="H382" s="12" t="n">
        <v>73.386</v>
      </c>
      <c r="I382" s="12" t="n">
        <v>81.254</v>
      </c>
      <c r="J382" s="12" t="n">
        <v>86.822</v>
      </c>
      <c r="K382" s="12" t="n">
        <v>94.15000000000001</v>
      </c>
      <c r="L382" s="12" t="n">
        <v>116.052</v>
      </c>
      <c r="M382" s="13">
        <f>IF(OR(N(H382)=0,L382=""),"",L382/H382-1)</f>
        <v>0.581391546071458</v>
      </c>
      <c r="N382" s="14" t="n">
        <v>-18.34</v>
      </c>
      <c r="O382" s="14" t="n">
        <v>-36.002</v>
      </c>
      <c r="P382" s="14" t="n">
        <v>-34.888</v>
      </c>
      <c r="Q382" s="14" t="n">
        <v>-13.509</v>
      </c>
      <c r="R382" s="13">
        <f>IF(OR(N(L382)=0,Q382=""),"",Q382/L382)</f>
        <v>-0.11640471512770137</v>
      </c>
      <c r="S382" s="14" t="n">
        <v>65.63200000000001</v>
      </c>
      <c r="T382" s="13">
        <f>IF(OR(N(L382)=0,S382=""),"",S382/L382)</f>
        <v>0.5655395857029607</v>
      </c>
      <c r="U382" s="14" t="n">
        <v>-9.353</v>
      </c>
      <c r="V382" s="13">
        <f>IF(OR(N(L382)=0,U382=""),"",U382/L382)</f>
        <v>-0.08059318236652534</v>
      </c>
      <c r="W382" s="14" t="n">
        <v>307.727</v>
      </c>
      <c r="X382" s="14" t="n">
        <v>-95.07299999999999</v>
      </c>
      <c r="Y382" s="13">
        <f>IF(OR(N(W382)=0,X382=""),"",X382/W382)</f>
        <v>-0.3089524156151394</v>
      </c>
      <c r="Z382" s="11" t="str">
        <f>IF(AA382="A","四季持續盈利",IF(AA382="B","最新季為正/波動",IF(AA382="C","虧損收窄",IF(AA382="D","虧損擴大或轉虧","數據不足"))))</f>
        <v>虧損收窄</v>
      </c>
      <c r="AA382" s="9" t="str">
        <f>IF(COUNT(N382:Q382)&lt;4,"—",IF(MIN(N382:Q382)&gt;0,"A",IF(Q382&gt;0,"B",IF(Q382&gt;N382,"C","D"))))</f>
        <v>C</v>
      </c>
      <c r="AB382" s="9" t="inlineStr">
        <is>
          <t>2026-07-31</t>
        </is>
      </c>
    </row>
    <row r="383" ht="15" customHeight="1">
      <c r="A383" s="9" t="n">
        <v>382</v>
      </c>
      <c r="B383" s="10" t="inlineStr">
        <is>
          <t>PLD</t>
        </is>
      </c>
      <c r="C383" s="11" t="inlineStr">
        <is>
          <t>工業與物流REIT</t>
        </is>
      </c>
      <c r="D383" s="11" t="inlineStr">
        <is>
          <t>Prologis, Inc.</t>
        </is>
      </c>
      <c r="E383" s="11" t="inlineStr">
        <is>
          <t>REIT - Industrial</t>
        </is>
      </c>
      <c r="F383" s="9" t="inlineStr">
        <is>
          <t>USD</t>
        </is>
      </c>
      <c r="G383" s="11" t="inlineStr">
        <is>
          <t>25Q2 / 25Q3 / 25Q4 / 26Q1 / 26Q2</t>
        </is>
      </c>
      <c r="H383" s="12" t="n">
        <v>2183.869</v>
      </c>
      <c r="I383" s="12" t="n">
        <v>2213.881</v>
      </c>
      <c r="J383" s="12" t="n">
        <v>2252.712</v>
      </c>
      <c r="K383" s="12" t="n">
        <v>2297.723</v>
      </c>
      <c r="L383" s="12" t="n">
        <v>2425.452</v>
      </c>
      <c r="M383" s="13">
        <f>IF(OR(N(H383)=0,L383=""),"",L383/H383-1)</f>
        <v>0.1106215620076112</v>
      </c>
      <c r="N383" s="14" t="n">
        <v>892.591</v>
      </c>
      <c r="O383" s="14" t="n">
        <v>852.357</v>
      </c>
      <c r="P383" s="14" t="n">
        <v>827.032</v>
      </c>
      <c r="Q383" s="14" t="n">
        <v>959.691</v>
      </c>
      <c r="R383" s="13">
        <f>IF(OR(N(L383)=0,Q383=""),"",Q383/L383)</f>
        <v>0.39567511540117056</v>
      </c>
      <c r="S383" s="14" t="n">
        <v>1799.001</v>
      </c>
      <c r="T383" s="13">
        <f>IF(OR(N(L383)=0,S383=""),"",S383/L383)</f>
        <v>0.7417178323875302</v>
      </c>
      <c r="U383" s="14" t="n">
        <v>1062.191</v>
      </c>
      <c r="V383" s="13">
        <f>IF(OR(N(L383)=0,U383=""),"",U383/L383)</f>
        <v>0.43793527969219753</v>
      </c>
      <c r="W383" s="14" t="n">
        <v>8790.127</v>
      </c>
      <c r="X383" s="14" t="n">
        <v>3414.302</v>
      </c>
      <c r="Y383" s="13">
        <f>IF(OR(N(W383)=0,X383=""),"",X383/W383)</f>
        <v>0.3884246496097269</v>
      </c>
      <c r="Z383" s="11" t="str">
        <f>IF(AA383="A","四季持續盈利",IF(AA383="B","最新季為正/波動",IF(AA383="C","虧損收窄",IF(AA383="D","虧損擴大或轉虧","數據不足"))))</f>
        <v>四季持續盈利</v>
      </c>
      <c r="AA383" s="9" t="str">
        <f>IF(COUNT(N383:Q383)&lt;4,"—",IF(MIN(N383:Q383)&gt;0,"A",IF(Q383&gt;0,"B",IF(Q383&gt;N383,"C","D"))))</f>
        <v>A</v>
      </c>
      <c r="AB383" s="9" t="inlineStr">
        <is>
          <t>2026-06-30</t>
        </is>
      </c>
    </row>
    <row r="384" ht="15" customHeight="1">
      <c r="A384" s="9" t="n">
        <v>383</v>
      </c>
      <c r="B384" s="10" t="inlineStr">
        <is>
          <t>PLTK</t>
        </is>
      </c>
      <c r="C384" s="11" t="inlineStr">
        <is>
          <t>互動遊戲</t>
        </is>
      </c>
      <c r="D384" s="11" t="inlineStr">
        <is>
          <t>Playtika Holding Corp.</t>
        </is>
      </c>
      <c r="E384" s="11" t="inlineStr">
        <is>
          <t>Electronic Gaming &amp; Multimedia</t>
        </is>
      </c>
      <c r="F384" s="9" t="inlineStr">
        <is>
          <t>USD</t>
        </is>
      </c>
      <c r="G384" s="11" t="inlineStr">
        <is>
          <t>25Q2 / 25Q3 / 25Q4 / 26Q1 / 26Q2</t>
        </is>
      </c>
      <c r="H384" s="12" t="n">
        <v>696</v>
      </c>
      <c r="I384" s="12" t="n">
        <v>674.6</v>
      </c>
      <c r="J384" s="12" t="n">
        <v>678.8</v>
      </c>
      <c r="K384" s="12" t="n">
        <v>744.7</v>
      </c>
      <c r="L384" s="12" t="n">
        <v>731.1</v>
      </c>
      <c r="M384" s="13">
        <f>IF(OR(N(H384)=0,L384=""),"",L384/H384-1)</f>
        <v>0.05043103448275876</v>
      </c>
      <c r="N384" s="14" t="n">
        <v>99.90000000000001</v>
      </c>
      <c r="O384" s="14" t="n">
        <v>-276.5</v>
      </c>
      <c r="P384" s="14" t="n">
        <v>-49.6</v>
      </c>
      <c r="Q384" s="14" t="n">
        <v>135.1</v>
      </c>
      <c r="R384" s="13">
        <f>IF(OR(N(L384)=0,Q384=""),"",Q384/L384)</f>
        <v>0.1847900424018602</v>
      </c>
      <c r="S384" s="14" t="n">
        <v>538.2</v>
      </c>
      <c r="T384" s="13">
        <f>IF(OR(N(L384)=0,S384=""),"",S384/L384)</f>
        <v>0.7361510053344276</v>
      </c>
      <c r="U384" s="14" t="n">
        <v>48</v>
      </c>
      <c r="V384" s="13">
        <f>IF(OR(N(L384)=0,U384=""),"",U384/L384)</f>
        <v>0.06565449322938038</v>
      </c>
      <c r="W384" s="14" t="n">
        <v>2755.4</v>
      </c>
      <c r="X384" s="14" t="n">
        <v>1.3</v>
      </c>
      <c r="Y384" s="13">
        <f>IF(OR(N(W384)=0,X384=""),"",X384/W384)</f>
        <v>0.0004718008274660666</v>
      </c>
      <c r="Z384" s="11" t="str">
        <f>IF(AA384="A","四季持續盈利",IF(AA384="B","最新季為正/波動",IF(AA384="C","虧損收窄",IF(AA384="D","虧損擴大或轉虧","數據不足"))))</f>
        <v>最新季為正/波動</v>
      </c>
      <c r="AA384" s="9" t="str">
        <f>IF(COUNT(N384:Q384)&lt;4,"—",IF(MIN(N384:Q384)&gt;0,"A",IF(Q384&gt;0,"B",IF(Q384&gt;N384,"C","D"))))</f>
        <v>B</v>
      </c>
      <c r="AB384" s="9" t="inlineStr">
        <is>
          <t>2026-06-30</t>
        </is>
      </c>
    </row>
    <row r="385" ht="15" customHeight="1">
      <c r="A385" s="9" t="n">
        <v>384</v>
      </c>
      <c r="B385" s="10" t="inlineStr">
        <is>
          <t>PLTR</t>
        </is>
      </c>
      <c r="C385" s="11" t="inlineStr">
        <is>
          <t>資料/分析平台</t>
        </is>
      </c>
      <c r="D385" s="11" t="inlineStr">
        <is>
          <t>Palantir Technologies Inc.</t>
        </is>
      </c>
      <c r="E385" s="11" t="inlineStr">
        <is>
          <t>G3 AI</t>
        </is>
      </c>
      <c r="F385" s="9" t="inlineStr">
        <is>
          <t>USD</t>
        </is>
      </c>
      <c r="G385" s="11" t="inlineStr">
        <is>
          <t>25Q2 / 25Q3 / 25Q4 / 26Q1 / 26Q2</t>
        </is>
      </c>
      <c r="H385" s="12" t="n">
        <v>1003.697</v>
      </c>
      <c r="I385" s="12" t="n">
        <v>1181.092</v>
      </c>
      <c r="J385" s="12" t="n">
        <v>1406.802</v>
      </c>
      <c r="K385" s="12" t="n">
        <v>1632.583</v>
      </c>
      <c r="L385" s="12" t="n">
        <v>1935.464</v>
      </c>
      <c r="M385" s="13">
        <f>IF(OR(N(H385)=0,L385=""),"",L385/H385-1)</f>
        <v>0.928334945705726</v>
      </c>
      <c r="N385" s="14" t="n">
        <v>393.256</v>
      </c>
      <c r="O385" s="14" t="n">
        <v>575.394</v>
      </c>
      <c r="P385" s="14" t="n">
        <v>753.998</v>
      </c>
      <c r="Q385" s="14" t="n">
        <v>912.004</v>
      </c>
      <c r="R385" s="13">
        <f>IF(OR(N(L385)=0,Q385=""),"",Q385/L385)</f>
        <v>0.4712069043908851</v>
      </c>
      <c r="S385" s="14" t="n">
        <v>1638.594</v>
      </c>
      <c r="T385" s="13">
        <f>IF(OR(N(L385)=0,S385=""),"",S385/L385)</f>
        <v>0.8466155919200771</v>
      </c>
      <c r="U385" s="14" t="n">
        <v>1061.89</v>
      </c>
      <c r="V385" s="13">
        <f>IF(OR(N(L385)=0,U385=""),"",U385/L385)</f>
        <v>0.5486487994610079</v>
      </c>
      <c r="W385" s="14" t="n">
        <v>4475.446</v>
      </c>
      <c r="X385" s="14" t="n">
        <v>1414.015</v>
      </c>
      <c r="Y385" s="13">
        <f>IF(OR(N(W385)=0,X385=""),"",X385/W385)</f>
        <v>0.31594951653980413</v>
      </c>
      <c r="Z385" s="11" t="str">
        <f>IF(AA385="A","四季持續盈利",IF(AA385="B","最新季為正/波動",IF(AA385="C","虧損收窄",IF(AA385="D","虧損擴大或轉虧","數據不足"))))</f>
        <v>四季持續盈利</v>
      </c>
      <c r="AA385" s="9" t="str">
        <f>IF(COUNT(N385:Q385)&lt;4,"—",IF(MIN(N385:Q385)&gt;0,"A",IF(Q385&gt;0,"B",IF(Q385&gt;N385,"C","D"))))</f>
        <v>A</v>
      </c>
      <c r="AB385" s="9" t="inlineStr">
        <is>
          <t>2026-06-30</t>
        </is>
      </c>
    </row>
    <row r="386" ht="15" customHeight="1">
      <c r="A386" s="9" t="n">
        <v>385</v>
      </c>
      <c r="B386" s="10" t="inlineStr">
        <is>
          <t>PM</t>
        </is>
      </c>
      <c r="C386" s="11" t="inlineStr">
        <is>
          <t>煙草與尼古丁</t>
        </is>
      </c>
      <c r="D386" s="11" t="inlineStr">
        <is>
          <t>Philip Morris International Inc.</t>
        </is>
      </c>
      <c r="E386" s="11" t="inlineStr">
        <is>
          <t>Tobacco</t>
        </is>
      </c>
      <c r="F386" s="9" t="inlineStr">
        <is>
          <t>USD</t>
        </is>
      </c>
      <c r="G386" s="11" t="inlineStr">
        <is>
          <t>25Q2 / 25Q3 / 25Q4 / 26Q1 / 26Q2</t>
        </is>
      </c>
      <c r="H386" s="12" t="n">
        <v>10140</v>
      </c>
      <c r="I386" s="12" t="n">
        <v>10845</v>
      </c>
      <c r="J386" s="12" t="n">
        <v>10362</v>
      </c>
      <c r="K386" s="12" t="n">
        <v>10146</v>
      </c>
      <c r="L386" s="12" t="n">
        <v>11192</v>
      </c>
      <c r="M386" s="13">
        <f>IF(OR(N(H386)=0,L386=""),"",L386/H386-1)</f>
        <v>0.10374753451676533</v>
      </c>
      <c r="N386" s="14" t="n">
        <v>4263</v>
      </c>
      <c r="O386" s="14" t="n">
        <v>3373</v>
      </c>
      <c r="P386" s="14" t="n">
        <v>3893</v>
      </c>
      <c r="Q386" s="14" t="n">
        <v>4530</v>
      </c>
      <c r="R386" s="13">
        <f>IF(OR(N(L386)=0,Q386=""),"",Q386/L386)</f>
        <v>0.40475339528234455</v>
      </c>
      <c r="S386" s="14" t="n">
        <v>7659</v>
      </c>
      <c r="T386" s="13">
        <f>IF(OR(N(L386)=0,S386=""),"",S386/L386)</f>
        <v>0.6843280914939243</v>
      </c>
      <c r="U386" s="14" t="n">
        <v>2817</v>
      </c>
      <c r="V386" s="13">
        <f>IF(OR(N(L386)=0,U386=""),"",U386/L386)</f>
        <v>0.2516976411722659</v>
      </c>
      <c r="W386" s="14" t="n">
        <v>40648</v>
      </c>
      <c r="X386" s="14" t="n">
        <v>14933</v>
      </c>
      <c r="Y386" s="13">
        <f>IF(OR(N(W386)=0,X386=""),"",X386/W386)</f>
        <v>0.36737354851407206</v>
      </c>
      <c r="Z386" s="11" t="str">
        <f>IF(AA386="A","四季持續盈利",IF(AA386="B","最新季為正/波動",IF(AA386="C","虧損收窄",IF(AA386="D","虧損擴大或轉虧","數據不足"))))</f>
        <v>四季持續盈利</v>
      </c>
      <c r="AA386" s="9" t="str">
        <f>IF(COUNT(N386:Q386)&lt;4,"—",IF(MIN(N386:Q386)&gt;0,"A",IF(Q386&gt;0,"B",IF(Q386&gt;N386,"C","D"))))</f>
        <v>A</v>
      </c>
      <c r="AB386" s="9" t="inlineStr">
        <is>
          <t>2026-06-30</t>
        </is>
      </c>
    </row>
    <row r="387" ht="15" customHeight="1">
      <c r="A387" s="9" t="n">
        <v>386</v>
      </c>
      <c r="B387" s="10" t="inlineStr">
        <is>
          <t>PNC</t>
        </is>
      </c>
      <c r="C387" s="11" t="inlineStr">
        <is>
          <t>區域與社區銀行</t>
        </is>
      </c>
      <c r="D387" s="11" t="inlineStr">
        <is>
          <t>The PNC Financial Services Group, Inc.</t>
        </is>
      </c>
      <c r="E387" s="11" t="inlineStr">
        <is>
          <t>Banks - Regional</t>
        </is>
      </c>
      <c r="F387" s="9" t="inlineStr">
        <is>
          <t>USD</t>
        </is>
      </c>
      <c r="G387" s="11" t="inlineStr">
        <is>
          <t>25Q2 / 25Q3 / 25Q4 / 26Q1 / 26Q2</t>
        </is>
      </c>
      <c r="H387" s="12" t="n">
        <v>5662</v>
      </c>
      <c r="I387" s="12" t="n">
        <v>5900</v>
      </c>
      <c r="J387" s="12" t="n">
        <v>6068</v>
      </c>
      <c r="K387" s="12" t="n">
        <v>6157</v>
      </c>
      <c r="L387" s="12" t="n">
        <v>6429</v>
      </c>
      <c r="M387" s="13">
        <f>IF(OR(N(H387)=0,L387=""),"",L387/H387-1)</f>
        <v>0.13546450017661593</v>
      </c>
      <c r="N387" s="14" t="n"/>
      <c r="O387" s="14" t="n"/>
      <c r="P387" s="14" t="n"/>
      <c r="Q387" s="14" t="n"/>
      <c r="R387" s="13" t="str">
        <f>IF(OR(N(L387)=0,Q387=""),"",Q387/L387)</f>
        <v/>
      </c>
      <c r="S387" s="14" t="n"/>
      <c r="T387" s="13" t="str">
        <f>IF(OR(N(L387)=0,S387=""),"",S387/L387)</f>
        <v/>
      </c>
      <c r="U387" s="14" t="n">
        <v>2040</v>
      </c>
      <c r="V387" s="13">
        <f>IF(OR(N(L387)=0,U387=""),"",U387/L387)</f>
        <v>0.31731217918805416</v>
      </c>
      <c r="W387" s="14" t="n">
        <v>23077</v>
      </c>
      <c r="X387" s="14" t="n"/>
      <c r="Y387" s="13" t="str">
        <f>IF(OR(N(W387)=0,X387=""),"",X387/W387)</f>
        <v/>
      </c>
      <c r="Z387" s="11" t="str">
        <f>IF(AA387="A","四季持續盈利",IF(AA387="B","最新季為正/波動",IF(AA387="C","虧損收窄",IF(AA387="D","虧損擴大或轉虧","數據不足"))))</f>
        <v>數據不足</v>
      </c>
      <c r="AA387" s="9" t="str">
        <f>IF(COUNT(N387:Q387)&lt;4,"—",IF(MIN(N387:Q387)&gt;0,"A",IF(Q387&gt;0,"B",IF(Q387&gt;N387,"C","D"))))</f>
        <v>—</v>
      </c>
      <c r="AB387" s="9" t="inlineStr">
        <is>
          <t>2026-06-30</t>
        </is>
      </c>
    </row>
    <row r="388" ht="15" customHeight="1">
      <c r="A388" s="9" t="n">
        <v>387</v>
      </c>
      <c r="B388" s="10" t="inlineStr">
        <is>
          <t>POET</t>
        </is>
      </c>
      <c r="C388" s="11" t="inlineStr">
        <is>
          <t>光通訊/CPO</t>
        </is>
      </c>
      <c r="D388" s="11" t="inlineStr">
        <is>
          <t>POET Technologies Inc.</t>
        </is>
      </c>
      <c r="E388" s="11" t="inlineStr">
        <is>
          <t>D2 矽光</t>
        </is>
      </c>
      <c r="F388" s="9" t="inlineStr">
        <is>
          <t>USD</t>
        </is>
      </c>
      <c r="G388" s="11" t="inlineStr">
        <is>
          <t>25Q2 / 25Q3 / 25Q4 / 26Q1 / 26Q2</t>
        </is>
      </c>
      <c r="H388" s="12" t="n">
        <v>0.268469</v>
      </c>
      <c r="I388" s="12" t="n">
        <v>0.298434</v>
      </c>
      <c r="J388" s="12" t="n">
        <v>0.341202</v>
      </c>
      <c r="K388" s="12" t="n">
        <v>0.503389</v>
      </c>
      <c r="L388" s="12" t="n">
        <v>0.569925</v>
      </c>
      <c r="M388" s="13">
        <f>IF(OR(N(H388)=0,L388=""),"",L388/H388-1)</f>
        <v>1.122870797000771</v>
      </c>
      <c r="N388" s="14" t="n">
        <v>-7.738399</v>
      </c>
      <c r="O388" s="14" t="n">
        <v>-9.611003</v>
      </c>
      <c r="P388" s="14" t="n">
        <v>-14.617658</v>
      </c>
      <c r="Q388" s="14" t="n">
        <v>-14.017971</v>
      </c>
      <c r="R388" s="13">
        <f>IF(OR(N(L388)=0,Q388=""),"",Q388/L388)</f>
        <v>-24.59616791683116</v>
      </c>
      <c r="S388" s="14" t="n"/>
      <c r="T388" s="13" t="str">
        <f>IF(OR(N(L388)=0,S388=""),"",S388/L388)</f>
        <v/>
      </c>
      <c r="U388" s="14" t="n">
        <v>-11.33806</v>
      </c>
      <c r="V388" s="13">
        <f>IF(OR(N(L388)=0,U388=""),"",U388/L388)</f>
        <v>-19.893950958459445</v>
      </c>
      <c r="W388" s="14" t="n">
        <v>1.074865</v>
      </c>
      <c r="X388" s="14" t="n">
        <v>-33.863621</v>
      </c>
      <c r="Y388" s="13">
        <f>IF(OR(N(W388)=0,X388=""),"",X388/W388)</f>
        <v>-31.504999232461753</v>
      </c>
      <c r="Z388" s="11" t="str">
        <f>IF(AA388="A","四季持續盈利",IF(AA388="B","最新季為正/波動",IF(AA388="C","虧損收窄",IF(AA388="D","虧損擴大或轉虧","數據不足"))))</f>
        <v>虧損擴大或轉虧</v>
      </c>
      <c r="AA388" s="9" t="str">
        <f>IF(COUNT(N388:Q388)&lt;4,"—",IF(MIN(N388:Q388)&gt;0,"A",IF(Q388&gt;0,"B",IF(Q388&gt;N388,"C","D"))))</f>
        <v>D</v>
      </c>
      <c r="AB388" s="9" t="inlineStr">
        <is>
          <t>2026-06-30</t>
        </is>
      </c>
    </row>
    <row r="389" ht="15" customHeight="1">
      <c r="A389" s="9" t="n">
        <v>388</v>
      </c>
      <c r="B389" s="10" t="inlineStr">
        <is>
          <t>POOL</t>
        </is>
      </c>
      <c r="C389" s="11" t="inlineStr">
        <is>
          <t>家居耐用與休閒用品</t>
        </is>
      </c>
      <c r="D389" s="11" t="inlineStr">
        <is>
          <t>Pool Corporation</t>
        </is>
      </c>
      <c r="E389" s="11" t="inlineStr">
        <is>
          <t>Industrial Distribution</t>
        </is>
      </c>
      <c r="F389" s="9" t="inlineStr">
        <is>
          <t>USD</t>
        </is>
      </c>
      <c r="G389" s="11" t="inlineStr">
        <is>
          <t>25Q2 / 25Q3 / 25Q4 / 26Q1 / 26Q2</t>
        </is>
      </c>
      <c r="H389" s="12" t="n">
        <v>1784.53</v>
      </c>
      <c r="I389" s="12" t="n">
        <v>1451.131</v>
      </c>
      <c r="J389" s="12" t="n">
        <v>982.2089999999999</v>
      </c>
      <c r="K389" s="12" t="n">
        <v>1138.014</v>
      </c>
      <c r="L389" s="12" t="n">
        <v>1822.938</v>
      </c>
      <c r="M389" s="13">
        <f>IF(OR(N(H389)=0,L389=""),"",L389/H389-1)</f>
        <v>0.021522753890380164</v>
      </c>
      <c r="N389" s="14" t="n">
        <v>177.987</v>
      </c>
      <c r="O389" s="14" t="n">
        <v>52.009</v>
      </c>
      <c r="P389" s="14" t="n">
        <v>82.61</v>
      </c>
      <c r="Q389" s="14" t="n">
        <v>267.679</v>
      </c>
      <c r="R389" s="13">
        <f>IF(OR(N(L389)=0,Q389=""),"",Q389/L389)</f>
        <v>0.14683933298883448</v>
      </c>
      <c r="S389" s="14" t="n">
        <v>540.7619999999999</v>
      </c>
      <c r="T389" s="13">
        <f>IF(OR(N(L389)=0,S389=""),"",S389/L389)</f>
        <v>0.29664311128518905</v>
      </c>
      <c r="U389" s="14" t="n">
        <v>188.089</v>
      </c>
      <c r="V389" s="13">
        <f>IF(OR(N(L389)=0,U389=""),"",U389/L389)</f>
        <v>0.10317904393896007</v>
      </c>
      <c r="W389" s="14" t="n">
        <v>5289.396</v>
      </c>
      <c r="X389" s="14" t="n">
        <v>580.204</v>
      </c>
      <c r="Y389" s="13">
        <f>IF(OR(N(W389)=0,X389=""),"",X389/W389)</f>
        <v>0.1096919194554539</v>
      </c>
      <c r="Z389" s="11" t="str">
        <f>IF(AA389="A","四季持續盈利",IF(AA389="B","最新季為正/波動",IF(AA389="C","虧損收窄",IF(AA389="D","虧損擴大或轉虧","數據不足"))))</f>
        <v>四季持續盈利</v>
      </c>
      <c r="AA389" s="9" t="str">
        <f>IF(COUNT(N389:Q389)&lt;4,"—",IF(MIN(N389:Q389)&gt;0,"A",IF(Q389&gt;0,"B",IF(Q389&gt;N389,"C","D"))))</f>
        <v>A</v>
      </c>
      <c r="AB389" s="9" t="inlineStr">
        <is>
          <t>2026-06-30</t>
        </is>
      </c>
    </row>
    <row r="390" ht="15" customHeight="1">
      <c r="A390" s="9" t="n">
        <v>389</v>
      </c>
      <c r="B390" s="10" t="inlineStr">
        <is>
          <t>PRIM</t>
        </is>
      </c>
      <c r="C390" s="11" t="inlineStr">
        <is>
          <t>工程建設/EPC</t>
        </is>
      </c>
      <c r="D390" s="11" t="inlineStr">
        <is>
          <t>Primoris Services Corporation</t>
        </is>
      </c>
      <c r="E390" s="11" t="inlineStr">
        <is>
          <t>Engineering &amp; Construction</t>
        </is>
      </c>
      <c r="F390" s="9" t="inlineStr">
        <is>
          <t>USD</t>
        </is>
      </c>
      <c r="G390" s="11" t="inlineStr">
        <is>
          <t>25Q2 / 25Q3 / 25Q4 / 26Q1 / 26Q2</t>
        </is>
      </c>
      <c r="H390" s="12" t="n">
        <v>1890.7</v>
      </c>
      <c r="I390" s="12" t="n">
        <v>2178.422</v>
      </c>
      <c r="J390" s="12" t="n">
        <v>1857.621</v>
      </c>
      <c r="K390" s="12" t="n">
        <v>1559.9</v>
      </c>
      <c r="L390" s="12" t="n">
        <v>1688.2</v>
      </c>
      <c r="M390" s="13">
        <f>IF(OR(N(H390)=0,L390=""),"",L390/H390-1)</f>
        <v>-0.10710318929497009</v>
      </c>
      <c r="N390" s="14" t="n">
        <v>138.02</v>
      </c>
      <c r="O390" s="14" t="n">
        <v>77.538</v>
      </c>
      <c r="P390" s="14" t="n">
        <v>28.9</v>
      </c>
      <c r="Q390" s="14" t="n">
        <v>-23.9</v>
      </c>
      <c r="R390" s="13">
        <f>IF(OR(N(L390)=0,Q390=""),"",Q390/L390)</f>
        <v>-0.014157090392133632</v>
      </c>
      <c r="S390" s="14" t="n">
        <v>82.40000000000001</v>
      </c>
      <c r="T390" s="13">
        <f>IF(OR(N(L390)=0,S390=""),"",S390/L390)</f>
        <v>0.04880938277455278</v>
      </c>
      <c r="U390" s="14" t="n">
        <v>-24.2</v>
      </c>
      <c r="V390" s="13">
        <f>IF(OR(N(L390)=0,U390=""),"",U390/L390)</f>
        <v>-0.014334794455633218</v>
      </c>
      <c r="W390" s="14" t="n">
        <v>7574.9</v>
      </c>
      <c r="X390" s="14" t="n">
        <v>413.9</v>
      </c>
      <c r="Y390" s="13">
        <f>IF(OR(N(W390)=0,X390=""),"",X390/W390)</f>
        <v>0.0546409853595427</v>
      </c>
      <c r="Z390" s="11" t="str">
        <f>IF(AA390="A","四季持續盈利",IF(AA390="B","最新季為正/波動",IF(AA390="C","虧損收窄",IF(AA390="D","虧損擴大或轉虧","數據不足"))))</f>
        <v>虧損擴大或轉虧</v>
      </c>
      <c r="AA390" s="9" t="str">
        <f>IF(COUNT(N390:Q390)&lt;4,"—",IF(MIN(N390:Q390)&gt;0,"A",IF(Q390&gt;0,"B",IF(Q390&gt;N390,"C","D"))))</f>
        <v>D</v>
      </c>
      <c r="AB390" s="9" t="inlineStr">
        <is>
          <t>2026-06-30</t>
        </is>
      </c>
    </row>
    <row r="391" ht="15" customHeight="1">
      <c r="A391" s="9" t="n">
        <v>390</v>
      </c>
      <c r="B391" s="10" t="inlineStr">
        <is>
          <t>PRU</t>
        </is>
      </c>
      <c r="C391" s="11" t="inlineStr">
        <is>
          <t>壽險與年金</t>
        </is>
      </c>
      <c r="D391" s="11" t="inlineStr">
        <is>
          <t>Prudential Financial, Inc.</t>
        </is>
      </c>
      <c r="E391" s="11" t="inlineStr">
        <is>
          <t>Insurance - Life</t>
        </is>
      </c>
      <c r="F391" s="9" t="inlineStr">
        <is>
          <t>USD</t>
        </is>
      </c>
      <c r="G391" s="11" t="inlineStr">
        <is>
          <t>25Q2 / 25Q3 / 25Q4 / 26Q1 / 26Q2</t>
        </is>
      </c>
      <c r="H391" s="12" t="n">
        <v>13804</v>
      </c>
      <c r="I391" s="12" t="n">
        <v>17950</v>
      </c>
      <c r="J391" s="12" t="n">
        <v>15676</v>
      </c>
      <c r="K391" s="12" t="n">
        <v>15546</v>
      </c>
      <c r="L391" s="12" t="n">
        <v>15692</v>
      </c>
      <c r="M391" s="13">
        <f>IF(OR(N(H391)=0,L391=""),"",L391/H391-1)</f>
        <v>0.13677195015937404</v>
      </c>
      <c r="N391" s="14" t="n"/>
      <c r="O391" s="14" t="n"/>
      <c r="P391" s="14" t="n"/>
      <c r="Q391" s="14" t="n"/>
      <c r="R391" s="13" t="str">
        <f>IF(OR(N(L391)=0,Q391=""),"",Q391/L391)</f>
        <v/>
      </c>
      <c r="S391" s="14" t="n"/>
      <c r="T391" s="13" t="str">
        <f>IF(OR(N(L391)=0,S391=""),"",S391/L391)</f>
        <v/>
      </c>
      <c r="U391" s="14" t="n">
        <v>985</v>
      </c>
      <c r="V391" s="13">
        <f>IF(OR(N(L391)=0,U391=""),"",U391/L391)</f>
        <v>0.06277083864389497</v>
      </c>
      <c r="W391" s="14" t="n">
        <v>60967</v>
      </c>
      <c r="X391" s="14" t="n"/>
      <c r="Y391" s="13" t="str">
        <f>IF(OR(N(W391)=0,X391=""),"",X391/W391)</f>
        <v/>
      </c>
      <c r="Z391" s="11" t="str">
        <f>IF(AA391="A","四季持續盈利",IF(AA391="B","最新季為正/波動",IF(AA391="C","虧損收窄",IF(AA391="D","虧損擴大或轉虧","數據不足"))))</f>
        <v>數據不足</v>
      </c>
      <c r="AA391" s="9" t="str">
        <f>IF(COUNT(N391:Q391)&lt;4,"—",IF(MIN(N391:Q391)&gt;0,"A",IF(Q391&gt;0,"B",IF(Q391&gt;N391,"C","D"))))</f>
        <v>—</v>
      </c>
      <c r="AB391" s="9" t="inlineStr">
        <is>
          <t>2026-06-30</t>
        </is>
      </c>
    </row>
    <row r="392" ht="15" customHeight="1">
      <c r="A392" s="9" t="n">
        <v>391</v>
      </c>
      <c r="B392" s="10" t="inlineStr">
        <is>
          <t>PSA</t>
        </is>
      </c>
      <c r="C392" s="11" t="inlineStr">
        <is>
          <t>特殊型REIT（自存倉/賭場/廣告牌）</t>
        </is>
      </c>
      <c r="D392" s="11" t="inlineStr">
        <is>
          <t>Public Storage</t>
        </is>
      </c>
      <c r="E392" s="11" t="inlineStr">
        <is>
          <t>REIT - Industrial</t>
        </is>
      </c>
      <c r="F392" s="9" t="inlineStr">
        <is>
          <t>USD</t>
        </is>
      </c>
      <c r="G392" s="11" t="inlineStr">
        <is>
          <t>25Q2 / 25Q3 / 25Q4 / 26Q1 / 26Q2</t>
        </is>
      </c>
      <c r="H392" s="12" t="n">
        <v>1201.094</v>
      </c>
      <c r="I392" s="12" t="n">
        <v>1224.043</v>
      </c>
      <c r="J392" s="12" t="n">
        <v>1215.792</v>
      </c>
      <c r="K392" s="12" t="n">
        <v>1217.741</v>
      </c>
      <c r="L392" s="12" t="n">
        <v>1232.881</v>
      </c>
      <c r="M392" s="13">
        <f>IF(OR(N(H392)=0,L392=""),"",L392/H392-1)</f>
        <v>0.026465039372438826</v>
      </c>
      <c r="N392" s="14" t="n">
        <v>575.422</v>
      </c>
      <c r="O392" s="14" t="n">
        <v>565.683</v>
      </c>
      <c r="P392" s="14" t="n">
        <v>556.724</v>
      </c>
      <c r="Q392" s="14" t="n">
        <v>556.649</v>
      </c>
      <c r="R392" s="13">
        <f>IF(OR(N(L392)=0,Q392=""),"",Q392/L392)</f>
        <v>0.4515026186631151</v>
      </c>
      <c r="S392" s="14" t="n">
        <v>888.775</v>
      </c>
      <c r="T392" s="13">
        <f>IF(OR(N(L392)=0,S392=""),"",S392/L392)</f>
        <v>0.7208927706729197</v>
      </c>
      <c r="U392" s="14" t="n">
        <v>499.96</v>
      </c>
      <c r="V392" s="13">
        <f>IF(OR(N(L392)=0,U392=""),"",U392/L392)</f>
        <v>0.40552170079675165</v>
      </c>
      <c r="W392" s="14" t="n">
        <v>4824.113</v>
      </c>
      <c r="X392" s="14" t="n">
        <v>2260.491</v>
      </c>
      <c r="Y392" s="13">
        <f>IF(OR(N(W392)=0,X392=""),"",X392/W392)</f>
        <v>0.46858168537926037</v>
      </c>
      <c r="Z392" s="11" t="str">
        <f>IF(AA392="A","四季持續盈利",IF(AA392="B","最新季為正/波動",IF(AA392="C","虧損收窄",IF(AA392="D","虧損擴大或轉虧","數據不足"))))</f>
        <v>四季持續盈利</v>
      </c>
      <c r="AA392" s="9" t="str">
        <f>IF(COUNT(N392:Q392)&lt;4,"—",IF(MIN(N392:Q392)&gt;0,"A",IF(Q392&gt;0,"B",IF(Q392&gt;N392,"C","D"))))</f>
        <v>A</v>
      </c>
      <c r="AB392" s="9" t="inlineStr">
        <is>
          <t>2026-06-30</t>
        </is>
      </c>
    </row>
    <row r="393" ht="15" customHeight="1">
      <c r="A393" s="9" t="n">
        <v>392</v>
      </c>
      <c r="B393" s="10" t="inlineStr">
        <is>
          <t>PSX</t>
        </is>
      </c>
      <c r="C393" s="11" t="inlineStr">
        <is>
          <t>煉油與成品油</t>
        </is>
      </c>
      <c r="D393" s="11" t="inlineStr">
        <is>
          <t>Phillips 66</t>
        </is>
      </c>
      <c r="E393" s="11" t="inlineStr">
        <is>
          <t>Oil &amp; Gas Refining &amp; Marketing</t>
        </is>
      </c>
      <c r="F393" s="9" t="inlineStr">
        <is>
          <t>USD</t>
        </is>
      </c>
      <c r="G393" s="11" t="inlineStr">
        <is>
          <t>25Q2 / 25Q3 / 25Q4 / 26Q1 / 26Q2</t>
        </is>
      </c>
      <c r="H393" s="12" t="n">
        <v>33323</v>
      </c>
      <c r="I393" s="12" t="n">
        <v>34515</v>
      </c>
      <c r="J393" s="12" t="n">
        <v>34108</v>
      </c>
      <c r="K393" s="12" t="n">
        <v>32540</v>
      </c>
      <c r="L393" s="12" t="n">
        <v>51004</v>
      </c>
      <c r="M393" s="13">
        <f>IF(OR(N(H393)=0,L393=""),"",L393/H393-1)</f>
        <v>0.53059448429013</v>
      </c>
      <c r="N393" s="14" t="n">
        <v>965</v>
      </c>
      <c r="O393" s="14" t="n">
        <v>1621</v>
      </c>
      <c r="P393" s="14" t="n">
        <v>114</v>
      </c>
      <c r="Q393" s="14" t="n">
        <v>4280</v>
      </c>
      <c r="R393" s="13">
        <f>IF(OR(N(L393)=0,Q393=""),"",Q393/L393)</f>
        <v>0.08391498705983845</v>
      </c>
      <c r="S393" s="14" t="n">
        <v>6755</v>
      </c>
      <c r="T393" s="13">
        <f>IF(OR(N(L393)=0,S393=""),"",S393/L393)</f>
        <v>0.13244059289467494</v>
      </c>
      <c r="U393" s="14" t="n">
        <v>3847</v>
      </c>
      <c r="V393" s="13">
        <f>IF(OR(N(L393)=0,U393=""),"",U393/L393)</f>
        <v>0.07542545682691554</v>
      </c>
      <c r="W393" s="14" t="n">
        <v>132376</v>
      </c>
      <c r="X393" s="14" t="n">
        <v>3381</v>
      </c>
      <c r="Y393" s="13">
        <f>IF(OR(N(W393)=0,X393=""),"",X393/W393)</f>
        <v>0.025540883543844806</v>
      </c>
      <c r="Z393" s="11" t="str">
        <f>IF(AA393="A","四季持續盈利",IF(AA393="B","最新季為正/波動",IF(AA393="C","虧損收窄",IF(AA393="D","虧損擴大或轉虧","數據不足"))))</f>
        <v>四季持續盈利</v>
      </c>
      <c r="AA393" s="9" t="str">
        <f>IF(COUNT(N393:Q393)&lt;4,"—",IF(MIN(N393:Q393)&gt;0,"A",IF(Q393&gt;0,"B",IF(Q393&gt;N393,"C","D"))))</f>
        <v>A</v>
      </c>
      <c r="AB393" s="9" t="inlineStr">
        <is>
          <t>2026-06-30</t>
        </is>
      </c>
    </row>
    <row r="394" ht="15" customHeight="1">
      <c r="A394" s="9" t="n">
        <v>393</v>
      </c>
      <c r="B394" s="10" t="inlineStr">
        <is>
          <t>PWR</t>
        </is>
      </c>
      <c r="C394" s="11" t="inlineStr">
        <is>
          <t>電氣設備與電網</t>
        </is>
      </c>
      <c r="D394" s="11" t="inlineStr">
        <is>
          <t>Quanta Services, Inc.</t>
        </is>
      </c>
      <c r="E394" s="11" t="inlineStr">
        <is>
          <t>F1 電源</t>
        </is>
      </c>
      <c r="F394" s="9" t="inlineStr">
        <is>
          <t>USD</t>
        </is>
      </c>
      <c r="G394" s="11" t="inlineStr">
        <is>
          <t>25Q2 / 25Q3 / 25Q4 / 26Q1 / 26Q2</t>
        </is>
      </c>
      <c r="H394" s="12" t="n">
        <v>6773.007</v>
      </c>
      <c r="I394" s="12" t="n">
        <v>7631.408</v>
      </c>
      <c r="J394" s="12" t="n">
        <v>7841.948</v>
      </c>
      <c r="K394" s="12" t="n">
        <v>7874.787</v>
      </c>
      <c r="L394" s="12" t="n">
        <v>9556.996999999999</v>
      </c>
      <c r="M394" s="13">
        <f>IF(OR(N(H394)=0,L394=""),"",L394/H394-1)</f>
        <v>0.41104194931438864</v>
      </c>
      <c r="N394" s="14" t="n">
        <v>510.289</v>
      </c>
      <c r="O394" s="14" t="n">
        <v>480.238</v>
      </c>
      <c r="P394" s="14" t="n">
        <v>334.222</v>
      </c>
      <c r="Q394" s="14" t="n">
        <v>689.731</v>
      </c>
      <c r="R394" s="13">
        <f>IF(OR(N(L394)=0,Q394=""),"",Q394/L394)</f>
        <v>0.07217026436233055</v>
      </c>
      <c r="S394" s="14" t="n">
        <v>1545.178</v>
      </c>
      <c r="T394" s="13">
        <f>IF(OR(N(L394)=0,S394=""),"",S394/L394)</f>
        <v>0.1616802851355923</v>
      </c>
      <c r="U394" s="14" t="n">
        <v>451.381</v>
      </c>
      <c r="V394" s="13">
        <f>IF(OR(N(L394)=0,U394=""),"",U394/L394)</f>
        <v>0.04723042185740981</v>
      </c>
      <c r="W394" s="14" t="n">
        <v>28479.697</v>
      </c>
      <c r="X394" s="14" t="n">
        <v>1587.077</v>
      </c>
      <c r="Y394" s="13">
        <f>IF(OR(N(W394)=0,X394=""),"",X394/W394)</f>
        <v>0.055726611136347415</v>
      </c>
      <c r="Z394" s="11" t="str">
        <f>IF(AA394="A","四季持續盈利",IF(AA394="B","最新季為正/波動",IF(AA394="C","虧損收窄",IF(AA394="D","虧損擴大或轉虧","數據不足"))))</f>
        <v>四季持續盈利</v>
      </c>
      <c r="AA394" s="9" t="str">
        <f>IF(COUNT(N394:Q394)&lt;4,"—",IF(MIN(N394:Q394)&gt;0,"A",IF(Q394&gt;0,"B",IF(Q394&gt;N394,"C","D"))))</f>
        <v>A</v>
      </c>
      <c r="AB394" s="9" t="inlineStr">
        <is>
          <t>2026-06-30</t>
        </is>
      </c>
    </row>
    <row r="395" ht="15" customHeight="1">
      <c r="A395" s="9" t="n">
        <v>394</v>
      </c>
      <c r="B395" s="10" t="inlineStr">
        <is>
          <t>PYPL</t>
        </is>
      </c>
      <c r="C395" s="11" t="inlineStr">
        <is>
          <t>支付與收單</t>
        </is>
      </c>
      <c r="D395" s="11" t="inlineStr">
        <is>
          <t>PayPal Holdings, Inc.</t>
        </is>
      </c>
      <c r="E395" s="11" t="inlineStr">
        <is>
          <t>Credit Services</t>
        </is>
      </c>
      <c r="F395" s="9" t="inlineStr">
        <is>
          <t>USD</t>
        </is>
      </c>
      <c r="G395" s="11" t="inlineStr">
        <is>
          <t>25Q2 / 25Q3 / 25Q4 / 26Q1 / 26Q2</t>
        </is>
      </c>
      <c r="H395" s="12" t="n">
        <v>8288</v>
      </c>
      <c r="I395" s="12" t="n">
        <v>8417</v>
      </c>
      <c r="J395" s="12" t="n">
        <v>8676</v>
      </c>
      <c r="K395" s="12" t="n">
        <v>8353</v>
      </c>
      <c r="L395" s="12" t="n">
        <v>8682</v>
      </c>
      <c r="M395" s="13">
        <f>IF(OR(N(H395)=0,L395=""),"",L395/H395-1)</f>
        <v>0.04753861003860993</v>
      </c>
      <c r="N395" s="14" t="n">
        <v>1589</v>
      </c>
      <c r="O395" s="14" t="n">
        <v>1591</v>
      </c>
      <c r="P395" s="14" t="n">
        <v>1562</v>
      </c>
      <c r="Q395" s="14" t="n">
        <v>1540</v>
      </c>
      <c r="R395" s="13">
        <f>IF(OR(N(L395)=0,Q395=""),"",Q395/L395)</f>
        <v>0.17737848422022576</v>
      </c>
      <c r="S395" s="14" t="n">
        <v>3900</v>
      </c>
      <c r="T395" s="13">
        <f>IF(OR(N(L395)=0,S395=""),"",S395/L395)</f>
        <v>0.44920525224602625</v>
      </c>
      <c r="U395" s="14" t="n">
        <v>1104</v>
      </c>
      <c r="V395" s="13">
        <f>IF(OR(N(L395)=0,U395=""),"",U395/L395)</f>
        <v>0.1271596406357982</v>
      </c>
      <c r="W395" s="14" t="n">
        <v>33172</v>
      </c>
      <c r="X395" s="14" t="n">
        <v>6396</v>
      </c>
      <c r="Y395" s="13">
        <f>IF(OR(N(W395)=0,X395=""),"",X395/W395)</f>
        <v>0.19281321596527193</v>
      </c>
      <c r="Z395" s="11" t="str">
        <f>IF(AA395="A","四季持續盈利",IF(AA395="B","最新季為正/波動",IF(AA395="C","虧損收窄",IF(AA395="D","虧損擴大或轉虧","數據不足"))))</f>
        <v>四季持續盈利</v>
      </c>
      <c r="AA395" s="9" t="str">
        <f>IF(COUNT(N395:Q395)&lt;4,"—",IF(MIN(N395:Q395)&gt;0,"A",IF(Q395&gt;0,"B",IF(Q395&gt;N395,"C","D"))))</f>
        <v>A</v>
      </c>
      <c r="AB395" s="9" t="inlineStr">
        <is>
          <t>2026-06-30</t>
        </is>
      </c>
    </row>
    <row r="396" ht="15" customHeight="1">
      <c r="A396" s="9" t="n">
        <v>395</v>
      </c>
      <c r="B396" s="10" t="inlineStr">
        <is>
          <t>QBTS</t>
        </is>
      </c>
      <c r="C396" s="11" t="inlineStr">
        <is>
          <t>量子運算</t>
        </is>
      </c>
      <c r="D396" s="11" t="inlineStr">
        <is>
          <t>D-Wave Quantum Inc.</t>
        </is>
      </c>
      <c r="E396" s="11" t="inlineStr">
        <is>
          <t>Computer Hardware</t>
        </is>
      </c>
      <c r="F396" s="9" t="inlineStr">
        <is>
          <t>USD</t>
        </is>
      </c>
      <c r="G396" s="11" t="inlineStr">
        <is>
          <t>25Q2 / 25Q3 / 25Q4 / 26Q1 / 26Q2</t>
        </is>
      </c>
      <c r="H396" s="12" t="n">
        <v>3.095</v>
      </c>
      <c r="I396" s="12" t="n">
        <v>3.739</v>
      </c>
      <c r="J396" s="12" t="n">
        <v>2.752</v>
      </c>
      <c r="K396" s="12" t="n">
        <v>2.858</v>
      </c>
      <c r="L396" s="12" t="n">
        <v>3.076</v>
      </c>
      <c r="M396" s="13">
        <f>IF(OR(N(H396)=0,L396=""),"",L396/H396-1)</f>
        <v>-0.006138933764135768</v>
      </c>
      <c r="N396" s="14" t="n">
        <v>-27.736</v>
      </c>
      <c r="O396" s="14" t="n">
        <v>-34.839</v>
      </c>
      <c r="P396" s="14" t="n">
        <v>-54.727</v>
      </c>
      <c r="Q396" s="14" t="n">
        <v>-53.278</v>
      </c>
      <c r="R396" s="13">
        <f>IF(OR(N(L396)=0,Q396=""),"",Q396/L396)</f>
        <v>-17.320546163849155</v>
      </c>
      <c r="S396" s="14" t="n">
        <v>1.704</v>
      </c>
      <c r="T396" s="13">
        <f>IF(OR(N(L396)=0,S396=""),"",S396/L396)</f>
        <v>0.5539661898569571</v>
      </c>
      <c r="U396" s="14" t="n">
        <v>-48.028</v>
      </c>
      <c r="V396" s="13">
        <f>IF(OR(N(L396)=0,U396=""),"",U396/L396)</f>
        <v>-15.613784135240572</v>
      </c>
      <c r="W396" s="14" t="n">
        <v>24.587</v>
      </c>
      <c r="X396" s="14" t="n">
        <v>-100.368</v>
      </c>
      <c r="Y396" s="13">
        <f>IF(OR(N(W396)=0,X396=""),"",X396/W396)</f>
        <v>-4.082157237564567</v>
      </c>
      <c r="Z396" s="11" t="str">
        <f>IF(AA396="A","四季持續盈利",IF(AA396="B","最新季為正/波動",IF(AA396="C","虧損收窄",IF(AA396="D","虧損擴大或轉虧","數據不足"))))</f>
        <v>虧損擴大或轉虧</v>
      </c>
      <c r="AA396" s="9" t="str">
        <f>IF(COUNT(N396:Q396)&lt;4,"—",IF(MIN(N396:Q396)&gt;0,"A",IF(Q396&gt;0,"B",IF(Q396&gt;N396,"C","D"))))</f>
        <v>D</v>
      </c>
      <c r="AB396" s="9" t="inlineStr">
        <is>
          <t>2026-06-30</t>
        </is>
      </c>
    </row>
    <row r="397" ht="15" customHeight="1">
      <c r="A397" s="9" t="n">
        <v>396</v>
      </c>
      <c r="B397" s="10" t="inlineStr">
        <is>
          <t>QCOM</t>
        </is>
      </c>
      <c r="C397" s="11" t="inlineStr">
        <is>
          <t>—</t>
        </is>
      </c>
      <c r="D397" s="11" t="inlineStr">
        <is>
          <t>QUALCOMM Incorporated</t>
        </is>
      </c>
      <c r="E397" s="11" t="inlineStr">
        <is>
          <t>A4 運算</t>
        </is>
      </c>
      <c r="F397" s="9" t="inlineStr">
        <is>
          <t>USD</t>
        </is>
      </c>
      <c r="G397" s="11" t="inlineStr">
        <is>
          <t>25Q2 / 25Q3 / 25Q4 / 26Q1 / 26Q2</t>
        </is>
      </c>
      <c r="H397" s="12" t="n">
        <v>10365</v>
      </c>
      <c r="I397" s="12" t="n">
        <v>11271</v>
      </c>
      <c r="J397" s="12" t="n">
        <v>12252</v>
      </c>
      <c r="K397" s="12" t="n">
        <v>10599</v>
      </c>
      <c r="L397" s="12" t="n">
        <v>9947</v>
      </c>
      <c r="M397" s="13">
        <f>IF(OR(N(H397)=0,L397=""),"",L397/H397-1)</f>
        <v>-0.04032802701398941</v>
      </c>
      <c r="N397" s="14" t="n">
        <v>2957</v>
      </c>
      <c r="O397" s="14" t="n">
        <v>3366</v>
      </c>
      <c r="P397" s="14" t="n">
        <v>2309</v>
      </c>
      <c r="Q397" s="14" t="n">
        <v>1626</v>
      </c>
      <c r="R397" s="13">
        <f>IF(OR(N(L397)=0,Q397=""),"",Q397/L397)</f>
        <v>0.16346637177038303</v>
      </c>
      <c r="S397" s="14" t="n">
        <v>5277</v>
      </c>
      <c r="T397" s="13">
        <f>IF(OR(N(L397)=0,S397=""),"",S397/L397)</f>
        <v>0.5305117120739922</v>
      </c>
      <c r="U397" s="14" t="n">
        <v>2002</v>
      </c>
      <c r="V397" s="13">
        <f>IF(OR(N(L397)=0,U397=""),"",U397/L397)</f>
        <v>0.20126671358198453</v>
      </c>
      <c r="W397" s="14" t="n">
        <v>44284</v>
      </c>
      <c r="X397" s="14" t="n">
        <v>12394</v>
      </c>
      <c r="Y397" s="13">
        <f>IF(OR(N(W397)=0,X397=""),"",X397/W397)</f>
        <v>0.2798753500135489</v>
      </c>
      <c r="Z397" s="11" t="str">
        <f>IF(AA397="A","四季持續盈利",IF(AA397="B","最新季為正/波動",IF(AA397="C","虧損收窄",IF(AA397="D","虧損擴大或轉虧","數據不足"))))</f>
        <v>四季持續盈利</v>
      </c>
      <c r="AA397" s="9" t="str">
        <f>IF(COUNT(N397:Q397)&lt;4,"—",IF(MIN(N397:Q397)&gt;0,"A",IF(Q397&gt;0,"B",IF(Q397&gt;N397,"C","D"))))</f>
        <v>A</v>
      </c>
      <c r="AB397" s="9" t="inlineStr">
        <is>
          <t>2026-06-30</t>
        </is>
      </c>
    </row>
    <row r="398" ht="15" customHeight="1">
      <c r="A398" s="9" t="n">
        <v>397</v>
      </c>
      <c r="B398" s="10" t="inlineStr">
        <is>
          <t>QUBT</t>
        </is>
      </c>
      <c r="C398" s="11" t="inlineStr">
        <is>
          <t>量子運算</t>
        </is>
      </c>
      <c r="D398" s="11" t="inlineStr">
        <is>
          <t>Quantum Computing Inc.</t>
        </is>
      </c>
      <c r="E398" s="11" t="inlineStr">
        <is>
          <t>Computer Hardware</t>
        </is>
      </c>
      <c r="F398" s="9" t="inlineStr">
        <is>
          <t>USD</t>
        </is>
      </c>
      <c r="G398" s="11" t="inlineStr">
        <is>
          <t>25Q2 / 25Q3 / 25Q4 / 26Q1 / 26Q2</t>
        </is>
      </c>
      <c r="H398" s="12" t="n">
        <v>0.061</v>
      </c>
      <c r="I398" s="12" t="n">
        <v>0.384</v>
      </c>
      <c r="J398" s="12" t="n">
        <v>0.198</v>
      </c>
      <c r="K398" s="12" t="n">
        <v>3.691</v>
      </c>
      <c r="L398" s="12" t="n">
        <v>5.551</v>
      </c>
      <c r="M398" s="13">
        <f>IF(OR(N(H398)=0,L398=""),"",L398/H398-1)</f>
        <v>90.0</v>
      </c>
      <c r="N398" s="14" t="n">
        <v>-10.404</v>
      </c>
      <c r="O398" s="14" t="n">
        <v>-22.216</v>
      </c>
      <c r="P398" s="14" t="n">
        <v>-20.55</v>
      </c>
      <c r="Q398" s="14" t="n">
        <v>-23.013</v>
      </c>
      <c r="R398" s="13">
        <f>IF(OR(N(L398)=0,Q398=""),"",Q398/L398)</f>
        <v>-4.145739506395245</v>
      </c>
      <c r="S398" s="14" t="n">
        <v>-1.166</v>
      </c>
      <c r="T398" s="13">
        <f>IF(OR(N(L398)=0,S398=""),"",S398/L398)</f>
        <v>-0.21005224283912807</v>
      </c>
      <c r="U398" s="14" t="n">
        <v>-11.753</v>
      </c>
      <c r="V398" s="13">
        <f>IF(OR(N(L398)=0,U398=""),"",U398/L398)</f>
        <v>-2.1172761664564943</v>
      </c>
      <c r="W398" s="14" t="n">
        <v>0.6820000000000001</v>
      </c>
      <c r="X398" s="14" t="n">
        <v>-51.077</v>
      </c>
      <c r="Y398" s="13">
        <f>IF(OR(N(W398)=0,X398=""),"",X398/W398)</f>
        <v>-74.89296187683284</v>
      </c>
      <c r="Z398" s="11" t="str">
        <f>IF(AA398="A","四季持續盈利",IF(AA398="B","最新季為正/波動",IF(AA398="C","虧損收窄",IF(AA398="D","虧損擴大或轉虧","數據不足"))))</f>
        <v>虧損擴大或轉虧</v>
      </c>
      <c r="AA398" s="9" t="str">
        <f>IF(COUNT(N398:Q398)&lt;4,"—",IF(MIN(N398:Q398)&gt;0,"A",IF(Q398&gt;0,"B",IF(Q398&gt;N398,"C","D"))))</f>
        <v>D</v>
      </c>
      <c r="AB398" s="9" t="inlineStr">
        <is>
          <t>2026-06-30</t>
        </is>
      </c>
    </row>
    <row r="399" ht="15" customHeight="1">
      <c r="A399" s="9" t="n">
        <v>398</v>
      </c>
      <c r="B399" s="10" t="inlineStr">
        <is>
          <t>RBLX</t>
        </is>
      </c>
      <c r="C399" s="11" t="inlineStr">
        <is>
          <t>互動遊戲</t>
        </is>
      </c>
      <c r="D399" s="11" t="inlineStr">
        <is>
          <t>Roblox Corporation</t>
        </is>
      </c>
      <c r="E399" s="11" t="inlineStr">
        <is>
          <t>Electronic Gaming &amp; Multimedia</t>
        </is>
      </c>
      <c r="F399" s="9" t="inlineStr">
        <is>
          <t>USD</t>
        </is>
      </c>
      <c r="G399" s="11" t="inlineStr">
        <is>
          <t>25Q2 / 25Q3 / 25Q4 / 26Q1 / 26Q2</t>
        </is>
      </c>
      <c r="H399" s="12" t="n">
        <v>1081</v>
      </c>
      <c r="I399" s="12" t="n">
        <v>1359.646</v>
      </c>
      <c r="J399" s="12" t="n">
        <v>1415.021</v>
      </c>
      <c r="K399" s="12" t="n">
        <v>1442</v>
      </c>
      <c r="L399" s="12" t="n">
        <v>1469</v>
      </c>
      <c r="M399" s="13">
        <f>IF(OR(N(H399)=0,L399=""),"",L399/H399-1)</f>
        <v>0.35892691951896394</v>
      </c>
      <c r="N399" s="14" t="n">
        <v>-296.535</v>
      </c>
      <c r="O399" s="14" t="n">
        <v>-358.638</v>
      </c>
      <c r="P399" s="14" t="n">
        <v>-294</v>
      </c>
      <c r="Q399" s="14" t="n">
        <v>-229</v>
      </c>
      <c r="R399" s="13">
        <f>IF(OR(N(L399)=0,Q399=""),"",Q399/L399)</f>
        <v>-0.15588835942818244</v>
      </c>
      <c r="S399" s="14" t="n">
        <v>1177</v>
      </c>
      <c r="T399" s="13">
        <f>IF(OR(N(L399)=0,S399=""),"",S399/L399)</f>
        <v>0.8012253233492171</v>
      </c>
      <c r="U399" s="14" t="n">
        <v>-183</v>
      </c>
      <c r="V399" s="13">
        <f>IF(OR(N(L399)=0,U399=""),"",U399/L399)</f>
        <v>-0.12457454050374404</v>
      </c>
      <c r="W399" s="14" t="n">
        <v>4890.551</v>
      </c>
      <c r="X399" s="14" t="n">
        <v>-1232.342</v>
      </c>
      <c r="Y399" s="13">
        <f>IF(OR(N(W399)=0,X399=""),"",X399/W399)</f>
        <v>-0.25198428561526093</v>
      </c>
      <c r="Z399" s="11" t="str">
        <f>IF(AA399="A","四季持續盈利",IF(AA399="B","最新季為正/波動",IF(AA399="C","虧損收窄",IF(AA399="D","虧損擴大或轉虧","數據不足"))))</f>
        <v>虧損收窄</v>
      </c>
      <c r="AA399" s="9" t="str">
        <f>IF(COUNT(N399:Q399)&lt;4,"—",IF(MIN(N399:Q399)&gt;0,"A",IF(Q399&gt;0,"B",IF(Q399&gt;N399,"C","D"))))</f>
        <v>C</v>
      </c>
      <c r="AB399" s="9" t="inlineStr">
        <is>
          <t>2026-06-30</t>
        </is>
      </c>
    </row>
    <row r="400" ht="15" customHeight="1">
      <c r="A400" s="9" t="n">
        <v>399</v>
      </c>
      <c r="B400" s="10" t="inlineStr">
        <is>
          <t>RCAT</t>
        </is>
      </c>
      <c r="C400" s="11" t="inlineStr">
        <is>
          <t>國防科技與無人機</t>
        </is>
      </c>
      <c r="D400" s="11" t="inlineStr">
        <is>
          <t>Red Cat Holdings, Inc.</t>
        </is>
      </c>
      <c r="E400" s="11" t="inlineStr">
        <is>
          <t>Aerospace &amp; Defense</t>
        </is>
      </c>
      <c r="F400" s="9" t="inlineStr">
        <is>
          <t>USD</t>
        </is>
      </c>
      <c r="G400" s="11" t="inlineStr">
        <is>
          <t>25Q2 / 25Q3 / 25Q4 / 26Q1 / 26Q2</t>
        </is>
      </c>
      <c r="H400" s="12" t="n">
        <v>3.218577</v>
      </c>
      <c r="I400" s="12" t="n">
        <v>9.646392000000001</v>
      </c>
      <c r="J400" s="12" t="n">
        <v>26.234369</v>
      </c>
      <c r="K400" s="12" t="n">
        <v>15.471</v>
      </c>
      <c r="L400" s="12" t="n">
        <v>20.189</v>
      </c>
      <c r="M400" s="13">
        <f>IF(OR(N(H400)=0,L400=""),"",L400/H400-1)</f>
        <v>5.27264781920706</v>
      </c>
      <c r="N400" s="14" t="n">
        <v>-17.531089</v>
      </c>
      <c r="O400" s="14" t="n">
        <v>-23.941165</v>
      </c>
      <c r="P400" s="14" t="n">
        <v>-27.302</v>
      </c>
      <c r="Q400" s="14" t="n">
        <v>-38.645</v>
      </c>
      <c r="R400" s="13">
        <f>IF(OR(N(L400)=0,Q400=""),"",Q400/L400)</f>
        <v>-1.9141611768784983</v>
      </c>
      <c r="S400" s="14" t="n">
        <v>3.26</v>
      </c>
      <c r="T400" s="13">
        <f>IF(OR(N(L400)=0,S400=""),"",S400/L400)</f>
        <v>0.16147407003813957</v>
      </c>
      <c r="U400" s="14" t="n">
        <v>-35.259</v>
      </c>
      <c r="V400" s="13">
        <f>IF(OR(N(L400)=0,U400=""),"",U400/L400)</f>
        <v>-1.746446084501461</v>
      </c>
      <c r="W400" s="14" t="n">
        <v>40.729</v>
      </c>
      <c r="X400" s="14" t="n">
        <v>-66.59699999999999</v>
      </c>
      <c r="Y400" s="13">
        <f>IF(OR(N(W400)=0,X400=""),"",X400/W400)</f>
        <v>-1.6351248496157529</v>
      </c>
      <c r="Z400" s="11" t="str">
        <f>IF(AA400="A","四季持續盈利",IF(AA400="B","最新季為正/波動",IF(AA400="C","虧損收窄",IF(AA400="D","虧損擴大或轉虧","數據不足"))))</f>
        <v>虧損擴大或轉虧</v>
      </c>
      <c r="AA400" s="9" t="str">
        <f>IF(COUNT(N400:Q400)&lt;4,"—",IF(MIN(N400:Q400)&gt;0,"A",IF(Q400&gt;0,"B",IF(Q400&gt;N400,"C","D"))))</f>
        <v>D</v>
      </c>
      <c r="AB400" s="9" t="inlineStr">
        <is>
          <t>2026-06-30</t>
        </is>
      </c>
    </row>
    <row r="401" ht="15" customHeight="1">
      <c r="A401" s="9" t="n">
        <v>400</v>
      </c>
      <c r="B401" s="10" t="inlineStr">
        <is>
          <t>RCL</t>
        </is>
      </c>
      <c r="C401" s="11" t="inlineStr">
        <is>
          <t>酒店與郵輪</t>
        </is>
      </c>
      <c r="D401" s="11" t="inlineStr">
        <is>
          <t>Royal Caribbean Cruises Ltd.</t>
        </is>
      </c>
      <c r="E401" s="11" t="inlineStr">
        <is>
          <t>Travel Services</t>
        </is>
      </c>
      <c r="F401" s="9" t="inlineStr">
        <is>
          <t>USD</t>
        </is>
      </c>
      <c r="G401" s="11" t="inlineStr">
        <is>
          <t>25Q2 / 25Q3 / 25Q4 / 26Q1 / 26Q2</t>
        </is>
      </c>
      <c r="H401" s="12" t="n">
        <v>4538</v>
      </c>
      <c r="I401" s="12" t="n">
        <v>5139</v>
      </c>
      <c r="J401" s="12" t="n">
        <v>4258</v>
      </c>
      <c r="K401" s="12" t="n">
        <v>4452</v>
      </c>
      <c r="L401" s="12" t="n">
        <v>4832</v>
      </c>
      <c r="M401" s="13">
        <f>IF(OR(N(H401)=0,L401=""),"",L401/H401-1)</f>
        <v>0.0647862494490965</v>
      </c>
      <c r="N401" s="14" t="n">
        <v>1702</v>
      </c>
      <c r="O401" s="14" t="n">
        <v>934</v>
      </c>
      <c r="P401" s="14" t="n">
        <v>1162</v>
      </c>
      <c r="Q401" s="14" t="n">
        <v>1308</v>
      </c>
      <c r="R401" s="13">
        <f>IF(OR(N(L401)=0,Q401=""),"",Q401/L401)</f>
        <v>0.2706953642384106</v>
      </c>
      <c r="S401" s="14" t="n">
        <v>2285</v>
      </c>
      <c r="T401" s="13">
        <f>IF(OR(N(L401)=0,S401=""),"",S401/L401)</f>
        <v>0.4728890728476821</v>
      </c>
      <c r="U401" s="14" t="n">
        <v>1128</v>
      </c>
      <c r="V401" s="13">
        <f>IF(OR(N(L401)=0,U401=""),"",U401/L401)</f>
        <v>0.23344370860927152</v>
      </c>
      <c r="W401" s="14" t="n">
        <v>17934</v>
      </c>
      <c r="X401" s="14" t="n">
        <v>4910</v>
      </c>
      <c r="Y401" s="13">
        <f>IF(OR(N(W401)=0,X401=""),"",X401/W401)</f>
        <v>0.27378164380506304</v>
      </c>
      <c r="Z401" s="11" t="str">
        <f>IF(AA401="A","四季持續盈利",IF(AA401="B","最新季為正/波動",IF(AA401="C","虧損收窄",IF(AA401="D","虧損擴大或轉虧","數據不足"))))</f>
        <v>四季持續盈利</v>
      </c>
      <c r="AA401" s="9" t="str">
        <f>IF(COUNT(N401:Q401)&lt;4,"—",IF(MIN(N401:Q401)&gt;0,"A",IF(Q401&gt;0,"B",IF(Q401&gt;N401,"C","D"))))</f>
        <v>A</v>
      </c>
      <c r="AB401" s="9" t="inlineStr">
        <is>
          <t>2026-06-30</t>
        </is>
      </c>
    </row>
    <row r="402" ht="15" customHeight="1">
      <c r="A402" s="9" t="n">
        <v>401</v>
      </c>
      <c r="B402" s="10" t="inlineStr">
        <is>
          <t>RDDT</t>
        </is>
      </c>
      <c r="C402" s="11" t="inlineStr">
        <is>
          <t>社交與線上社群</t>
        </is>
      </c>
      <c r="D402" s="11" t="inlineStr">
        <is>
          <t>Reddit, Inc.</t>
        </is>
      </c>
      <c r="E402" s="11" t="inlineStr">
        <is>
          <t>Internet Content &amp; Information</t>
        </is>
      </c>
      <c r="F402" s="9" t="inlineStr">
        <is>
          <t>USD</t>
        </is>
      </c>
      <c r="G402" s="11" t="inlineStr">
        <is>
          <t>25Q2 / 25Q3 / 25Q4 / 26Q1 / 26Q2</t>
        </is>
      </c>
      <c r="H402" s="12" t="n">
        <v>499.627</v>
      </c>
      <c r="I402" s="12" t="n">
        <v>584.9109999999999</v>
      </c>
      <c r="J402" s="12" t="n">
        <v>725.607</v>
      </c>
      <c r="K402" s="12" t="n">
        <v>663.4109999999999</v>
      </c>
      <c r="L402" s="12" t="n">
        <v>804.905</v>
      </c>
      <c r="M402" s="13">
        <f>IF(OR(N(H402)=0,L402=""),"",L402/H402-1)</f>
        <v>0.611011814813851</v>
      </c>
      <c r="N402" s="14" t="n">
        <v>138.542</v>
      </c>
      <c r="O402" s="14" t="n">
        <v>231.828</v>
      </c>
      <c r="P402" s="14" t="n">
        <v>182.912</v>
      </c>
      <c r="Q402" s="14" t="n">
        <v>231.716</v>
      </c>
      <c r="R402" s="13">
        <f>IF(OR(N(L402)=0,Q402=""),"",Q402/L402)</f>
        <v>0.28787993614153223</v>
      </c>
      <c r="S402" s="14" t="n">
        <v>734.597</v>
      </c>
      <c r="T402" s="13">
        <f>IF(OR(N(L402)=0,S402=""),"",S402/L402)</f>
        <v>0.9126505612463582</v>
      </c>
      <c r="U402" s="14" t="n">
        <v>252.848</v>
      </c>
      <c r="V402" s="13">
        <f>IF(OR(N(L402)=0,U402=""),"",U402/L402)</f>
        <v>0.31413396612022537</v>
      </c>
      <c r="W402" s="14" t="n">
        <v>2202.506</v>
      </c>
      <c r="X402" s="14" t="n">
        <v>441.984</v>
      </c>
      <c r="Y402" s="13">
        <f>IF(OR(N(W402)=0,X402=""),"",X402/W402)</f>
        <v>0.20067323312626617</v>
      </c>
      <c r="Z402" s="11" t="str">
        <f>IF(AA402="A","四季持續盈利",IF(AA402="B","最新季為正/波動",IF(AA402="C","虧損收窄",IF(AA402="D","虧損擴大或轉虧","數據不足"))))</f>
        <v>四季持續盈利</v>
      </c>
      <c r="AA402" s="9" t="str">
        <f>IF(COUNT(N402:Q402)&lt;4,"—",IF(MIN(N402:Q402)&gt;0,"A",IF(Q402&gt;0,"B",IF(Q402&gt;N402,"C","D"))))</f>
        <v>A</v>
      </c>
      <c r="AB402" s="9" t="inlineStr">
        <is>
          <t>2026-06-30</t>
        </is>
      </c>
    </row>
    <row r="403" ht="15" customHeight="1">
      <c r="A403" s="9" t="n">
        <v>402</v>
      </c>
      <c r="B403" s="10" t="inlineStr">
        <is>
          <t>RDW</t>
        </is>
      </c>
      <c r="C403" s="11" t="inlineStr">
        <is>
          <t>太空與衛星</t>
        </is>
      </c>
      <c r="D403" s="11" t="inlineStr">
        <is>
          <t>Redwire Corporation</t>
        </is>
      </c>
      <c r="E403" s="11" t="inlineStr">
        <is>
          <t>Aerospace &amp; Defense</t>
        </is>
      </c>
      <c r="F403" s="9" t="inlineStr">
        <is>
          <t>USD</t>
        </is>
      </c>
      <c r="G403" s="11" t="inlineStr">
        <is>
          <t>25Q2 / 25Q3 / 25Q4 / 26Q1 / 26Q2</t>
        </is>
      </c>
      <c r="H403" s="12" t="n">
        <v>61.76</v>
      </c>
      <c r="I403" s="12" t="n">
        <v>103.432</v>
      </c>
      <c r="J403" s="12" t="n">
        <v>108.794</v>
      </c>
      <c r="K403" s="12" t="n">
        <v>96.97199999999999</v>
      </c>
      <c r="L403" s="12" t="n">
        <v>117.074</v>
      </c>
      <c r="M403" s="13">
        <f>IF(OR(N(H403)=0,L403=""),"",L403/H403-1)</f>
        <v>0.8956282383419689</v>
      </c>
      <c r="N403" s="14" t="n">
        <v>-41.168</v>
      </c>
      <c r="O403" s="14" t="n">
        <v>-46.822</v>
      </c>
      <c r="P403" s="14" t="n">
        <v>-69.661</v>
      </c>
      <c r="Q403" s="14" t="n">
        <v>-22.079</v>
      </c>
      <c r="R403" s="13">
        <f>IF(OR(N(L403)=0,Q403=""),"",Q403/L403)</f>
        <v>-0.1885901224866324</v>
      </c>
      <c r="S403" s="14" t="n">
        <v>32.544</v>
      </c>
      <c r="T403" s="13">
        <f>IF(OR(N(L403)=0,S403=""),"",S403/L403)</f>
        <v>0.27797803098894713</v>
      </c>
      <c r="U403" s="14" t="n">
        <v>-40.971</v>
      </c>
      <c r="V403" s="13">
        <f>IF(OR(N(L403)=0,U403=""),"",U403/L403)</f>
        <v>-0.3499581461297982</v>
      </c>
      <c r="W403" s="14" t="n">
        <v>335.381</v>
      </c>
      <c r="X403" s="14" t="n">
        <v>-173.756</v>
      </c>
      <c r="Y403" s="13">
        <f>IF(OR(N(W403)=0,X403=""),"",X403/W403)</f>
        <v>-0.5180854013793268</v>
      </c>
      <c r="Z403" s="11" t="str">
        <f>IF(AA403="A","四季持續盈利",IF(AA403="B","最新季為正/波動",IF(AA403="C","虧損收窄",IF(AA403="D","虧損擴大或轉虧","數據不足"))))</f>
        <v>虧損收窄</v>
      </c>
      <c r="AA403" s="9" t="str">
        <f>IF(COUNT(N403:Q403)&lt;4,"—",IF(MIN(N403:Q403)&gt;0,"A",IF(Q403&gt;0,"B",IF(Q403&gt;N403,"C","D"))))</f>
        <v>C</v>
      </c>
      <c r="AB403" s="9" t="inlineStr">
        <is>
          <t>2026-06-30</t>
        </is>
      </c>
    </row>
    <row r="404" ht="15" customHeight="1">
      <c r="A404" s="9" t="n">
        <v>403</v>
      </c>
      <c r="B404" s="10" t="inlineStr">
        <is>
          <t>REG</t>
        </is>
      </c>
      <c r="C404" s="11" t="inlineStr">
        <is>
          <t>零售與購物中心REIT</t>
        </is>
      </c>
      <c r="D404" s="11" t="inlineStr">
        <is>
          <t>Regency Centers Corporation</t>
        </is>
      </c>
      <c r="E404" s="11" t="inlineStr">
        <is>
          <t>REIT - Retail</t>
        </is>
      </c>
      <c r="F404" s="9" t="inlineStr">
        <is>
          <t>USD</t>
        </is>
      </c>
      <c r="G404" s="11" t="inlineStr">
        <is>
          <t>25Q2 / 25Q3 / 25Q4 / 26Q1 / 26Q2</t>
        </is>
      </c>
      <c r="H404" s="12" t="n">
        <v>380.848</v>
      </c>
      <c r="I404" s="12" t="n">
        <v>387.57</v>
      </c>
      <c r="J404" s="12" t="n">
        <v>404.194</v>
      </c>
      <c r="K404" s="12" t="n">
        <v>412.453</v>
      </c>
      <c r="L404" s="12" t="n"/>
      <c r="M404" s="13" t="str">
        <f>IF(OR(N(H404)=0,L404=""),"",L404/H404-1)</f>
        <v/>
      </c>
      <c r="N404" s="14" t="n">
        <v>143.39</v>
      </c>
      <c r="O404" s="14" t="n">
        <v>148.014</v>
      </c>
      <c r="P404" s="14" t="n">
        <v>154.714</v>
      </c>
      <c r="Q404" s="14" t="n"/>
      <c r="R404" s="13" t="str">
        <f>IF(OR(N(L404)=0,Q404=""),"",Q404/L404)</f>
        <v/>
      </c>
      <c r="S404" s="14" t="n"/>
      <c r="T404" s="13" t="str">
        <f>IF(OR(N(L404)=0,S404=""),"",S404/L404)</f>
        <v/>
      </c>
      <c r="U404" s="14" t="n"/>
      <c r="V404" s="13" t="str">
        <f>IF(OR(N(L404)=0,U404=""),"",U404/L404)</f>
        <v/>
      </c>
      <c r="W404" s="14" t="n">
        <v>1553.524</v>
      </c>
      <c r="X404" s="14" t="n">
        <v>583.0650000000001</v>
      </c>
      <c r="Y404" s="13">
        <f>IF(OR(N(W404)=0,X404=""),"",X404/W404)</f>
        <v>0.3753176648703207</v>
      </c>
      <c r="Z404" s="11" t="str">
        <f>IF(AA404="A","四季持續盈利",IF(AA404="B","最新季為正/波動",IF(AA404="C","虧損收窄",IF(AA404="D","虧損擴大或轉虧","數據不足"))))</f>
        <v>數據不足</v>
      </c>
      <c r="AA404" s="9" t="str">
        <f>IF(COUNT(N404:Q404)&lt;4,"—",IF(MIN(N404:Q404)&gt;0,"A",IF(Q404&gt;0,"B",IF(Q404&gt;N404,"C","D"))))</f>
        <v>—</v>
      </c>
      <c r="AB404" s="9" t="inlineStr">
        <is>
          <t>2026-06-30</t>
        </is>
      </c>
    </row>
    <row r="405" ht="15" customHeight="1">
      <c r="A405" s="9" t="n">
        <v>404</v>
      </c>
      <c r="B405" s="10" t="inlineStr">
        <is>
          <t>REGN</t>
        </is>
      </c>
      <c r="C405" s="11" t="inlineStr">
        <is>
          <t>大型生物科技</t>
        </is>
      </c>
      <c r="D405" s="11" t="inlineStr">
        <is>
          <t>Regeneron Pharmaceuticals, Inc.</t>
        </is>
      </c>
      <c r="E405" s="11" t="inlineStr">
        <is>
          <t>Biotechnology</t>
        </is>
      </c>
      <c r="F405" s="9" t="inlineStr">
        <is>
          <t>USD</t>
        </is>
      </c>
      <c r="G405" s="11" t="inlineStr">
        <is>
          <t>25Q2 / 25Q3 / 25Q4 / 26Q1 / 26Q2</t>
        </is>
      </c>
      <c r="H405" s="12" t="n">
        <v>3675.6</v>
      </c>
      <c r="I405" s="12" t="n">
        <v>3754.3</v>
      </c>
      <c r="J405" s="12" t="n">
        <v>3884.3</v>
      </c>
      <c r="K405" s="12" t="n">
        <v>3605.4</v>
      </c>
      <c r="L405" s="12" t="n">
        <v>4290.7</v>
      </c>
      <c r="M405" s="13">
        <f>IF(OR(N(H405)=0,L405=""),"",L405/H405-1)</f>
        <v>0.16734682772880616</v>
      </c>
      <c r="N405" s="14" t="n">
        <v>1109.9</v>
      </c>
      <c r="O405" s="14" t="n">
        <v>898.6</v>
      </c>
      <c r="P405" s="14" t="n">
        <v>744.8</v>
      </c>
      <c r="Q405" s="14" t="n">
        <v>1420.5</v>
      </c>
      <c r="R405" s="13">
        <f>IF(OR(N(L405)=0,Q405=""),"",Q405/L405)</f>
        <v>0.33106486121145734</v>
      </c>
      <c r="S405" s="14" t="n">
        <v>3714.2</v>
      </c>
      <c r="T405" s="13">
        <f>IF(OR(N(L405)=0,S405=""),"",S405/L405)</f>
        <v>0.8656396392197078</v>
      </c>
      <c r="U405" s="14" t="n">
        <v>1296.9</v>
      </c>
      <c r="V405" s="13">
        <f>IF(OR(N(L405)=0,U405=""),"",U405/L405)</f>
        <v>0.3022583727596896</v>
      </c>
      <c r="W405" s="14" t="n">
        <v>14342.9</v>
      </c>
      <c r="X405" s="14" t="n">
        <v>3702</v>
      </c>
      <c r="Y405" s="13">
        <f>IF(OR(N(W405)=0,X405=""),"",X405/W405)</f>
        <v>0.2581067984856619</v>
      </c>
      <c r="Z405" s="11" t="str">
        <f>IF(AA405="A","四季持續盈利",IF(AA405="B","最新季為正/波動",IF(AA405="C","虧損收窄",IF(AA405="D","虧損擴大或轉虧","數據不足"))))</f>
        <v>四季持續盈利</v>
      </c>
      <c r="AA405" s="9" t="str">
        <f>IF(COUNT(N405:Q405)&lt;4,"—",IF(MIN(N405:Q405)&gt;0,"A",IF(Q405&gt;0,"B",IF(Q405&gt;N405,"C","D"))))</f>
        <v>A</v>
      </c>
      <c r="AB405" s="9" t="inlineStr">
        <is>
          <t>2026-06-30</t>
        </is>
      </c>
    </row>
    <row r="406" ht="15" customHeight="1">
      <c r="A406" s="9" t="n">
        <v>405</v>
      </c>
      <c r="B406" s="10" t="inlineStr">
        <is>
          <t>RGLD</t>
        </is>
      </c>
      <c r="C406" s="11" t="inlineStr">
        <is>
          <t>黃金與貴金屬礦</t>
        </is>
      </c>
      <c r="D406" s="11" t="inlineStr">
        <is>
          <t>Royal Gold, Inc.</t>
        </is>
      </c>
      <c r="E406" s="11" t="inlineStr">
        <is>
          <t>Gold</t>
        </is>
      </c>
      <c r="F406" s="9" t="inlineStr">
        <is>
          <t>USD</t>
        </is>
      </c>
      <c r="G406" s="11" t="inlineStr">
        <is>
          <t>25Q2 / 25Q3 / 25Q4 / 26Q1 / 26Q2</t>
        </is>
      </c>
      <c r="H406" s="12" t="n">
        <v>209.643</v>
      </c>
      <c r="I406" s="12" t="n">
        <v>252.068</v>
      </c>
      <c r="J406" s="12" t="n">
        <v>375.323</v>
      </c>
      <c r="K406" s="12" t="n">
        <v>469.125</v>
      </c>
      <c r="L406" s="12" t="n">
        <v>450.539</v>
      </c>
      <c r="M406" s="13">
        <f>IF(OR(N(H406)=0,L406=""),"",L406/H406-1)</f>
        <v>1.149077240833226</v>
      </c>
      <c r="N406" s="14" t="n">
        <v>175.142</v>
      </c>
      <c r="O406" s="14" t="n">
        <v>224.581</v>
      </c>
      <c r="P406" s="14" t="n">
        <v>297.091</v>
      </c>
      <c r="Q406" s="14" t="n">
        <v>277.363</v>
      </c>
      <c r="R406" s="13">
        <f>IF(OR(N(L406)=0,Q406=""),"",Q406/L406)</f>
        <v>0.6156248404688607</v>
      </c>
      <c r="S406" s="14" t="n">
        <v>290.808</v>
      </c>
      <c r="T406" s="13">
        <f>IF(OR(N(L406)=0,S406=""),"",S406/L406)</f>
        <v>0.6454668741218851</v>
      </c>
      <c r="U406" s="14" t="n">
        <v>236.393</v>
      </c>
      <c r="V406" s="13">
        <f>IF(OR(N(L406)=0,U406=""),"",U406/L406)</f>
        <v>0.5246893165741479</v>
      </c>
      <c r="W406" s="14" t="n">
        <v>1030.471</v>
      </c>
      <c r="X406" s="14" t="n">
        <v>664.675</v>
      </c>
      <c r="Y406" s="13">
        <f>IF(OR(N(W406)=0,X406=""),"",X406/W406)</f>
        <v>0.6450205779687153</v>
      </c>
      <c r="Z406" s="11" t="str">
        <f>IF(AA406="A","四季持續盈利",IF(AA406="B","最新季為正/波動",IF(AA406="C","虧損收窄",IF(AA406="D","虧損擴大或轉虧","數據不足"))))</f>
        <v>四季持續盈利</v>
      </c>
      <c r="AA406" s="9" t="str">
        <f>IF(COUNT(N406:Q406)&lt;4,"—",IF(MIN(N406:Q406)&gt;0,"A",IF(Q406&gt;0,"B",IF(Q406&gt;N406,"C","D"))))</f>
        <v>A</v>
      </c>
      <c r="AB406" s="9" t="inlineStr">
        <is>
          <t>2026-06-30</t>
        </is>
      </c>
    </row>
    <row r="407" ht="15" customHeight="1">
      <c r="A407" s="9" t="n">
        <v>406</v>
      </c>
      <c r="B407" s="10" t="inlineStr">
        <is>
          <t>RGTI</t>
        </is>
      </c>
      <c r="C407" s="11" t="inlineStr">
        <is>
          <t>量子運算</t>
        </is>
      </c>
      <c r="D407" s="11" t="inlineStr">
        <is>
          <t>Rigetti Computing, Inc.</t>
        </is>
      </c>
      <c r="E407" s="11" t="inlineStr">
        <is>
          <t>Computer Hardware</t>
        </is>
      </c>
      <c r="F407" s="9" t="inlineStr">
        <is>
          <t>USD</t>
        </is>
      </c>
      <c r="G407" s="11" t="inlineStr">
        <is>
          <t>25Q2 / 25Q3 / 25Q4 / 26Q1 / 26Q2</t>
        </is>
      </c>
      <c r="H407" s="12" t="n">
        <v>1.801</v>
      </c>
      <c r="I407" s="12" t="n">
        <v>1.947</v>
      </c>
      <c r="J407" s="12" t="n">
        <v>1.868</v>
      </c>
      <c r="K407" s="12" t="n">
        <v>4.4</v>
      </c>
      <c r="L407" s="12" t="n">
        <v>5.138</v>
      </c>
      <c r="M407" s="13">
        <f>IF(OR(N(H407)=0,L407=""),"",L407/H407-1)</f>
        <v>1.852859522487507</v>
      </c>
      <c r="N407" s="14" t="n">
        <v>-20.549</v>
      </c>
      <c r="O407" s="14" t="n">
        <v>-22.597</v>
      </c>
      <c r="P407" s="14" t="n">
        <v>-25.951</v>
      </c>
      <c r="Q407" s="14" t="n">
        <v>-28.062</v>
      </c>
      <c r="R407" s="13">
        <f>IF(OR(N(L407)=0,Q407=""),"",Q407/L407)</f>
        <v>-5.4616582327754</v>
      </c>
      <c r="S407" s="14" t="n">
        <v>2.188</v>
      </c>
      <c r="T407" s="13">
        <f>IF(OR(N(L407)=0,S407=""),"",S407/L407)</f>
        <v>0.42584663293110164</v>
      </c>
      <c r="U407" s="14" t="n">
        <v>-52.606</v>
      </c>
      <c r="V407" s="13">
        <f>IF(OR(N(L407)=0,U407=""),"",U407/L407)</f>
        <v>-10.238614246788634</v>
      </c>
      <c r="W407" s="14" t="n">
        <v>7.088</v>
      </c>
      <c r="X407" s="14" t="n">
        <v>-84.66</v>
      </c>
      <c r="Y407" s="13">
        <f>IF(OR(N(W407)=0,X407=""),"",X407/W407)</f>
        <v>-11.944130925507901</v>
      </c>
      <c r="Z407" s="11" t="str">
        <f>IF(AA407="A","四季持續盈利",IF(AA407="B","最新季為正/波動",IF(AA407="C","虧損收窄",IF(AA407="D","虧損擴大或轉虧","數據不足"))))</f>
        <v>虧損擴大或轉虧</v>
      </c>
      <c r="AA407" s="9" t="str">
        <f>IF(COUNT(N407:Q407)&lt;4,"—",IF(MIN(N407:Q407)&gt;0,"A",IF(Q407&gt;0,"B",IF(Q407&gt;N407,"C","D"))))</f>
        <v>D</v>
      </c>
      <c r="AB407" s="9" t="inlineStr">
        <is>
          <t>2026-06-30</t>
        </is>
      </c>
    </row>
    <row r="408" ht="15" customHeight="1">
      <c r="A408" s="9" t="n">
        <v>407</v>
      </c>
      <c r="B408" s="10" t="inlineStr">
        <is>
          <t>RHI</t>
        </is>
      </c>
      <c r="C408" s="11" t="inlineStr">
        <is>
          <t>人力與商業服務</t>
        </is>
      </c>
      <c r="D408" s="11" t="inlineStr">
        <is>
          <t>Robert Half Inc.</t>
        </is>
      </c>
      <c r="E408" s="11" t="inlineStr">
        <is>
          <t>Staffing &amp; Employment Services</t>
        </is>
      </c>
      <c r="F408" s="9" t="inlineStr">
        <is>
          <t>USD</t>
        </is>
      </c>
      <c r="G408" s="11" t="inlineStr">
        <is>
          <t>25Q2 / 25Q3 / 25Q4 / 26Q1 / 26Q2</t>
        </is>
      </c>
      <c r="H408" s="12" t="n">
        <v>1369.743</v>
      </c>
      <c r="I408" s="12" t="n">
        <v>1354.477</v>
      </c>
      <c r="J408" s="12" t="n">
        <v>1302.379</v>
      </c>
      <c r="K408" s="12" t="n">
        <v>1300.179</v>
      </c>
      <c r="L408" s="12" t="n">
        <v>1336.365</v>
      </c>
      <c r="M408" s="13">
        <f>IF(OR(N(H408)=0,L408=""),"",L408/H408-1)</f>
        <v>-0.024368074887040847</v>
      </c>
      <c r="N408" s="14" t="n">
        <v>13.588</v>
      </c>
      <c r="O408" s="14" t="n">
        <v>22.451</v>
      </c>
      <c r="P408" s="14" t="n">
        <v>36.911</v>
      </c>
      <c r="Q408" s="14" t="n">
        <v>-62.299</v>
      </c>
      <c r="R408" s="13">
        <f>IF(OR(N(L408)=0,Q408=""),"",Q408/L408)</f>
        <v>-0.046618251750083245</v>
      </c>
      <c r="S408" s="14" t="n">
        <v>474.027</v>
      </c>
      <c r="T408" s="13">
        <f>IF(OR(N(L408)=0,S408=""),"",S408/L408)</f>
        <v>0.35471371967987786</v>
      </c>
      <c r="U408" s="14" t="n">
        <v>26.318</v>
      </c>
      <c r="V408" s="13">
        <f>IF(OR(N(L408)=0,U408=""),"",U408/L408)</f>
        <v>0.019693721400964558</v>
      </c>
      <c r="W408" s="14" t="n">
        <v>5378.506</v>
      </c>
      <c r="X408" s="14" t="n">
        <v>76.461</v>
      </c>
      <c r="Y408" s="13">
        <f>IF(OR(N(W408)=0,X408=""),"",X408/W408)</f>
        <v>0.014216029507078731</v>
      </c>
      <c r="Z408" s="11" t="str">
        <f>IF(AA408="A","四季持續盈利",IF(AA408="B","最新季為正/波動",IF(AA408="C","虧損收窄",IF(AA408="D","虧損擴大或轉虧","數據不足"))))</f>
        <v>虧損擴大或轉虧</v>
      </c>
      <c r="AA408" s="9" t="str">
        <f>IF(COUNT(N408:Q408)&lt;4,"—",IF(MIN(N408:Q408)&gt;0,"A",IF(Q408&gt;0,"B",IF(Q408&gt;N408,"C","D"))))</f>
        <v>D</v>
      </c>
      <c r="AB408" s="9" t="inlineStr">
        <is>
          <t>2026-06-30</t>
        </is>
      </c>
    </row>
    <row r="409" ht="15" customHeight="1">
      <c r="A409" s="9" t="n">
        <v>408</v>
      </c>
      <c r="B409" s="10" t="inlineStr">
        <is>
          <t>RIG</t>
        </is>
      </c>
      <c r="C409" s="11" t="inlineStr">
        <is>
          <t>海上鑽井與設備</t>
        </is>
      </c>
      <c r="D409" s="11" t="inlineStr">
        <is>
          <t>Transocean Ltd.</t>
        </is>
      </c>
      <c r="E409" s="11" t="inlineStr">
        <is>
          <t>Oil &amp; Gas Drilling</t>
        </is>
      </c>
      <c r="F409" s="9" t="inlineStr">
        <is>
          <t>USD</t>
        </is>
      </c>
      <c r="G409" s="11" t="inlineStr">
        <is>
          <t>25Q2 / 25Q3 / 25Q4 / 26Q1 / 26Q2</t>
        </is>
      </c>
      <c r="H409" s="12" t="n">
        <v>988</v>
      </c>
      <c r="I409" s="12" t="n">
        <v>1028</v>
      </c>
      <c r="J409" s="12" t="n">
        <v>1043</v>
      </c>
      <c r="K409" s="12" t="n">
        <v>1081</v>
      </c>
      <c r="L409" s="12" t="n">
        <v>966</v>
      </c>
      <c r="M409" s="13">
        <f>IF(OR(N(H409)=0,L409=""),"",L409/H409-1)</f>
        <v>-0.022267206477732837</v>
      </c>
      <c r="N409" s="14" t="n">
        <v>237</v>
      </c>
      <c r="O409" s="14" t="n">
        <v>241</v>
      </c>
      <c r="P409" s="14" t="n">
        <v>283</v>
      </c>
      <c r="Q409" s="14" t="n">
        <v>154</v>
      </c>
      <c r="R409" s="13">
        <f>IF(OR(N(L409)=0,Q409=""),"",Q409/L409)</f>
        <v>0.15942028985507245</v>
      </c>
      <c r="S409" s="14" t="n">
        <v>818</v>
      </c>
      <c r="T409" s="13">
        <f>IF(OR(N(L409)=0,S409=""),"",S409/L409)</f>
        <v>0.8467908902691511</v>
      </c>
      <c r="U409" s="14" t="n">
        <v>170</v>
      </c>
      <c r="V409" s="13">
        <f>IF(OR(N(L409)=0,U409=""),"",U409/L409)</f>
        <v>0.17598343685300208</v>
      </c>
      <c r="W409" s="14" t="n">
        <v>3965</v>
      </c>
      <c r="X409" s="14" t="n">
        <v>705</v>
      </c>
      <c r="Y409" s="13">
        <f>IF(OR(N(W409)=0,X409=""),"",X409/W409)</f>
        <v>0.17780580075662042</v>
      </c>
      <c r="Z409" s="11" t="str">
        <f>IF(AA409="A","四季持續盈利",IF(AA409="B","最新季為正/波動",IF(AA409="C","虧損收窄",IF(AA409="D","虧損擴大或轉虧","數據不足"))))</f>
        <v>四季持續盈利</v>
      </c>
      <c r="AA409" s="9" t="str">
        <f>IF(COUNT(N409:Q409)&lt;4,"—",IF(MIN(N409:Q409)&gt;0,"A",IF(Q409&gt;0,"B",IF(Q409&gt;N409,"C","D"))))</f>
        <v>A</v>
      </c>
      <c r="AB409" s="9" t="inlineStr">
        <is>
          <t>2026-06-30</t>
        </is>
      </c>
    </row>
    <row r="410" ht="15" customHeight="1">
      <c r="A410" s="9" t="n">
        <v>409</v>
      </c>
      <c r="B410" s="10" t="inlineStr">
        <is>
          <t>RIOT</t>
        </is>
      </c>
      <c r="C410" s="11" t="inlineStr">
        <is>
          <t>數位資產金融與礦業轉HPC</t>
        </is>
      </c>
      <c r="D410" s="11" t="inlineStr">
        <is>
          <t>Riot Platforms, Inc.</t>
        </is>
      </c>
      <c r="E410" s="11" t="inlineStr">
        <is>
          <t>Capital Markets</t>
        </is>
      </c>
      <c r="F410" s="9" t="inlineStr">
        <is>
          <t>USD</t>
        </is>
      </c>
      <c r="G410" s="11" t="inlineStr">
        <is>
          <t>25Q2 / 25Q3 / 25Q4 / 26Q1 / 26Q2</t>
        </is>
      </c>
      <c r="H410" s="12" t="n">
        <v>152.988</v>
      </c>
      <c r="I410" s="12" t="n">
        <v>180.229</v>
      </c>
      <c r="J410" s="12" t="n">
        <v>152.831</v>
      </c>
      <c r="K410" s="12" t="n">
        <v>167.219</v>
      </c>
      <c r="L410" s="12" t="n">
        <v>174.235</v>
      </c>
      <c r="M410" s="13">
        <f>IF(OR(N(H410)=0,L410=""),"",L410/H410-1)</f>
        <v>0.13888017360838778</v>
      </c>
      <c r="N410" s="14" t="n">
        <v>-51.37</v>
      </c>
      <c r="O410" s="14" t="n">
        <v>-127.316</v>
      </c>
      <c r="P410" s="14" t="n">
        <v>-121.348</v>
      </c>
      <c r="Q410" s="14" t="n">
        <v>-128.488</v>
      </c>
      <c r="R410" s="13">
        <f>IF(OR(N(L410)=0,Q410=""),"",Q410/L410)</f>
        <v>-0.7374408126954974</v>
      </c>
      <c r="S410" s="14" t="n">
        <v>41.241</v>
      </c>
      <c r="T410" s="13">
        <f>IF(OR(N(L410)=0,S410=""),"",S410/L410)</f>
        <v>0.2366975636353201</v>
      </c>
      <c r="U410" s="14" t="n">
        <v>-237.17</v>
      </c>
      <c r="V410" s="13">
        <f>IF(OR(N(L410)=0,U410=""),"",U410/L410)</f>
        <v>-1.3612075644962263</v>
      </c>
      <c r="W410" s="14" t="n">
        <v>647.4349999999999</v>
      </c>
      <c r="X410" s="14" t="n">
        <v>-343.298</v>
      </c>
      <c r="Y410" s="13">
        <f>IF(OR(N(W410)=0,X410=""),"",X410/W410)</f>
        <v>-0.5302431904361056</v>
      </c>
      <c r="Z410" s="11" t="str">
        <f>IF(AA410="A","四季持續盈利",IF(AA410="B","最新季為正/波動",IF(AA410="C","虧損收窄",IF(AA410="D","虧損擴大或轉虧","數據不足"))))</f>
        <v>虧損擴大或轉虧</v>
      </c>
      <c r="AA410" s="9" t="str">
        <f>IF(COUNT(N410:Q410)&lt;4,"—",IF(MIN(N410:Q410)&gt;0,"A",IF(Q410&gt;0,"B",IF(Q410&gt;N410,"C","D"))))</f>
        <v>D</v>
      </c>
      <c r="AB410" s="9" t="inlineStr">
        <is>
          <t>2026-06-30</t>
        </is>
      </c>
    </row>
    <row r="411" ht="15" customHeight="1">
      <c r="A411" s="9" t="n">
        <v>410</v>
      </c>
      <c r="B411" s="10" t="inlineStr">
        <is>
          <t>RIVN</t>
        </is>
      </c>
      <c r="C411" s="11" t="inlineStr">
        <is>
          <t>電動車與新能源車</t>
        </is>
      </c>
      <c r="D411" s="11" t="inlineStr">
        <is>
          <t>Rivian Automotive, Inc.</t>
        </is>
      </c>
      <c r="E411" s="11" t="inlineStr">
        <is>
          <t>Auto Manufacturers</t>
        </is>
      </c>
      <c r="F411" s="9" t="inlineStr">
        <is>
          <t>USD</t>
        </is>
      </c>
      <c r="G411" s="11" t="inlineStr">
        <is>
          <t>25Q2 / 25Q3 / 25Q4 / 26Q1 / 26Q2</t>
        </is>
      </c>
      <c r="H411" s="12" t="n">
        <v>1303</v>
      </c>
      <c r="I411" s="12" t="n">
        <v>1558</v>
      </c>
      <c r="J411" s="12" t="n">
        <v>1286</v>
      </c>
      <c r="K411" s="12" t="n">
        <v>1381</v>
      </c>
      <c r="L411" s="12" t="n">
        <v>1658</v>
      </c>
      <c r="M411" s="13">
        <f>IF(OR(N(H411)=0,L411=""),"",L411/H411-1)</f>
        <v>0.27244819646968543</v>
      </c>
      <c r="N411" s="14" t="n">
        <v>-983</v>
      </c>
      <c r="O411" s="14" t="n">
        <v>-833</v>
      </c>
      <c r="P411" s="14" t="n">
        <v>-881</v>
      </c>
      <c r="Q411" s="14" t="n">
        <v>-836</v>
      </c>
      <c r="R411" s="13">
        <f>IF(OR(N(L411)=0,Q411=""),"",Q411/L411)</f>
        <v>-0.5042219541616405</v>
      </c>
      <c r="S411" s="14" t="n">
        <v>179</v>
      </c>
      <c r="T411" s="13">
        <f>IF(OR(N(L411)=0,S411=""),"",S411/L411)</f>
        <v>0.10796139927623644</v>
      </c>
      <c r="U411" s="14" t="n">
        <v>-833</v>
      </c>
      <c r="V411" s="13">
        <f>IF(OR(N(L411)=0,U411=""),"",U411/L411)</f>
        <v>-0.5024125452352232</v>
      </c>
      <c r="W411" s="14" t="n">
        <v>5387</v>
      </c>
      <c r="X411" s="14" t="n">
        <v>-3585</v>
      </c>
      <c r="Y411" s="13">
        <f>IF(OR(N(W411)=0,X411=""),"",X411/W411)</f>
        <v>-0.6654909968442547</v>
      </c>
      <c r="Z411" s="11" t="str">
        <f>IF(AA411="A","四季持續盈利",IF(AA411="B","最新季為正/波動",IF(AA411="C","虧損收窄",IF(AA411="D","虧損擴大或轉虧","數據不足"))))</f>
        <v>虧損收窄</v>
      </c>
      <c r="AA411" s="9" t="str">
        <f>IF(COUNT(N411:Q411)&lt;4,"—",IF(MIN(N411:Q411)&gt;0,"A",IF(Q411&gt;0,"B",IF(Q411&gt;N411,"C","D"))))</f>
        <v>C</v>
      </c>
      <c r="AB411" s="9" t="inlineStr">
        <is>
          <t>2026-06-30</t>
        </is>
      </c>
    </row>
    <row r="412" ht="15" customHeight="1">
      <c r="A412" s="9" t="n">
        <v>411</v>
      </c>
      <c r="B412" s="10" t="inlineStr">
        <is>
          <t>RKLB</t>
        </is>
      </c>
      <c r="C412" s="11" t="inlineStr">
        <is>
          <t>太空與衛星</t>
        </is>
      </c>
      <c r="D412" s="11" t="inlineStr">
        <is>
          <t>Rocket Lab Corporation</t>
        </is>
      </c>
      <c r="E412" s="11" t="inlineStr">
        <is>
          <t>Aerospace &amp; Defense</t>
        </is>
      </c>
      <c r="F412" s="9" t="inlineStr">
        <is>
          <t>USD</t>
        </is>
      </c>
      <c r="G412" s="11" t="inlineStr">
        <is>
          <t>25Q2 / 25Q3 / 25Q4 / 26Q1 / 26Q2</t>
        </is>
      </c>
      <c r="H412" s="12" t="n">
        <v>144.498</v>
      </c>
      <c r="I412" s="12" t="n">
        <v>155.08</v>
      </c>
      <c r="J412" s="12" t="n">
        <v>179.652</v>
      </c>
      <c r="K412" s="12" t="n">
        <v>200.348</v>
      </c>
      <c r="L412" s="12" t="n">
        <v>234.066</v>
      </c>
      <c r="M412" s="13">
        <f>IF(OR(N(H412)=0,L412=""),"",L412/H412-1)</f>
        <v>0.6198563301914215</v>
      </c>
      <c r="N412" s="14" t="n">
        <v>-58.969</v>
      </c>
      <c r="O412" s="14" t="n">
        <v>-51.042</v>
      </c>
      <c r="P412" s="14" t="n">
        <v>-55.969</v>
      </c>
      <c r="Q412" s="14" t="n">
        <v>-57.514</v>
      </c>
      <c r="R412" s="13">
        <f>IF(OR(N(L412)=0,Q412=""),"",Q412/L412)</f>
        <v>-0.24571701998581597</v>
      </c>
      <c r="S412" s="14" t="n">
        <v>84.57599999999999</v>
      </c>
      <c r="T412" s="13">
        <f>IF(OR(N(L412)=0,S412=""),"",S412/L412)</f>
        <v>0.36133398272282174</v>
      </c>
      <c r="U412" s="14" t="n">
        <v>-49.258</v>
      </c>
      <c r="V412" s="13">
        <f>IF(OR(N(L412)=0,U412=""),"",U412/L412)</f>
        <v>-0.21044491724556322</v>
      </c>
      <c r="W412" s="14" t="n">
        <v>601.799</v>
      </c>
      <c r="X412" s="14" t="n">
        <v>-228.838</v>
      </c>
      <c r="Y412" s="13">
        <f>IF(OR(N(W412)=0,X412=""),"",X412/W412)</f>
        <v>-0.38025653083504624</v>
      </c>
      <c r="Z412" s="11" t="str">
        <f>IF(AA412="A","四季持續盈利",IF(AA412="B","最新季為正/波動",IF(AA412="C","虧損收窄",IF(AA412="D","虧損擴大或轉虧","數據不足"))))</f>
        <v>虧損收窄</v>
      </c>
      <c r="AA412" s="9" t="str">
        <f>IF(COUNT(N412:Q412)&lt;4,"—",IF(MIN(N412:Q412)&gt;0,"A",IF(Q412&gt;0,"B",IF(Q412&gt;N412,"C","D"))))</f>
        <v>C</v>
      </c>
      <c r="AB412" s="9" t="inlineStr">
        <is>
          <t>2026-06-30</t>
        </is>
      </c>
    </row>
    <row r="413" ht="15" customHeight="1">
      <c r="A413" s="9" t="n">
        <v>412</v>
      </c>
      <c r="B413" s="10" t="inlineStr">
        <is>
          <t>RL</t>
        </is>
      </c>
      <c r="C413" s="11" t="inlineStr">
        <is>
          <t>服裝與奢侈品</t>
        </is>
      </c>
      <c r="D413" s="11" t="inlineStr">
        <is>
          <t>Ralph Lauren Corporation</t>
        </is>
      </c>
      <c r="E413" s="11" t="inlineStr">
        <is>
          <t>Apparel Manufacturing</t>
        </is>
      </c>
      <c r="F413" s="9" t="inlineStr">
        <is>
          <t>USD</t>
        </is>
      </c>
      <c r="G413" s="11" t="inlineStr">
        <is>
          <t>25Q2 / 25Q3 / 25Q4 / 26Q1 / 26Q2</t>
        </is>
      </c>
      <c r="H413" s="12" t="n">
        <v>1719.1</v>
      </c>
      <c r="I413" s="12" t="n">
        <v>2010.7</v>
      </c>
      <c r="J413" s="12" t="n">
        <v>2406</v>
      </c>
      <c r="K413" s="12" t="n">
        <v>1978.7</v>
      </c>
      <c r="L413" s="12" t="n">
        <v>1959.8</v>
      </c>
      <c r="M413" s="13">
        <f>IF(OR(N(H413)=0,L413=""),"",L413/H413-1)</f>
        <v>0.14001512419289175</v>
      </c>
      <c r="N413" s="14" t="n">
        <v>283</v>
      </c>
      <c r="O413" s="14" t="n">
        <v>503.1</v>
      </c>
      <c r="P413" s="14" t="n">
        <v>218.3</v>
      </c>
      <c r="Q413" s="14" t="n">
        <v>367.2</v>
      </c>
      <c r="R413" s="13">
        <f>IF(OR(N(L413)=0,Q413=""),"",Q413/L413)</f>
        <v>0.18736605776099602</v>
      </c>
      <c r="S413" s="14" t="n">
        <v>1444.2</v>
      </c>
      <c r="T413" s="13">
        <f>IF(OR(N(L413)=0,S413=""),"",S413/L413)</f>
        <v>0.736911929788754</v>
      </c>
      <c r="U413" s="14" t="n">
        <v>262.2</v>
      </c>
      <c r="V413" s="13">
        <f>IF(OR(N(L413)=0,U413=""),"",U413/L413)</f>
        <v>0.133789162159404</v>
      </c>
      <c r="W413" s="14" t="n">
        <v>8114.5</v>
      </c>
      <c r="X413" s="14" t="n">
        <v>1297.3</v>
      </c>
      <c r="Y413" s="13">
        <f>IF(OR(N(W413)=0,X413=""),"",X413/W413)</f>
        <v>0.15987429909421405</v>
      </c>
      <c r="Z413" s="11" t="str">
        <f>IF(AA413="A","四季持續盈利",IF(AA413="B","最新季為正/波動",IF(AA413="C","虧損收窄",IF(AA413="D","虧損擴大或轉虧","數據不足"))))</f>
        <v>四季持續盈利</v>
      </c>
      <c r="AA413" s="9" t="str">
        <f>IF(COUNT(N413:Q413)&lt;4,"—",IF(MIN(N413:Q413)&gt;0,"A",IF(Q413&gt;0,"B",IF(Q413&gt;N413,"C","D"))))</f>
        <v>A</v>
      </c>
      <c r="AB413" s="9" t="inlineStr">
        <is>
          <t>2026-06-30</t>
        </is>
      </c>
    </row>
    <row r="414" ht="15" customHeight="1">
      <c r="A414" s="9" t="n">
        <v>413</v>
      </c>
      <c r="B414" s="10" t="inlineStr">
        <is>
          <t>RMBS</t>
        </is>
      </c>
      <c r="C414" s="11" t="inlineStr">
        <is>
          <t>—</t>
        </is>
      </c>
      <c r="D414" s="11" t="inlineStr">
        <is>
          <t>Rambus Inc.</t>
        </is>
      </c>
      <c r="E414" s="11" t="inlineStr">
        <is>
          <t>C3 記憶體介面/控制晶片</t>
        </is>
      </c>
      <c r="F414" s="9" t="inlineStr">
        <is>
          <t>USD</t>
        </is>
      </c>
      <c r="G414" s="11" t="inlineStr">
        <is>
          <t>25Q2 / 25Q3 / 25Q4 / 26Q1 / 26Q2</t>
        </is>
      </c>
      <c r="H414" s="12" t="n">
        <v>172.209</v>
      </c>
      <c r="I414" s="12" t="n">
        <v>178.513</v>
      </c>
      <c r="J414" s="12" t="n">
        <v>190.244</v>
      </c>
      <c r="K414" s="12" t="n">
        <v>180.189</v>
      </c>
      <c r="L414" s="12" t="n">
        <v>207.385</v>
      </c>
      <c r="M414" s="13">
        <f>IF(OR(N(H414)=0,L414=""),"",L414/H414-1)</f>
        <v>0.2042634240951402</v>
      </c>
      <c r="N414" s="14" t="n">
        <v>63.255</v>
      </c>
      <c r="O414" s="14" t="n">
        <v>70.82599999999999</v>
      </c>
      <c r="P414" s="14" t="n">
        <v>61.728</v>
      </c>
      <c r="Q414" s="14" t="n">
        <v>76.01300000000001</v>
      </c>
      <c r="R414" s="13">
        <f>IF(OR(N(L414)=0,Q414=""),"",Q414/L414)</f>
        <v>0.36653084842201705</v>
      </c>
      <c r="S414" s="14" t="n">
        <v>165.412</v>
      </c>
      <c r="T414" s="13">
        <f>IF(OR(N(L414)=0,S414=""),"",S414/L414)</f>
        <v>0.7976083130409626</v>
      </c>
      <c r="U414" s="14" t="n">
        <v>67.605</v>
      </c>
      <c r="V414" s="13">
        <f>IF(OR(N(L414)=0,U414=""),"",U414/L414)</f>
        <v>0.3259878969067194</v>
      </c>
      <c r="W414" s="14" t="n">
        <v>707.63</v>
      </c>
      <c r="X414" s="14" t="n">
        <v>260.218</v>
      </c>
      <c r="Y414" s="13">
        <f>IF(OR(N(W414)=0,X414=""),"",X414/W414)</f>
        <v>0.36773172420615297</v>
      </c>
      <c r="Z414" s="11" t="str">
        <f>IF(AA414="A","四季持續盈利",IF(AA414="B","最新季為正/波動",IF(AA414="C","虧損收窄",IF(AA414="D","虧損擴大或轉虧","數據不足"))))</f>
        <v>四季持續盈利</v>
      </c>
      <c r="AA414" s="9" t="str">
        <f>IF(COUNT(N414:Q414)&lt;4,"—",IF(MIN(N414:Q414)&gt;0,"A",IF(Q414&gt;0,"B",IF(Q414&gt;N414,"C","D"))))</f>
        <v>A</v>
      </c>
      <c r="AB414" s="9" t="inlineStr">
        <is>
          <t>2026-06-30</t>
        </is>
      </c>
    </row>
    <row r="415" ht="15" customHeight="1">
      <c r="A415" s="9" t="n">
        <v>414</v>
      </c>
      <c r="B415" s="10" t="inlineStr">
        <is>
          <t>RNR</t>
        </is>
      </c>
      <c r="C415" s="11" t="inlineStr">
        <is>
          <t>產險與再保</t>
        </is>
      </c>
      <c r="D415" s="11" t="inlineStr">
        <is>
          <t>RenaissanceRe Holdings Ltd.</t>
        </is>
      </c>
      <c r="E415" s="11" t="inlineStr">
        <is>
          <t>Insurance - Reinsurance</t>
        </is>
      </c>
      <c r="F415" s="9" t="inlineStr">
        <is>
          <t>USD</t>
        </is>
      </c>
      <c r="G415" s="11" t="inlineStr">
        <is>
          <t>25Q2 / 25Q3 / 25Q4 / 26Q1 / 26Q2</t>
        </is>
      </c>
      <c r="H415" s="12" t="n">
        <v>3186.266</v>
      </c>
      <c r="I415" s="12" t="n">
        <v>3185.631</v>
      </c>
      <c r="J415" s="12" t="n">
        <v>2952.185</v>
      </c>
      <c r="K415" s="12" t="n">
        <v>2174.431</v>
      </c>
      <c r="L415" s="12" t="n">
        <v>2750.772</v>
      </c>
      <c r="M415" s="13">
        <f>IF(OR(N(H415)=0,L415=""),"",L415/H415-1)</f>
        <v>-0.13667848195976107</v>
      </c>
      <c r="N415" s="14" t="n">
        <v>1511.152</v>
      </c>
      <c r="O415" s="14" t="n">
        <v>1295.123</v>
      </c>
      <c r="P415" s="14" t="n">
        <v>580.6</v>
      </c>
      <c r="Q415" s="14" t="n">
        <v>1149.516</v>
      </c>
      <c r="R415" s="13">
        <f>IF(OR(N(L415)=0,Q415=""),"",Q415/L415)</f>
        <v>0.41788850548137035</v>
      </c>
      <c r="S415" s="14" t="n"/>
      <c r="T415" s="13" t="str">
        <f>IF(OR(N(L415)=0,S415=""),"",S415/L415)</f>
        <v/>
      </c>
      <c r="U415" s="14" t="n">
        <v>663.078</v>
      </c>
      <c r="V415" s="13">
        <f>IF(OR(N(L415)=0,U415=""),"",U415/L415)</f>
        <v>0.24105160296818492</v>
      </c>
      <c r="W415" s="14" t="n">
        <v>12776.742</v>
      </c>
      <c r="X415" s="14" t="n">
        <v>4134.927</v>
      </c>
      <c r="Y415" s="13">
        <f>IF(OR(N(W415)=0,X415=""),"",X415/W415)</f>
        <v>0.3236292162743835</v>
      </c>
      <c r="Z415" s="11" t="str">
        <f>IF(AA415="A","四季持續盈利",IF(AA415="B","最新季為正/波動",IF(AA415="C","虧損收窄",IF(AA415="D","虧損擴大或轉虧","數據不足"))))</f>
        <v>四季持續盈利</v>
      </c>
      <c r="AA415" s="9" t="str">
        <f>IF(COUNT(N415:Q415)&lt;4,"—",IF(MIN(N415:Q415)&gt;0,"A",IF(Q415&gt;0,"B",IF(Q415&gt;N415,"C","D"))))</f>
        <v>A</v>
      </c>
      <c r="AB415" s="9" t="inlineStr">
        <is>
          <t>2026-06-30</t>
        </is>
      </c>
    </row>
    <row r="416" ht="15" customHeight="1">
      <c r="A416" s="9" t="n">
        <v>415</v>
      </c>
      <c r="B416" s="10" t="inlineStr">
        <is>
          <t>ROK</t>
        </is>
      </c>
      <c r="C416" s="11" t="inlineStr">
        <is>
          <t>工業自動化與機器人</t>
        </is>
      </c>
      <c r="D416" s="11" t="inlineStr">
        <is>
          <t>Rockwell Automation, Inc.</t>
        </is>
      </c>
      <c r="E416" s="11" t="inlineStr">
        <is>
          <t>Specialty Industrial Machinery</t>
        </is>
      </c>
      <c r="F416" s="9" t="inlineStr">
        <is>
          <t>USD</t>
        </is>
      </c>
      <c r="G416" s="11" t="inlineStr">
        <is>
          <t>25Q2 / 25Q3 / 25Q4 / 26Q1 / 26Q2</t>
        </is>
      </c>
      <c r="H416" s="12" t="n">
        <v>2144</v>
      </c>
      <c r="I416" s="12" t="n">
        <v>2316</v>
      </c>
      <c r="J416" s="12" t="n">
        <v>2105</v>
      </c>
      <c r="K416" s="12" t="n">
        <v>2239</v>
      </c>
      <c r="L416" s="12" t="n">
        <v>2313</v>
      </c>
      <c r="M416" s="13">
        <f>IF(OR(N(H416)=0,L416=""),"",L416/H416-1)</f>
        <v>0.0788246268656716</v>
      </c>
      <c r="N416" s="14" t="n">
        <v>458</v>
      </c>
      <c r="O416" s="14" t="n">
        <v>366</v>
      </c>
      <c r="P416" s="14" t="n">
        <v>467</v>
      </c>
      <c r="Q416" s="14" t="n">
        <v>481</v>
      </c>
      <c r="R416" s="13">
        <f>IF(OR(N(L416)=0,Q416=""),"",Q416/L416)</f>
        <v>0.20795503674881108</v>
      </c>
      <c r="S416" s="14" t="n">
        <v>1144</v>
      </c>
      <c r="T416" s="13">
        <f>IF(OR(N(L416)=0,S416=""),"",S416/L416)</f>
        <v>0.49459576307825337</v>
      </c>
      <c r="U416" s="14" t="n">
        <v>408</v>
      </c>
      <c r="V416" s="13">
        <f>IF(OR(N(L416)=0,U416=""),"",U416/L416)</f>
        <v>0.17639429312581065</v>
      </c>
      <c r="W416" s="14" t="n">
        <v>8342</v>
      </c>
      <c r="X416" s="14" t="n">
        <v>1423</v>
      </c>
      <c r="Y416" s="13">
        <f>IF(OR(N(W416)=0,X416=""),"",X416/W416)</f>
        <v>0.17058259410213378</v>
      </c>
      <c r="Z416" s="11" t="str">
        <f>IF(AA416="A","四季持續盈利",IF(AA416="B","最新季為正/波動",IF(AA416="C","虧損收窄",IF(AA416="D","虧損擴大或轉虧","數據不足"))))</f>
        <v>四季持續盈利</v>
      </c>
      <c r="AA416" s="9" t="str">
        <f>IF(COUNT(N416:Q416)&lt;4,"—",IF(MIN(N416:Q416)&gt;0,"A",IF(Q416&gt;0,"B",IF(Q416&gt;N416,"C","D"))))</f>
        <v>A</v>
      </c>
      <c r="AB416" s="9" t="inlineStr">
        <is>
          <t>2026-06-30</t>
        </is>
      </c>
    </row>
    <row r="417" ht="15" customHeight="1">
      <c r="A417" s="9" t="n">
        <v>416</v>
      </c>
      <c r="B417" s="10" t="inlineStr">
        <is>
          <t>ROKU</t>
        </is>
      </c>
      <c r="C417" s="11" t="inlineStr">
        <is>
          <t>串流影音</t>
        </is>
      </c>
      <c r="D417" s="11" t="inlineStr">
        <is>
          <t>Roku, Inc.</t>
        </is>
      </c>
      <c r="E417" s="11" t="inlineStr">
        <is>
          <t>Entertainment</t>
        </is>
      </c>
      <c r="F417" s="9" t="inlineStr">
        <is>
          <t>USD</t>
        </is>
      </c>
      <c r="G417" s="11" t="inlineStr">
        <is>
          <t>25Q2 / 25Q3 / 25Q4 / 26Q1 / 26Q2</t>
        </is>
      </c>
      <c r="H417" s="12" t="n">
        <v>1111.038</v>
      </c>
      <c r="I417" s="12" t="n">
        <v>1210.638</v>
      </c>
      <c r="J417" s="12" t="n">
        <v>1394.903</v>
      </c>
      <c r="K417" s="12" t="n">
        <v>1248.879</v>
      </c>
      <c r="L417" s="12" t="n">
        <v>1354.69</v>
      </c>
      <c r="M417" s="13">
        <f>IF(OR(N(H417)=0,L417=""),"",L417/H417-1)</f>
        <v>0.21930123002093538</v>
      </c>
      <c r="N417" s="14" t="n">
        <v>9.465999999999999</v>
      </c>
      <c r="O417" s="14" t="n">
        <v>65.973</v>
      </c>
      <c r="P417" s="14" t="n">
        <v>51.772</v>
      </c>
      <c r="Q417" s="14" t="n">
        <v>146.175</v>
      </c>
      <c r="R417" s="13">
        <f>IF(OR(N(L417)=0,Q417=""),"",Q417/L417)</f>
        <v>0.10790291505805756</v>
      </c>
      <c r="S417" s="14" t="n">
        <v>673.696</v>
      </c>
      <c r="T417" s="13">
        <f>IF(OR(N(L417)=0,S417=""),"",S417/L417)</f>
        <v>0.49730639482095534</v>
      </c>
      <c r="U417" s="14" t="n">
        <v>164.216</v>
      </c>
      <c r="V417" s="13">
        <f>IF(OR(N(L417)=0,U417=""),"",U417/L417)</f>
        <v>0.12122035299588836</v>
      </c>
      <c r="W417" s="14" t="n">
        <v>4737.251</v>
      </c>
      <c r="X417" s="14" t="n">
        <v>-5.624</v>
      </c>
      <c r="Y417" s="13">
        <f>IF(OR(N(W417)=0,X417=""),"",X417/W417)</f>
        <v>-0.0011871864083199306</v>
      </c>
      <c r="Z417" s="11" t="str">
        <f>IF(AA417="A","四季持續盈利",IF(AA417="B","最新季為正/波動",IF(AA417="C","虧損收窄",IF(AA417="D","虧損擴大或轉虧","數據不足"))))</f>
        <v>四季持續盈利</v>
      </c>
      <c r="AA417" s="9" t="str">
        <f>IF(COUNT(N417:Q417)&lt;4,"—",IF(MIN(N417:Q417)&gt;0,"A",IF(Q417&gt;0,"B",IF(Q417&gt;N417,"C","D"))))</f>
        <v>A</v>
      </c>
      <c r="AB417" s="9" t="inlineStr">
        <is>
          <t>2026-06-30</t>
        </is>
      </c>
    </row>
    <row r="418" ht="15" customHeight="1">
      <c r="A418" s="9" t="n">
        <v>417</v>
      </c>
      <c r="B418" s="10" t="inlineStr">
        <is>
          <t>ROST</t>
        </is>
      </c>
      <c r="C418" s="11" t="inlineStr">
        <is>
          <t>專門零售</t>
        </is>
      </c>
      <c r="D418" s="11" t="inlineStr">
        <is>
          <t>Ross Stores, Inc.</t>
        </is>
      </c>
      <c r="E418" s="11" t="inlineStr">
        <is>
          <t>Apparel Retail</t>
        </is>
      </c>
      <c r="F418" s="9" t="inlineStr">
        <is>
          <t>USD</t>
        </is>
      </c>
      <c r="G418" s="11" t="inlineStr">
        <is>
          <t>25Q3 / 25Q4 / 26Q1 / 26Q2 / 26Q3</t>
        </is>
      </c>
      <c r="H418" s="12" t="n">
        <v>5529.152</v>
      </c>
      <c r="I418" s="12" t="n">
        <v>5600.946</v>
      </c>
      <c r="J418" s="12" t="n">
        <v>6635.49</v>
      </c>
      <c r="K418" s="12" t="n">
        <v>6010.476</v>
      </c>
      <c r="L418" s="12" t="n">
        <v>6264.886</v>
      </c>
      <c r="M418" s="13">
        <f>IF(OR(N(H418)=0,L418=""),"",L418/H418-1)</f>
        <v>0.13306452779739097</v>
      </c>
      <c r="N418" s="14" t="n">
        <v>648.498</v>
      </c>
      <c r="O418" s="14" t="n">
        <v>814.115</v>
      </c>
      <c r="P418" s="14" t="n">
        <v>804.026</v>
      </c>
      <c r="Q418" s="14" t="n">
        <v>1103.618</v>
      </c>
      <c r="R418" s="13">
        <f>IF(OR(N(L418)=0,Q418=""),"",Q418/L418)</f>
        <v>0.17615931079990918</v>
      </c>
      <c r="S418" s="14" t="n">
        <v>2119.671</v>
      </c>
      <c r="T418" s="13">
        <f>IF(OR(N(L418)=0,S418=""),"",S418/L418)</f>
        <v>0.33834151172104326</v>
      </c>
      <c r="U418" s="14" t="n">
        <v>851.299</v>
      </c>
      <c r="V418" s="13">
        <f>IF(OR(N(L418)=0,U418=""),"",U418/L418)</f>
        <v>0.13588419645624836</v>
      </c>
      <c r="W418" s="14" t="n">
        <v>22750.559</v>
      </c>
      <c r="X418" s="14" t="n">
        <v>2707.357</v>
      </c>
      <c r="Y418" s="13">
        <f>IF(OR(N(W418)=0,X418=""),"",X418/W418)</f>
        <v>0.1190017792529845</v>
      </c>
      <c r="Z418" s="11" t="str">
        <f>IF(AA418="A","四季持續盈利",IF(AA418="B","最新季為正/波動",IF(AA418="C","虧損收窄",IF(AA418="D","虧損擴大或轉虧","數據不足"))))</f>
        <v>四季持續盈利</v>
      </c>
      <c r="AA418" s="9" t="str">
        <f>IF(COUNT(N418:Q418)&lt;4,"—",IF(MIN(N418:Q418)&gt;0,"A",IF(Q418&gt;0,"B",IF(Q418&gt;N418,"C","D"))))</f>
        <v>A</v>
      </c>
      <c r="AB418" s="9" t="inlineStr">
        <is>
          <t>2026-07-31</t>
        </is>
      </c>
    </row>
    <row r="419" ht="15" customHeight="1">
      <c r="A419" s="9" t="n">
        <v>418</v>
      </c>
      <c r="B419" s="10" t="inlineStr">
        <is>
          <t>RS</t>
        </is>
      </c>
      <c r="C419" s="11" t="inlineStr">
        <is>
          <t>鋼鐵</t>
        </is>
      </c>
      <c r="D419" s="11" t="inlineStr">
        <is>
          <t>Reliance, Inc.</t>
        </is>
      </c>
      <c r="E419" s="11" t="inlineStr">
        <is>
          <t>Steel</t>
        </is>
      </c>
      <c r="F419" s="9" t="inlineStr">
        <is>
          <t>USD</t>
        </is>
      </c>
      <c r="G419" s="11" t="inlineStr">
        <is>
          <t>25Q2 / 25Q3 / 25Q4 / 26Q1 / 26Q2</t>
        </is>
      </c>
      <c r="H419" s="12" t="n">
        <v>3659.8</v>
      </c>
      <c r="I419" s="12" t="n">
        <v>3651.2</v>
      </c>
      <c r="J419" s="12" t="n">
        <v>3498.6</v>
      </c>
      <c r="K419" s="12" t="n">
        <v>4026</v>
      </c>
      <c r="L419" s="12" t="n">
        <v>4630</v>
      </c>
      <c r="M419" s="13">
        <f>IF(OR(N(H419)=0,L419=""),"",L419/H419-1)</f>
        <v>0.26509645335810683</v>
      </c>
      <c r="N419" s="14" t="n">
        <v>259.8</v>
      </c>
      <c r="O419" s="14" t="n">
        <v>157.4</v>
      </c>
      <c r="P419" s="14" t="n">
        <v>367.9</v>
      </c>
      <c r="Q419" s="14" t="n">
        <v>441.6</v>
      </c>
      <c r="R419" s="13">
        <f>IF(OR(N(L419)=0,Q419=""),"",Q419/L419)</f>
        <v>0.09537796976241901</v>
      </c>
      <c r="S419" s="14" t="n">
        <v>1300.5</v>
      </c>
      <c r="T419" s="13">
        <f>IF(OR(N(L419)=0,S419=""),"",S419/L419)</f>
        <v>0.2808855291576674</v>
      </c>
      <c r="U419" s="14" t="n">
        <v>322.9</v>
      </c>
      <c r="V419" s="13">
        <f>IF(OR(N(L419)=0,U419=""),"",U419/L419)</f>
        <v>0.06974082073434125</v>
      </c>
      <c r="W419" s="14" t="n">
        <v>14294.3</v>
      </c>
      <c r="X419" s="14" t="n">
        <v>1003.8</v>
      </c>
      <c r="Y419" s="13">
        <f>IF(OR(N(W419)=0,X419=""),"",X419/W419)</f>
        <v>0.07022379549890516</v>
      </c>
      <c r="Z419" s="11" t="str">
        <f>IF(AA419="A","四季持續盈利",IF(AA419="B","最新季為正/波動",IF(AA419="C","虧損收窄",IF(AA419="D","虧損擴大或轉虧","數據不足"))))</f>
        <v>四季持續盈利</v>
      </c>
      <c r="AA419" s="9" t="str">
        <f>IF(COUNT(N419:Q419)&lt;4,"—",IF(MIN(N419:Q419)&gt;0,"A",IF(Q419&gt;0,"B",IF(Q419&gt;N419,"C","D"))))</f>
        <v>A</v>
      </c>
      <c r="AB419" s="9" t="inlineStr">
        <is>
          <t>2026-06-30</t>
        </is>
      </c>
    </row>
    <row r="420" ht="15" customHeight="1">
      <c r="A420" s="9" t="n">
        <v>419</v>
      </c>
      <c r="B420" s="10" t="inlineStr">
        <is>
          <t>RSG</t>
        </is>
      </c>
      <c r="C420" s="11" t="inlineStr">
        <is>
          <t>廢物管理與環境服務</t>
        </is>
      </c>
      <c r="D420" s="11" t="inlineStr">
        <is>
          <t>Republic Services, Inc.</t>
        </is>
      </c>
      <c r="E420" s="11" t="inlineStr">
        <is>
          <t>Waste Management</t>
        </is>
      </c>
      <c r="F420" s="9" t="inlineStr">
        <is>
          <t>USD</t>
        </is>
      </c>
      <c r="G420" s="11" t="inlineStr">
        <is>
          <t>25Q2 / 25Q3 / 25Q4 / 26Q1 / 26Q2</t>
        </is>
      </c>
      <c r="H420" s="12" t="n">
        <v>4235</v>
      </c>
      <c r="I420" s="12" t="n">
        <v>4212</v>
      </c>
      <c r="J420" s="12" t="n">
        <v>4135</v>
      </c>
      <c r="K420" s="12" t="n">
        <v>4113</v>
      </c>
      <c r="L420" s="12" t="n">
        <v>4430</v>
      </c>
      <c r="M420" s="13">
        <f>IF(OR(N(H420)=0,L420=""),"",L420/H420-1)</f>
        <v>0.046044864226682414</v>
      </c>
      <c r="N420" s="14" t="n">
        <v>839</v>
      </c>
      <c r="O420" s="14" t="n">
        <v>807</v>
      </c>
      <c r="P420" s="14" t="n">
        <v>831</v>
      </c>
      <c r="Q420" s="14" t="n">
        <v>905</v>
      </c>
      <c r="R420" s="13">
        <f>IF(OR(N(L420)=0,Q420=""),"",Q420/L420)</f>
        <v>0.20428893905191872</v>
      </c>
      <c r="S420" s="14" t="n">
        <v>1867</v>
      </c>
      <c r="T420" s="13">
        <f>IF(OR(N(L420)=0,S420=""),"",S420/L420)</f>
        <v>0.42144469525959366</v>
      </c>
      <c r="U420" s="14" t="n">
        <v>566</v>
      </c>
      <c r="V420" s="13">
        <f>IF(OR(N(L420)=0,U420=""),"",U420/L420)</f>
        <v>0.12776523702031603</v>
      </c>
      <c r="W420" s="14" t="n">
        <v>16591</v>
      </c>
      <c r="X420" s="14" t="n">
        <v>3322</v>
      </c>
      <c r="Y420" s="13">
        <f>IF(OR(N(W420)=0,X420=""),"",X420/W420)</f>
        <v>0.2002290398408776</v>
      </c>
      <c r="Z420" s="11" t="str">
        <f>IF(AA420="A","四季持續盈利",IF(AA420="B","最新季為正/波動",IF(AA420="C","虧損收窄",IF(AA420="D","虧損擴大或轉虧","數據不足"))))</f>
        <v>四季持續盈利</v>
      </c>
      <c r="AA420" s="9" t="str">
        <f>IF(COUNT(N420:Q420)&lt;4,"—",IF(MIN(N420:Q420)&gt;0,"A",IF(Q420&gt;0,"B",IF(Q420&gt;N420,"C","D"))))</f>
        <v>A</v>
      </c>
      <c r="AB420" s="9" t="inlineStr">
        <is>
          <t>2026-06-30</t>
        </is>
      </c>
    </row>
    <row r="421" ht="15" customHeight="1">
      <c r="A421" s="9" t="n">
        <v>420</v>
      </c>
      <c r="B421" s="10" t="inlineStr">
        <is>
          <t>RTX</t>
        </is>
      </c>
      <c r="C421" s="11" t="inlineStr">
        <is>
          <t>航太與國防</t>
        </is>
      </c>
      <c r="D421" s="11" t="inlineStr">
        <is>
          <t>RTX Corporation</t>
        </is>
      </c>
      <c r="E421" s="11" t="inlineStr">
        <is>
          <t>Aerospace &amp; Defense</t>
        </is>
      </c>
      <c r="F421" s="9" t="inlineStr">
        <is>
          <t>USD</t>
        </is>
      </c>
      <c r="G421" s="11" t="inlineStr">
        <is>
          <t>25Q2 / 25Q3 / 25Q4 / 26Q1 / 26Q2</t>
        </is>
      </c>
      <c r="H421" s="12" t="n">
        <v>21581</v>
      </c>
      <c r="I421" s="12" t="n">
        <v>22478</v>
      </c>
      <c r="J421" s="12" t="n">
        <v>24238</v>
      </c>
      <c r="K421" s="12" t="n">
        <v>22076</v>
      </c>
      <c r="L421" s="12" t="n">
        <v>24708</v>
      </c>
      <c r="M421" s="13">
        <f>IF(OR(N(H421)=0,L421=""),"",L421/H421-1)</f>
        <v>0.14489597330985582</v>
      </c>
      <c r="N421" s="14" t="n">
        <v>2523</v>
      </c>
      <c r="O421" s="14" t="n">
        <v>2596</v>
      </c>
      <c r="P421" s="14" t="n">
        <v>2555</v>
      </c>
      <c r="Q421" s="14" t="n">
        <v>2811</v>
      </c>
      <c r="R421" s="13">
        <f>IF(OR(N(L421)=0,Q421=""),"",Q421/L421)</f>
        <v>0.11376881981544439</v>
      </c>
      <c r="S421" s="14" t="n">
        <v>5133</v>
      </c>
      <c r="T421" s="13">
        <f>IF(OR(N(L421)=0,S421=""),"",S421/L421)</f>
        <v>0.20774647887323944</v>
      </c>
      <c r="U421" s="14" t="n">
        <v>2139</v>
      </c>
      <c r="V421" s="13">
        <f>IF(OR(N(L421)=0,U421=""),"",U421/L421)</f>
        <v>0.08657115104419622</v>
      </c>
      <c r="W421" s="14" t="n">
        <v>88603</v>
      </c>
      <c r="X421" s="14" t="n">
        <v>9300</v>
      </c>
      <c r="Y421" s="13">
        <f>IF(OR(N(W421)=0,X421=""),"",X421/W421)</f>
        <v>0.10496258591695541</v>
      </c>
      <c r="Z421" s="11" t="str">
        <f>IF(AA421="A","四季持續盈利",IF(AA421="B","最新季為正/波動",IF(AA421="C","虧損收窄",IF(AA421="D","虧損擴大或轉虧","數據不足"))))</f>
        <v>四季持續盈利</v>
      </c>
      <c r="AA421" s="9" t="str">
        <f>IF(COUNT(N421:Q421)&lt;4,"—",IF(MIN(N421:Q421)&gt;0,"A",IF(Q421&gt;0,"B",IF(Q421&gt;N421,"C","D"))))</f>
        <v>A</v>
      </c>
      <c r="AB421" s="9" t="inlineStr">
        <is>
          <t>2026-06-30</t>
        </is>
      </c>
    </row>
    <row r="422" ht="15" customHeight="1">
      <c r="A422" s="9" t="n">
        <v>421</v>
      </c>
      <c r="B422" s="10" t="inlineStr">
        <is>
          <t>RUN</t>
        </is>
      </c>
      <c r="C422" s="11" t="inlineStr">
        <is>
          <t>再生能源與太陽能</t>
        </is>
      </c>
      <c r="D422" s="11" t="inlineStr">
        <is>
          <t>Sunrun Inc.</t>
        </is>
      </c>
      <c r="E422" s="11" t="inlineStr">
        <is>
          <t>Solar</t>
        </is>
      </c>
      <c r="F422" s="9" t="inlineStr">
        <is>
          <t>USD</t>
        </is>
      </c>
      <c r="G422" s="11" t="inlineStr">
        <is>
          <t>25Q2 / 25Q3 / 25Q4 / 26Q1 / 26Q2</t>
        </is>
      </c>
      <c r="H422" s="12" t="n">
        <v>569.336</v>
      </c>
      <c r="I422" s="12" t="n">
        <v>724.557</v>
      </c>
      <c r="J422" s="12" t="n">
        <v>1158.833</v>
      </c>
      <c r="K422" s="12" t="n">
        <v>722.231</v>
      </c>
      <c r="L422" s="12" t="n">
        <v>869.9880000000001</v>
      </c>
      <c r="M422" s="13">
        <f>IF(OR(N(H422)=0,L422=""),"",L422/H422-1)</f>
        <v>0.5280748099540518</v>
      </c>
      <c r="N422" s="14" t="n">
        <v>3.651</v>
      </c>
      <c r="O422" s="14" t="n">
        <v>97.357</v>
      </c>
      <c r="P422" s="14" t="n">
        <v>-43.51</v>
      </c>
      <c r="Q422" s="14" t="n">
        <v>34.788</v>
      </c>
      <c r="R422" s="13">
        <f>IF(OR(N(L422)=0,Q422=""),"",Q422/L422)</f>
        <v>0.039986758438047415</v>
      </c>
      <c r="S422" s="14" t="n">
        <v>328.224</v>
      </c>
      <c r="T422" s="13">
        <f>IF(OR(N(L422)=0,S422=""),"",S422/L422)</f>
        <v>0.37727416929888685</v>
      </c>
      <c r="U422" s="14" t="n">
        <v>115.152</v>
      </c>
      <c r="V422" s="13">
        <f>IF(OR(N(L422)=0,U422=""),"",U422/L422)</f>
        <v>0.13236044635098415</v>
      </c>
      <c r="W422" s="14" t="n">
        <v>2956.997</v>
      </c>
      <c r="X422" s="14" t="n">
        <v>-126.129</v>
      </c>
      <c r="Y422" s="13">
        <f>IF(OR(N(W422)=0,X422=""),"",X422/W422)</f>
        <v>-0.042654422713313545</v>
      </c>
      <c r="Z422" s="11" t="str">
        <f>IF(AA422="A","四季持續盈利",IF(AA422="B","最新季為正/波動",IF(AA422="C","虧損收窄",IF(AA422="D","虧損擴大或轉虧","數據不足"))))</f>
        <v>最新季為正/波動</v>
      </c>
      <c r="AA422" s="9" t="str">
        <f>IF(COUNT(N422:Q422)&lt;4,"—",IF(MIN(N422:Q422)&gt;0,"A",IF(Q422&gt;0,"B",IF(Q422&gt;N422,"C","D"))))</f>
        <v>B</v>
      </c>
      <c r="AB422" s="9" t="inlineStr">
        <is>
          <t>2026-06-30</t>
        </is>
      </c>
    </row>
    <row r="423" ht="15" customHeight="1">
      <c r="A423" s="9" t="n">
        <v>422</v>
      </c>
      <c r="B423" s="10" t="inlineStr">
        <is>
          <t>RVMD</t>
        </is>
      </c>
      <c r="C423" s="11" t="inlineStr">
        <is>
          <t>腫瘤與細胞治療</t>
        </is>
      </c>
      <c r="D423" s="11" t="inlineStr">
        <is>
          <t>Revolution Medicines, Inc.</t>
        </is>
      </c>
      <c r="E423" s="11" t="inlineStr">
        <is>
          <t>Biotechnology</t>
        </is>
      </c>
      <c r="F423" s="9" t="inlineStr">
        <is>
          <t>USD</t>
        </is>
      </c>
      <c r="G423" s="11" t="inlineStr">
        <is>
          <t>25Q2 / 25Q3 / 25Q4 / 26Q1 / 26Q2</t>
        </is>
      </c>
      <c r="H423" s="12" t="n">
        <v>0</v>
      </c>
      <c r="I423" s="12" t="n">
        <v>0</v>
      </c>
      <c r="J423" s="12" t="n">
        <v>0</v>
      </c>
      <c r="K423" s="12" t="n">
        <v>0</v>
      </c>
      <c r="L423" s="12" t="n">
        <v>0</v>
      </c>
      <c r="M423" s="13" t="str">
        <f>IF(OR(N(H423)=0,L423=""),"",L423/H423-1)</f>
        <v/>
      </c>
      <c r="N423" s="14" t="n">
        <v>-315.269</v>
      </c>
      <c r="O423" s="14" t="n">
        <v>-361.626</v>
      </c>
      <c r="P423" s="14" t="n">
        <v>-445.222</v>
      </c>
      <c r="Q423" s="14" t="n">
        <v>-505.132</v>
      </c>
      <c r="R423" s="13" t="str">
        <f>IF(OR(N(L423)=0,Q423=""),"",Q423/L423)</f>
        <v/>
      </c>
      <c r="S423" s="14" t="n"/>
      <c r="T423" s="13" t="str">
        <f>IF(OR(N(L423)=0,S423=""),"",S423/L423)</f>
        <v/>
      </c>
      <c r="U423" s="14" t="n">
        <v>-644.371</v>
      </c>
      <c r="V423" s="13" t="str">
        <f>IF(OR(N(L423)=0,U423=""),"",U423/L423)</f>
        <v/>
      </c>
      <c r="W423" s="14" t="n">
        <v>0</v>
      </c>
      <c r="X423" s="14" t="n">
        <v>-1182.369</v>
      </c>
      <c r="Y423" s="13" t="str">
        <f>IF(OR(N(W423)=0,X423=""),"",X423/W423)</f>
        <v/>
      </c>
      <c r="Z423" s="11" t="str">
        <f>IF(AA423="A","四季持續盈利",IF(AA423="B","最新季為正/波動",IF(AA423="C","虧損收窄",IF(AA423="D","虧損擴大或轉虧","數據不足"))))</f>
        <v>虧損擴大或轉虧</v>
      </c>
      <c r="AA423" s="9" t="str">
        <f>IF(COUNT(N423:Q423)&lt;4,"—",IF(MIN(N423:Q423)&gt;0,"A",IF(Q423&gt;0,"B",IF(Q423&gt;N423,"C","D"))))</f>
        <v>D</v>
      </c>
      <c r="AB423" s="9" t="inlineStr">
        <is>
          <t>2026-06-30</t>
        </is>
      </c>
    </row>
    <row r="424" ht="15" customHeight="1">
      <c r="A424" s="9" t="n">
        <v>423</v>
      </c>
      <c r="B424" s="10" t="inlineStr">
        <is>
          <t>RXT</t>
        </is>
      </c>
      <c r="C424" s="11" t="inlineStr">
        <is>
          <t>—</t>
        </is>
      </c>
      <c r="D424" s="11" t="inlineStr">
        <is>
          <t>Rackspace Technology, Inc.</t>
        </is>
      </c>
      <c r="E424" s="11" t="inlineStr">
        <is>
          <t>G5 IT</t>
        </is>
      </c>
      <c r="F424" s="9" t="inlineStr">
        <is>
          <t>USD</t>
        </is>
      </c>
      <c r="G424" s="11" t="inlineStr">
        <is>
          <t>25Q2 / 25Q3 / 25Q4 / 26Q1 / 26Q2</t>
        </is>
      </c>
      <c r="H424" s="12" t="n">
        <v>666.3</v>
      </c>
      <c r="I424" s="12" t="n">
        <v>671.2</v>
      </c>
      <c r="J424" s="12" t="n">
        <v>682.8</v>
      </c>
      <c r="K424" s="12" t="n">
        <v>678.1</v>
      </c>
      <c r="L424" s="12" t="n">
        <v>670.1</v>
      </c>
      <c r="M424" s="13">
        <f>IF(OR(N(H424)=0,L424=""),"",L424/H424-1)</f>
        <v>0.005703136725198954</v>
      </c>
      <c r="N424" s="14" t="n">
        <v>-33.9</v>
      </c>
      <c r="O424" s="14" t="n">
        <v>-3.3</v>
      </c>
      <c r="P424" s="14" t="n">
        <v>-17.8</v>
      </c>
      <c r="Q424" s="14" t="n">
        <v>-33.2</v>
      </c>
      <c r="R424" s="13">
        <f>IF(OR(N(L424)=0,Q424=""),"",Q424/L424)</f>
        <v>-0.049544844053126404</v>
      </c>
      <c r="S424" s="14" t="n">
        <v>114.8</v>
      </c>
      <c r="T424" s="13">
        <f>IF(OR(N(L424)=0,S424=""),"",S424/L424)</f>
        <v>0.17131771377406357</v>
      </c>
      <c r="U424" s="14" t="n">
        <v>-67.5</v>
      </c>
      <c r="V424" s="13">
        <f>IF(OR(N(L424)=0,U424=""),"",U424/L424)</f>
        <v>-0.10073123414415759</v>
      </c>
      <c r="W424" s="14" t="n">
        <v>2685.7</v>
      </c>
      <c r="X424" s="14" t="n">
        <v>-100.7</v>
      </c>
      <c r="Y424" s="13">
        <f>IF(OR(N(W424)=0,X424=""),"",X424/W424)</f>
        <v>-0.03749488029191645</v>
      </c>
      <c r="Z424" s="11" t="str">
        <f>IF(AA424="A","四季持續盈利",IF(AA424="B","最新季為正/波動",IF(AA424="C","虧損收窄",IF(AA424="D","虧損擴大或轉虧","數據不足"))))</f>
        <v>虧損收窄</v>
      </c>
      <c r="AA424" s="9" t="str">
        <f>IF(COUNT(N424:Q424)&lt;4,"—",IF(MIN(N424:Q424)&gt;0,"A",IF(Q424&gt;0,"B",IF(Q424&gt;N424,"C","D"))))</f>
        <v>C</v>
      </c>
      <c r="AB424" s="9" t="inlineStr">
        <is>
          <t>2026-06-30</t>
        </is>
      </c>
    </row>
    <row r="425" ht="15" customHeight="1">
      <c r="A425" s="9" t="n">
        <v>424</v>
      </c>
      <c r="B425" s="10" t="inlineStr">
        <is>
          <t>S</t>
        </is>
      </c>
      <c r="C425" s="11" t="inlineStr">
        <is>
          <t>網絡安全</t>
        </is>
      </c>
      <c r="D425" s="11" t="inlineStr">
        <is>
          <t>SentinelOne, Inc.</t>
        </is>
      </c>
      <c r="E425" s="11" t="inlineStr">
        <is>
          <t>Software - Infrastructure</t>
        </is>
      </c>
      <c r="F425" s="9" t="inlineStr">
        <is>
          <t>USD</t>
        </is>
      </c>
      <c r="G425" s="11" t="inlineStr">
        <is>
          <t>25Q3 / 25Q4 / 26Q1 / 26Q2 / 26Q3</t>
        </is>
      </c>
      <c r="H425" s="12" t="n">
        <v>242.183</v>
      </c>
      <c r="I425" s="12" t="n">
        <v>258.913</v>
      </c>
      <c r="J425" s="12" t="n">
        <v>271.153</v>
      </c>
      <c r="K425" s="12" t="n">
        <v>276.657</v>
      </c>
      <c r="L425" s="12" t="n">
        <v>291.981</v>
      </c>
      <c r="M425" s="13">
        <f>IF(OR(N(H425)=0,L425=""),"",L425/H425-1)</f>
        <v>0.205621368964791</v>
      </c>
      <c r="N425" s="14" t="n">
        <v>-70.14</v>
      </c>
      <c r="O425" s="14" t="n">
        <v>-79.85299999999999</v>
      </c>
      <c r="P425" s="14" t="n">
        <v>-79.68600000000001</v>
      </c>
      <c r="Q425" s="14" t="n">
        <v>-66.336</v>
      </c>
      <c r="R425" s="13">
        <f>IF(OR(N(L425)=0,Q425=""),"",Q425/L425)</f>
        <v>-0.22719286528917979</v>
      </c>
      <c r="S425" s="14" t="n">
        <v>210.418</v>
      </c>
      <c r="T425" s="13">
        <f>IF(OR(N(L425)=0,S425=""),"",S425/L425)</f>
        <v>0.7206564810723985</v>
      </c>
      <c r="U425" s="14" t="n">
        <v>-93.40000000000001</v>
      </c>
      <c r="V425" s="13">
        <f>IF(OR(N(L425)=0,U425=""),"",U425/L425)</f>
        <v>-0.31988382805730514</v>
      </c>
      <c r="W425" s="14" t="n">
        <v>1001.278</v>
      </c>
      <c r="X425" s="14" t="n">
        <v>-309.044</v>
      </c>
      <c r="Y425" s="13">
        <f>IF(OR(N(W425)=0,X425=""),"",X425/W425)</f>
        <v>-0.30864954588036486</v>
      </c>
      <c r="Z425" s="11" t="str">
        <f>IF(AA425="A","四季持續盈利",IF(AA425="B","最新季為正/波動",IF(AA425="C","虧損收窄",IF(AA425="D","虧損擴大或轉虧","數據不足"))))</f>
        <v>虧損收窄</v>
      </c>
      <c r="AA425" s="9" t="str">
        <f>IF(COUNT(N425:Q425)&lt;4,"—",IF(MIN(N425:Q425)&gt;0,"A",IF(Q425&gt;0,"B",IF(Q425&gt;N425,"C","D"))))</f>
        <v>C</v>
      </c>
      <c r="AB425" s="9" t="inlineStr">
        <is>
          <t>2026-07-31</t>
        </is>
      </c>
    </row>
    <row r="426" ht="15" customHeight="1">
      <c r="A426" s="9" t="n">
        <v>425</v>
      </c>
      <c r="B426" s="10" t="inlineStr">
        <is>
          <t>SANA</t>
        </is>
      </c>
      <c r="C426" s="11" t="inlineStr">
        <is>
          <t>臨床期中小型生技</t>
        </is>
      </c>
      <c r="D426" s="11" t="inlineStr">
        <is>
          <t>Sana Biotechnology, Inc.</t>
        </is>
      </c>
      <c r="E426" s="11" t="inlineStr">
        <is>
          <t>Biotechnology</t>
        </is>
      </c>
      <c r="F426" s="9" t="inlineStr">
        <is>
          <t>USD</t>
        </is>
      </c>
      <c r="G426" s="11" t="inlineStr">
        <is>
          <t>25Q2 / 25Q3 / 25Q4 / 26Q1 / 26Q2</t>
        </is>
      </c>
      <c r="H426" s="12" t="n">
        <v>0</v>
      </c>
      <c r="I426" s="12" t="n">
        <v>0</v>
      </c>
      <c r="J426" s="12" t="n">
        <v>0</v>
      </c>
      <c r="K426" s="12" t="n">
        <v>0</v>
      </c>
      <c r="L426" s="12" t="n">
        <v>0</v>
      </c>
      <c r="M426" s="13" t="str">
        <f>IF(OR(N(H426)=0,L426=""),"",L426/H426-1)</f>
        <v/>
      </c>
      <c r="N426" s="14" t="n">
        <v>-43.515</v>
      </c>
      <c r="O426" s="14" t="n">
        <v>-61.199</v>
      </c>
      <c r="P426" s="14" t="n">
        <v>-48.614</v>
      </c>
      <c r="Q426" s="14" t="n">
        <v>-65.42</v>
      </c>
      <c r="R426" s="13" t="str">
        <f>IF(OR(N(L426)=0,Q426=""),"",Q426/L426)</f>
        <v/>
      </c>
      <c r="S426" s="14" t="n"/>
      <c r="T426" s="13" t="str">
        <f>IF(OR(N(L426)=0,S426=""),"",S426/L426)</f>
        <v/>
      </c>
      <c r="U426" s="14" t="n">
        <v>-63.635</v>
      </c>
      <c r="V426" s="13" t="str">
        <f>IF(OR(N(L426)=0,U426=""),"",U426/L426)</f>
        <v/>
      </c>
      <c r="W426" s="14" t="n">
        <v>0</v>
      </c>
      <c r="X426" s="14" t="n">
        <v>-205.708</v>
      </c>
      <c r="Y426" s="13" t="str">
        <f>IF(OR(N(W426)=0,X426=""),"",X426/W426)</f>
        <v/>
      </c>
      <c r="Z426" s="11" t="str">
        <f>IF(AA426="A","四季持續盈利",IF(AA426="B","最新季為正/波動",IF(AA426="C","虧損收窄",IF(AA426="D","虧損擴大或轉虧","數據不足"))))</f>
        <v>虧損擴大或轉虧</v>
      </c>
      <c r="AA426" s="9" t="str">
        <f>IF(COUNT(N426:Q426)&lt;4,"—",IF(MIN(N426:Q426)&gt;0,"A",IF(Q426&gt;0,"B",IF(Q426&gt;N426,"C","D"))))</f>
        <v>D</v>
      </c>
      <c r="AB426" s="9" t="inlineStr">
        <is>
          <t>2026-06-30</t>
        </is>
      </c>
    </row>
    <row r="427" ht="15" customHeight="1">
      <c r="A427" s="9" t="n">
        <v>426</v>
      </c>
      <c r="B427" s="10" t="inlineStr">
        <is>
          <t>SBAC</t>
        </is>
      </c>
      <c r="C427" s="11" t="inlineStr">
        <is>
          <t>通訊塔REIT</t>
        </is>
      </c>
      <c r="D427" s="11" t="inlineStr">
        <is>
          <t>SBA Communications Corporation</t>
        </is>
      </c>
      <c r="E427" s="11" t="inlineStr">
        <is>
          <t>REIT - Specialty</t>
        </is>
      </c>
      <c r="F427" s="9" t="inlineStr">
        <is>
          <t>USD</t>
        </is>
      </c>
      <c r="G427" s="11" t="inlineStr">
        <is>
          <t>25Q2 / 25Q3 / 25Q4 / 26Q1 / 26Q2</t>
        </is>
      </c>
      <c r="H427" s="12" t="n">
        <v>698.981</v>
      </c>
      <c r="I427" s="12" t="n">
        <v>732.327</v>
      </c>
      <c r="J427" s="12" t="n">
        <v>719.583</v>
      </c>
      <c r="K427" s="12" t="n">
        <v>703.438</v>
      </c>
      <c r="L427" s="12" t="n">
        <v>715.274</v>
      </c>
      <c r="M427" s="13">
        <f>IF(OR(N(H427)=0,L427=""),"",L427/H427-1)</f>
        <v>0.02330964647107714</v>
      </c>
      <c r="N427" s="14" t="n">
        <v>399.647</v>
      </c>
      <c r="O427" s="14" t="n">
        <v>389.41</v>
      </c>
      <c r="P427" s="14" t="n">
        <v>380.238</v>
      </c>
      <c r="Q427" s="14" t="n">
        <v>380.353</v>
      </c>
      <c r="R427" s="13">
        <f>IF(OR(N(L427)=0,Q427=""),"",Q427/L427)</f>
        <v>0.5317584589961329</v>
      </c>
      <c r="S427" s="14" t="n">
        <v>539.272</v>
      </c>
      <c r="T427" s="13">
        <f>IF(OR(N(L427)=0,S427=""),"",S427/L427)</f>
        <v>0.7539376518648798</v>
      </c>
      <c r="U427" s="14" t="n">
        <v>198.777</v>
      </c>
      <c r="V427" s="13">
        <f>IF(OR(N(L427)=0,U427=""),"",U427/L427)</f>
        <v>0.2779032930037999</v>
      </c>
      <c r="W427" s="14" t="n">
        <v>2815.139</v>
      </c>
      <c r="X427" s="14" t="n">
        <v>1554.271</v>
      </c>
      <c r="Y427" s="13">
        <f>IF(OR(N(W427)=0,X427=""),"",X427/W427)</f>
        <v>0.5521116364058755</v>
      </c>
      <c r="Z427" s="11" t="str">
        <f>IF(AA427="A","四季持續盈利",IF(AA427="B","最新季為正/波動",IF(AA427="C","虧損收窄",IF(AA427="D","虧損擴大或轉虧","數據不足"))))</f>
        <v>四季持續盈利</v>
      </c>
      <c r="AA427" s="9" t="str">
        <f>IF(COUNT(N427:Q427)&lt;4,"—",IF(MIN(N427:Q427)&gt;0,"A",IF(Q427&gt;0,"B",IF(Q427&gt;N427,"C","D"))))</f>
        <v>A</v>
      </c>
      <c r="AB427" s="9" t="inlineStr">
        <is>
          <t>2026-06-30</t>
        </is>
      </c>
    </row>
    <row r="428" ht="15" customHeight="1">
      <c r="A428" s="9" t="n">
        <v>427</v>
      </c>
      <c r="B428" s="10" t="inlineStr">
        <is>
          <t>SBGSY</t>
        </is>
      </c>
      <c r="C428" s="11" t="inlineStr">
        <is>
          <t>—</t>
        </is>
      </c>
      <c r="D428" s="11" t="inlineStr">
        <is>
          <t>Schneider Electric S.E.</t>
        </is>
      </c>
      <c r="E428" s="11" t="inlineStr">
        <is>
          <t>F1 電源</t>
        </is>
      </c>
      <c r="F428" s="9" t="inlineStr">
        <is>
          <t>EUR</t>
        </is>
      </c>
      <c r="G428" s="11" t="inlineStr">
        <is>
          <t>—</t>
        </is>
      </c>
      <c r="H428" s="12" t="n"/>
      <c r="I428" s="12" t="n"/>
      <c r="J428" s="12" t="n"/>
      <c r="K428" s="12" t="n"/>
      <c r="L428" s="12" t="n"/>
      <c r="M428" s="13" t="str">
        <f>IF(OR(N(H428)=0,L428=""),"",L428/H428-1)</f>
        <v/>
      </c>
      <c r="N428" s="14" t="n"/>
      <c r="O428" s="14" t="n"/>
      <c r="P428" s="14" t="n"/>
      <c r="Q428" s="14" t="n"/>
      <c r="R428" s="13" t="str">
        <f>IF(OR(N(L428)=0,Q428=""),"",Q428/L428)</f>
        <v/>
      </c>
      <c r="S428" s="14" t="n"/>
      <c r="T428" s="13" t="str">
        <f>IF(OR(N(L428)=0,S428=""),"",S428/L428)</f>
        <v/>
      </c>
      <c r="U428" s="14" t="n"/>
      <c r="V428" s="13" t="str">
        <f>IF(OR(N(L428)=0,U428=""),"",U428/L428)</f>
        <v/>
      </c>
      <c r="W428" s="14" t="n">
        <v>40152</v>
      </c>
      <c r="X428" s="14" t="n">
        <v>7010</v>
      </c>
      <c r="Y428" s="13">
        <f>IF(OR(N(W428)=0,X428=""),"",X428/W428)</f>
        <v>0.17458657103008568</v>
      </c>
      <c r="Z428" s="11" t="str">
        <f>IF(AA428="A","四季持續盈利",IF(AA428="B","最新季為正/波動",IF(AA428="C","虧損收窄",IF(AA428="D","虧損擴大或轉虧","數據不足"))))</f>
        <v>數據不足</v>
      </c>
      <c r="AA428" s="9" t="str">
        <f>IF(COUNT(N428:Q428)&lt;4,"—",IF(MIN(N428:Q428)&gt;0,"A",IF(Q428&gt;0,"B",IF(Q428&gt;N428,"C","D"))))</f>
        <v>—</v>
      </c>
      <c r="AB428" s="9" t="inlineStr">
        <is>
          <t>—</t>
        </is>
      </c>
    </row>
    <row r="429" ht="15" customHeight="1">
      <c r="A429" s="9" t="n">
        <v>428</v>
      </c>
      <c r="B429" s="10" t="inlineStr">
        <is>
          <t>SBUX</t>
        </is>
      </c>
      <c r="C429" s="11" t="inlineStr">
        <is>
          <t>餐飲連鎖</t>
        </is>
      </c>
      <c r="D429" s="11" t="inlineStr">
        <is>
          <t>Starbucks Corporation</t>
        </is>
      </c>
      <c r="E429" s="11" t="inlineStr">
        <is>
          <t>Restaurants</t>
        </is>
      </c>
      <c r="F429" s="9" t="inlineStr">
        <is>
          <t>USD</t>
        </is>
      </c>
      <c r="G429" s="11" t="inlineStr">
        <is>
          <t>25Q2 / 25Q3 / 25Q4 / 26Q1 / 26Q2</t>
        </is>
      </c>
      <c r="H429" s="12" t="n">
        <v>9456</v>
      </c>
      <c r="I429" s="12" t="n">
        <v>9569</v>
      </c>
      <c r="J429" s="12" t="n">
        <v>9915.1</v>
      </c>
      <c r="K429" s="12" t="n">
        <v>9531.5</v>
      </c>
      <c r="L429" s="12" t="n">
        <v>9322.700000000001</v>
      </c>
      <c r="M429" s="13">
        <f>IF(OR(N(H429)=0,L429=""),"",L429/H429-1)</f>
        <v>-0.014096869712351912</v>
      </c>
      <c r="N429" s="14" t="n">
        <v>948.1</v>
      </c>
      <c r="O429" s="14" t="n">
        <v>918.3</v>
      </c>
      <c r="P429" s="14" t="n">
        <v>802.4</v>
      </c>
      <c r="Q429" s="14" t="n">
        <v>1204.4</v>
      </c>
      <c r="R429" s="13">
        <f>IF(OR(N(L429)=0,Q429=""),"",Q429/L429)</f>
        <v>0.12919004151157926</v>
      </c>
      <c r="S429" s="14" t="n">
        <v>2296.7</v>
      </c>
      <c r="T429" s="13">
        <f>IF(OR(N(L429)=0,S429=""),"",S429/L429)</f>
        <v>0.24635566949488877</v>
      </c>
      <c r="U429" s="14" t="n">
        <v>1045.3</v>
      </c>
      <c r="V429" s="13">
        <f>IF(OR(N(L429)=0,U429=""),"",U429/L429)</f>
        <v>0.11212417003657738</v>
      </c>
      <c r="W429" s="14" t="n">
        <v>37184.4</v>
      </c>
      <c r="X429" s="14" t="n">
        <v>3580.8</v>
      </c>
      <c r="Y429" s="13">
        <f>IF(OR(N(W429)=0,X429=""),"",X429/W429)</f>
        <v>0.09629844773614742</v>
      </c>
      <c r="Z429" s="11" t="str">
        <f>IF(AA429="A","四季持續盈利",IF(AA429="B","最新季為正/波動",IF(AA429="C","虧損收窄",IF(AA429="D","虧損擴大或轉虧","數據不足"))))</f>
        <v>四季持續盈利</v>
      </c>
      <c r="AA429" s="9" t="str">
        <f>IF(COUNT(N429:Q429)&lt;4,"—",IF(MIN(N429:Q429)&gt;0,"A",IF(Q429&gt;0,"B",IF(Q429&gt;N429,"C","D"))))</f>
        <v>A</v>
      </c>
      <c r="AB429" s="9" t="inlineStr">
        <is>
          <t>2026-06-30</t>
        </is>
      </c>
    </row>
    <row r="430" ht="15" customHeight="1">
      <c r="A430" s="9" t="n">
        <v>429</v>
      </c>
      <c r="B430" s="10" t="inlineStr">
        <is>
          <t>SCCO</t>
        </is>
      </c>
      <c r="C430" s="11" t="inlineStr">
        <is>
          <t>銅與基本金屬</t>
        </is>
      </c>
      <c r="D430" s="11" t="inlineStr">
        <is>
          <t>Southern Copper Corporation</t>
        </is>
      </c>
      <c r="E430" s="11" t="inlineStr">
        <is>
          <t>Copper</t>
        </is>
      </c>
      <c r="F430" s="9" t="inlineStr">
        <is>
          <t>USD</t>
        </is>
      </c>
      <c r="G430" s="11" t="inlineStr">
        <is>
          <t>25Q2 / 25Q3 / 25Q4 / 26Q1 / 26Q2</t>
        </is>
      </c>
      <c r="H430" s="12" t="n">
        <v>3051</v>
      </c>
      <c r="I430" s="12" t="n">
        <v>3377.3</v>
      </c>
      <c r="J430" s="12" t="n">
        <v>3869.8</v>
      </c>
      <c r="K430" s="12" t="n">
        <v>4251.4</v>
      </c>
      <c r="L430" s="12" t="n">
        <v>4289</v>
      </c>
      <c r="M430" s="13">
        <f>IF(OR(N(H430)=0,L430=""),"",L430/H430-1)</f>
        <v>0.40576860045886587</v>
      </c>
      <c r="N430" s="14" t="n">
        <v>1768.8</v>
      </c>
      <c r="O430" s="14" t="n">
        <v>2110.5</v>
      </c>
      <c r="P430" s="14" t="n">
        <v>2480.3</v>
      </c>
      <c r="Q430" s="14" t="n">
        <v>2623.3</v>
      </c>
      <c r="R430" s="13">
        <f>IF(OR(N(L430)=0,Q430=""),"",Q430/L430)</f>
        <v>0.6116344136162276</v>
      </c>
      <c r="S430" s="14" t="n">
        <v>2673.5</v>
      </c>
      <c r="T430" s="13">
        <f>IF(OR(N(L430)=0,S430=""),"",S430/L430)</f>
        <v>0.6233387736069014</v>
      </c>
      <c r="U430" s="14" t="n">
        <v>1670</v>
      </c>
      <c r="V430" s="13">
        <f>IF(OR(N(L430)=0,U430=""),"",U430/L430)</f>
        <v>0.3893681510841688</v>
      </c>
      <c r="W430" s="14" t="n">
        <v>13420</v>
      </c>
      <c r="X430" s="14" t="n">
        <v>7001.8</v>
      </c>
      <c r="Y430" s="13">
        <f>IF(OR(N(W430)=0,X430=""),"",X430/W430)</f>
        <v>0.5217436661698956</v>
      </c>
      <c r="Z430" s="11" t="str">
        <f>IF(AA430="A","四季持續盈利",IF(AA430="B","最新季為正/波動",IF(AA430="C","虧損收窄",IF(AA430="D","虧損擴大或轉虧","數據不足"))))</f>
        <v>四季持續盈利</v>
      </c>
      <c r="AA430" s="9" t="str">
        <f>IF(COUNT(N430:Q430)&lt;4,"—",IF(MIN(N430:Q430)&gt;0,"A",IF(Q430&gt;0,"B",IF(Q430&gt;N430,"C","D"))))</f>
        <v>A</v>
      </c>
      <c r="AB430" s="9" t="inlineStr">
        <is>
          <t>2026-06-30</t>
        </is>
      </c>
    </row>
    <row r="431" ht="15" customHeight="1">
      <c r="A431" s="9" t="n">
        <v>430</v>
      </c>
      <c r="B431" s="10" t="inlineStr">
        <is>
          <t>SCI</t>
        </is>
      </c>
      <c r="C431" s="11" t="inlineStr">
        <is>
          <t>教育與消費服務</t>
        </is>
      </c>
      <c r="D431" s="11" t="inlineStr">
        <is>
          <t>Service Corporation International</t>
        </is>
      </c>
      <c r="E431" s="11" t="inlineStr">
        <is>
          <t>Personal Services</t>
        </is>
      </c>
      <c r="F431" s="9" t="inlineStr">
        <is>
          <t>USD</t>
        </is>
      </c>
      <c r="G431" s="11" t="inlineStr">
        <is>
          <t>25Q2 / 25Q3 / 25Q4 / 26Q1 / 26Q2</t>
        </is>
      </c>
      <c r="H431" s="12" t="n">
        <v>1065.444</v>
      </c>
      <c r="I431" s="12" t="n">
        <v>1058.096</v>
      </c>
      <c r="J431" s="12" t="n">
        <v>1111.527</v>
      </c>
      <c r="K431" s="12" t="n">
        <v>1096.454</v>
      </c>
      <c r="L431" s="12" t="n">
        <v>1103.288</v>
      </c>
      <c r="M431" s="13">
        <f>IF(OR(N(H431)=0,L431=""),"",L431/H431-1)</f>
        <v>0.03551946418582297</v>
      </c>
      <c r="N431" s="14" t="n">
        <v>227.211</v>
      </c>
      <c r="O431" s="14" t="n">
        <v>278.017</v>
      </c>
      <c r="P431" s="14" t="n">
        <v>242.54</v>
      </c>
      <c r="Q431" s="14" t="n">
        <v>231.726</v>
      </c>
      <c r="R431" s="13">
        <f>IF(OR(N(L431)=0,Q431=""),"",Q431/L431)</f>
        <v>0.21003219467627673</v>
      </c>
      <c r="S431" s="14" t="n">
        <v>273.501</v>
      </c>
      <c r="T431" s="13">
        <f>IF(OR(N(L431)=0,S431=""),"",S431/L431)</f>
        <v>0.24789628818585896</v>
      </c>
      <c r="U431" s="14" t="n">
        <v>124.825</v>
      </c>
      <c r="V431" s="13">
        <f>IF(OR(N(L431)=0,U431=""),"",U431/L431)</f>
        <v>0.11313908970277933</v>
      </c>
      <c r="W431" s="14" t="n">
        <v>4309.234</v>
      </c>
      <c r="X431" s="14" t="n">
        <v>973.9160000000001</v>
      </c>
      <c r="Y431" s="13">
        <f>IF(OR(N(W431)=0,X431=""),"",X431/W431)</f>
        <v>0.2260067566532706</v>
      </c>
      <c r="Z431" s="11" t="str">
        <f>IF(AA431="A","四季持續盈利",IF(AA431="B","最新季為正/波動",IF(AA431="C","虧損收窄",IF(AA431="D","虧損擴大或轉虧","數據不足"))))</f>
        <v>四季持續盈利</v>
      </c>
      <c r="AA431" s="9" t="str">
        <f>IF(COUNT(N431:Q431)&lt;4,"—",IF(MIN(N431:Q431)&gt;0,"A",IF(Q431&gt;0,"B",IF(Q431&gt;N431,"C","D"))))</f>
        <v>A</v>
      </c>
      <c r="AB431" s="9" t="inlineStr">
        <is>
          <t>2026-06-30</t>
        </is>
      </c>
    </row>
    <row r="432" ht="15" customHeight="1">
      <c r="A432" s="9" t="n">
        <v>431</v>
      </c>
      <c r="B432" s="10" t="inlineStr">
        <is>
          <t>SHOP</t>
        </is>
      </c>
      <c r="C432" s="11" t="inlineStr">
        <is>
          <t>電商平台</t>
        </is>
      </c>
      <c r="D432" s="11" t="inlineStr">
        <is>
          <t>Shopify Inc.</t>
        </is>
      </c>
      <c r="E432" s="11" t="inlineStr">
        <is>
          <t>Software - Application</t>
        </is>
      </c>
      <c r="F432" s="9" t="inlineStr">
        <is>
          <t>USD</t>
        </is>
      </c>
      <c r="G432" s="11" t="inlineStr">
        <is>
          <t>25Q2 / 25Q3 / 25Q4 / 26Q1 / 26Q2</t>
        </is>
      </c>
      <c r="H432" s="12" t="n">
        <v>2680</v>
      </c>
      <c r="I432" s="12" t="n">
        <v>2844</v>
      </c>
      <c r="J432" s="12" t="n">
        <v>3672</v>
      </c>
      <c r="K432" s="12" t="n">
        <v>3170</v>
      </c>
      <c r="L432" s="12" t="n">
        <v>3583</v>
      </c>
      <c r="M432" s="13">
        <f>IF(OR(N(H432)=0,L432=""),"",L432/H432-1)</f>
        <v>0.33694029850746277</v>
      </c>
      <c r="N432" s="14" t="n">
        <v>491</v>
      </c>
      <c r="O432" s="14" t="n">
        <v>745</v>
      </c>
      <c r="P432" s="14" t="n">
        <v>498</v>
      </c>
      <c r="Q432" s="14" t="n">
        <v>629</v>
      </c>
      <c r="R432" s="13">
        <f>IF(OR(N(L432)=0,Q432=""),"",Q432/L432)</f>
        <v>0.1755512140664248</v>
      </c>
      <c r="S432" s="14" t="n">
        <v>1708</v>
      </c>
      <c r="T432" s="13">
        <f>IF(OR(N(L432)=0,S432=""),"",S432/L432)</f>
        <v>0.47669550655874965</v>
      </c>
      <c r="U432" s="14" t="n">
        <v>1502</v>
      </c>
      <c r="V432" s="13">
        <f>IF(OR(N(L432)=0,U432=""),"",U432/L432)</f>
        <v>0.41920178621267096</v>
      </c>
      <c r="W432" s="14" t="n">
        <v>11556</v>
      </c>
      <c r="X432" s="14" t="n">
        <v>1885</v>
      </c>
      <c r="Y432" s="13">
        <f>IF(OR(N(W432)=0,X432=""),"",X432/W432)</f>
        <v>0.16311872620283835</v>
      </c>
      <c r="Z432" s="11" t="str">
        <f>IF(AA432="A","四季持續盈利",IF(AA432="B","最新季為正/波動",IF(AA432="C","虧損收窄",IF(AA432="D","虧損擴大或轉虧","數據不足"))))</f>
        <v>四季持續盈利</v>
      </c>
      <c r="AA432" s="9" t="str">
        <f>IF(COUNT(N432:Q432)&lt;4,"—",IF(MIN(N432:Q432)&gt;0,"A",IF(Q432&gt;0,"B",IF(Q432&gt;N432,"C","D"))))</f>
        <v>A</v>
      </c>
      <c r="AB432" s="9" t="inlineStr">
        <is>
          <t>2026-06-30</t>
        </is>
      </c>
    </row>
    <row r="433" ht="15" customHeight="1">
      <c r="A433" s="9" t="n">
        <v>432</v>
      </c>
      <c r="B433" s="10" t="inlineStr">
        <is>
          <t>SHW</t>
        </is>
      </c>
      <c r="C433" s="11" t="inlineStr">
        <is>
          <t>特種化工</t>
        </is>
      </c>
      <c r="D433" s="11" t="inlineStr">
        <is>
          <t>The Sherwin-Williams Company</t>
        </is>
      </c>
      <c r="E433" s="11" t="inlineStr">
        <is>
          <t>Specialty Chemicals</t>
        </is>
      </c>
      <c r="F433" s="9" t="inlineStr">
        <is>
          <t>USD</t>
        </is>
      </c>
      <c r="G433" s="11" t="inlineStr">
        <is>
          <t>25Q2 / 25Q3 / 25Q4 / 26Q1 / 26Q2</t>
        </is>
      </c>
      <c r="H433" s="12" t="n">
        <v>6314.5</v>
      </c>
      <c r="I433" s="12" t="n">
        <v>6358.2</v>
      </c>
      <c r="J433" s="12" t="n">
        <v>5595.9</v>
      </c>
      <c r="K433" s="12" t="n">
        <v>5666.9</v>
      </c>
      <c r="L433" s="12" t="n">
        <v>6789.3</v>
      </c>
      <c r="M433" s="13">
        <f>IF(OR(N(H433)=0,L433=""),"",L433/H433-1)</f>
        <v>0.07519201837041734</v>
      </c>
      <c r="N433" s="14" t="n">
        <v>1153.6</v>
      </c>
      <c r="O433" s="14" t="n">
        <v>789.7</v>
      </c>
      <c r="P433" s="14" t="n">
        <v>802.7</v>
      </c>
      <c r="Q433" s="14" t="n">
        <v>1231</v>
      </c>
      <c r="R433" s="13">
        <f>IF(OR(N(L433)=0,Q433=""),"",Q433/L433)</f>
        <v>0.18131471580280736</v>
      </c>
      <c r="S433" s="14" t="n">
        <v>3338</v>
      </c>
      <c r="T433" s="13">
        <f>IF(OR(N(L433)=0,S433=""),"",S433/L433)</f>
        <v>0.49165598809892036</v>
      </c>
      <c r="U433" s="14" t="n">
        <v>843.6</v>
      </c>
      <c r="V433" s="13">
        <f>IF(OR(N(L433)=0,U433=""),"",U433/L433)</f>
        <v>0.12425434139012859</v>
      </c>
      <c r="W433" s="14" t="n">
        <v>23574.3</v>
      </c>
      <c r="X433" s="14" t="n">
        <v>3796.7</v>
      </c>
      <c r="Y433" s="13">
        <f>IF(OR(N(W433)=0,X433=""),"",X433/W433)</f>
        <v>0.16105250208913943</v>
      </c>
      <c r="Z433" s="11" t="str">
        <f>IF(AA433="A","四季持續盈利",IF(AA433="B","最新季為正/波動",IF(AA433="C","虧損收窄",IF(AA433="D","虧損擴大或轉虧","數據不足"))))</f>
        <v>四季持續盈利</v>
      </c>
      <c r="AA433" s="9" t="str">
        <f>IF(COUNT(N433:Q433)&lt;4,"—",IF(MIN(N433:Q433)&gt;0,"A",IF(Q433&gt;0,"B",IF(Q433&gt;N433,"C","D"))))</f>
        <v>A</v>
      </c>
      <c r="AB433" s="9" t="inlineStr">
        <is>
          <t>2026-06-30</t>
        </is>
      </c>
    </row>
    <row r="434" ht="15" customHeight="1">
      <c r="A434" s="9" t="n">
        <v>433</v>
      </c>
      <c r="B434" s="10" t="inlineStr">
        <is>
          <t>SIMO</t>
        </is>
      </c>
      <c r="C434" s="11" t="inlineStr">
        <is>
          <t>—</t>
        </is>
      </c>
      <c r="D434" s="11" t="inlineStr">
        <is>
          <t>Silicon Motion Technology Corporation</t>
        </is>
      </c>
      <c r="E434" s="11" t="inlineStr">
        <is>
          <t>C3 記憶體介面/控制晶片</t>
        </is>
      </c>
      <c r="F434" s="9" t="inlineStr">
        <is>
          <t>USD</t>
        </is>
      </c>
      <c r="G434" s="11" t="inlineStr">
        <is>
          <t>25Q2 / 25Q3 / 25Q4 / 26Q1 / 26Q2</t>
        </is>
      </c>
      <c r="H434" s="12" t="n">
        <v>198.675</v>
      </c>
      <c r="I434" s="12" t="n">
        <v>241.999</v>
      </c>
      <c r="J434" s="12" t="n">
        <v>278.461</v>
      </c>
      <c r="K434" s="12" t="n">
        <v>342.105</v>
      </c>
      <c r="L434" s="12" t="n">
        <v>451.001</v>
      </c>
      <c r="M434" s="13">
        <f>IF(OR(N(H434)=0,L434=""),"",L434/H434-1)</f>
        <v>1.2700440417767709</v>
      </c>
      <c r="N434" s="14" t="n">
        <v>29.232</v>
      </c>
      <c r="O434" s="14" t="n">
        <v>31.711</v>
      </c>
      <c r="P434" s="14" t="n">
        <v>52.204</v>
      </c>
      <c r="Q434" s="14" t="n">
        <v>101.114</v>
      </c>
      <c r="R434" s="13">
        <f>IF(OR(N(L434)=0,Q434=""),"",Q434/L434)</f>
        <v>0.22419905942558888</v>
      </c>
      <c r="S434" s="14" t="n">
        <v>226.217</v>
      </c>
      <c r="T434" s="13">
        <f>IF(OR(N(L434)=0,S434=""),"",S434/L434)</f>
        <v>0.5015886882734185</v>
      </c>
      <c r="U434" s="14" t="n">
        <v>136.112</v>
      </c>
      <c r="V434" s="13">
        <f>IF(OR(N(L434)=0,U434=""),"",U434/L434)</f>
        <v>0.30179977427987964</v>
      </c>
      <c r="W434" s="14" t="n">
        <v>885.627</v>
      </c>
      <c r="X434" s="14" t="n">
        <v>93.03700000000001</v>
      </c>
      <c r="Y434" s="13">
        <f>IF(OR(N(W434)=0,X434=""),"",X434/W434)</f>
        <v>0.10505212691121658</v>
      </c>
      <c r="Z434" s="11" t="str">
        <f>IF(AA434="A","四季持續盈利",IF(AA434="B","最新季為正/波動",IF(AA434="C","虧損收窄",IF(AA434="D","虧損擴大或轉虧","數據不足"))))</f>
        <v>四季持續盈利</v>
      </c>
      <c r="AA434" s="9" t="str">
        <f>IF(COUNT(N434:Q434)&lt;4,"—",IF(MIN(N434:Q434)&gt;0,"A",IF(Q434&gt;0,"B",IF(Q434&gt;N434,"C","D"))))</f>
        <v>A</v>
      </c>
      <c r="AB434" s="9" t="inlineStr">
        <is>
          <t>2026-06-30</t>
        </is>
      </c>
    </row>
    <row r="435" ht="15" customHeight="1">
      <c r="A435" s="9" t="n">
        <v>434</v>
      </c>
      <c r="B435" s="10" t="inlineStr">
        <is>
          <t>SLB</t>
        </is>
      </c>
      <c r="C435" s="11" t="inlineStr">
        <is>
          <t>油田服務</t>
        </is>
      </c>
      <c r="D435" s="11" t="inlineStr">
        <is>
          <t>SLB N.V.</t>
        </is>
      </c>
      <c r="E435" s="11" t="inlineStr">
        <is>
          <t>Oil &amp; Gas Equipment &amp; Services</t>
        </is>
      </c>
      <c r="F435" s="9" t="inlineStr">
        <is>
          <t>USD</t>
        </is>
      </c>
      <c r="G435" s="11" t="inlineStr">
        <is>
          <t>25Q2 / 25Q3 / 25Q4 / 26Q1 / 26Q2</t>
        </is>
      </c>
      <c r="H435" s="12" t="n">
        <v>8546</v>
      </c>
      <c r="I435" s="12" t="n">
        <v>8928</v>
      </c>
      <c r="J435" s="12" t="n">
        <v>9745</v>
      </c>
      <c r="K435" s="12" t="n">
        <v>8721</v>
      </c>
      <c r="L435" s="12" t="n">
        <v>8972</v>
      </c>
      <c r="M435" s="13">
        <f>IF(OR(N(H435)=0,L435=""),"",L435/H435-1)</f>
        <v>0.04984788205008184</v>
      </c>
      <c r="N435" s="14" t="n">
        <v>1316</v>
      </c>
      <c r="O435" s="14" t="n">
        <v>1458</v>
      </c>
      <c r="P435" s="14" t="n">
        <v>1070</v>
      </c>
      <c r="Q435" s="14" t="n">
        <v>1140</v>
      </c>
      <c r="R435" s="13">
        <f>IF(OR(N(L435)=0,Q435=""),"",Q435/L435)</f>
        <v>0.1270619705751226</v>
      </c>
      <c r="S435" s="14" t="n">
        <v>1395</v>
      </c>
      <c r="T435" s="13">
        <f>IF(OR(N(L435)=0,S435=""),"",S435/L435)</f>
        <v>0.15548372715113687</v>
      </c>
      <c r="U435" s="14" t="n">
        <v>786</v>
      </c>
      <c r="V435" s="13">
        <f>IF(OR(N(L435)=0,U435=""),"",U435/L435)</f>
        <v>0.08760588497547928</v>
      </c>
      <c r="W435" s="14" t="n">
        <v>35708</v>
      </c>
      <c r="X435" s="14" t="n">
        <v>5458</v>
      </c>
      <c r="Y435" s="13">
        <f>IF(OR(N(W435)=0,X435=""),"",X435/W435)</f>
        <v>0.15285090175870952</v>
      </c>
      <c r="Z435" s="11" t="str">
        <f>IF(AA435="A","四季持續盈利",IF(AA435="B","最新季為正/波動",IF(AA435="C","虧損收窄",IF(AA435="D","虧損擴大或轉虧","數據不足"))))</f>
        <v>四季持續盈利</v>
      </c>
      <c r="AA435" s="9" t="str">
        <f>IF(COUNT(N435:Q435)&lt;4,"—",IF(MIN(N435:Q435)&gt;0,"A",IF(Q435&gt;0,"B",IF(Q435&gt;N435,"C","D"))))</f>
        <v>A</v>
      </c>
      <c r="AB435" s="9" t="inlineStr">
        <is>
          <t>2026-06-30</t>
        </is>
      </c>
    </row>
    <row r="436" ht="15" customHeight="1">
      <c r="A436" s="9" t="n">
        <v>435</v>
      </c>
      <c r="B436" s="10" t="inlineStr">
        <is>
          <t>SLG</t>
        </is>
      </c>
      <c r="C436" s="11" t="inlineStr">
        <is>
          <t>辦公樓REIT</t>
        </is>
      </c>
      <c r="D436" s="11" t="inlineStr">
        <is>
          <t>SL Green Realty Corp.</t>
        </is>
      </c>
      <c r="E436" s="11" t="inlineStr">
        <is>
          <t>REIT - Office</t>
        </is>
      </c>
      <c r="F436" s="9" t="inlineStr">
        <is>
          <t>USD</t>
        </is>
      </c>
      <c r="G436" s="11" t="inlineStr">
        <is>
          <t>25Q2 / 25Q3 / 25Q4 / 26Q1 / 26Q2</t>
        </is>
      </c>
      <c r="H436" s="12" t="n">
        <v>220.867</v>
      </c>
      <c r="I436" s="12" t="n">
        <v>233.979</v>
      </c>
      <c r="J436" s="12" t="n">
        <v>261.601</v>
      </c>
      <c r="K436" s="12" t="n">
        <v>238.431</v>
      </c>
      <c r="L436" s="12" t="n">
        <v>249.258</v>
      </c>
      <c r="M436" s="13">
        <f>IF(OR(N(H436)=0,L436=""),"",L436/H436-1)</f>
        <v>0.12854342205942948</v>
      </c>
      <c r="N436" s="14" t="n">
        <v>8.417999999999999</v>
      </c>
      <c r="O436" s="14" t="n">
        <v>27.39</v>
      </c>
      <c r="P436" s="14" t="n">
        <v>-25.106</v>
      </c>
      <c r="Q436" s="14" t="n">
        <v>22.872</v>
      </c>
      <c r="R436" s="13">
        <f>IF(OR(N(L436)=0,Q436=""),"",Q436/L436)</f>
        <v>0.09176034470307873</v>
      </c>
      <c r="S436" s="14" t="n">
        <v>112.932</v>
      </c>
      <c r="T436" s="13">
        <f>IF(OR(N(L436)=0,S436=""),"",S436/L436)</f>
        <v>0.4530727198324627</v>
      </c>
      <c r="U436" s="14" t="n">
        <v>-20.508</v>
      </c>
      <c r="V436" s="13">
        <f>IF(OR(N(L436)=0,U436=""),"",U436/L436)</f>
        <v>-0.08227619574898297</v>
      </c>
      <c r="W436" s="14" t="n">
        <v>940.312</v>
      </c>
      <c r="X436" s="14" t="n">
        <v>141.447</v>
      </c>
      <c r="Y436" s="13">
        <f>IF(OR(N(W436)=0,X436=""),"",X436/W436)</f>
        <v>0.15042560341673827</v>
      </c>
      <c r="Z436" s="11" t="str">
        <f>IF(AA436="A","四季持續盈利",IF(AA436="B","最新季為正/波動",IF(AA436="C","虧損收窄",IF(AA436="D","虧損擴大或轉虧","數據不足"))))</f>
        <v>最新季為正/波動</v>
      </c>
      <c r="AA436" s="9" t="str">
        <f>IF(COUNT(N436:Q436)&lt;4,"—",IF(MIN(N436:Q436)&gt;0,"A",IF(Q436&gt;0,"B",IF(Q436&gt;N436,"C","D"))))</f>
        <v>B</v>
      </c>
      <c r="AB436" s="9" t="inlineStr">
        <is>
          <t>2026-06-30</t>
        </is>
      </c>
    </row>
    <row r="437" ht="15" customHeight="1">
      <c r="A437" s="9" t="n">
        <v>436</v>
      </c>
      <c r="B437" s="10" t="inlineStr">
        <is>
          <t>SMCI</t>
        </is>
      </c>
      <c r="C437" s="11" t="inlineStr">
        <is>
          <t>AI資料中心建設</t>
        </is>
      </c>
      <c r="D437" s="11" t="inlineStr">
        <is>
          <t>Super Micro Computer, Inc.</t>
        </is>
      </c>
      <c r="E437" s="11" t="inlineStr">
        <is>
          <t>E1 Server</t>
        </is>
      </c>
      <c r="F437" s="9" t="inlineStr">
        <is>
          <t>USD</t>
        </is>
      </c>
      <c r="G437" s="11" t="inlineStr">
        <is>
          <t>25Q2 / 25Q3 / 25Q4 / 26Q1 / 26Q2</t>
        </is>
      </c>
      <c r="H437" s="12" t="n">
        <v>5756.911</v>
      </c>
      <c r="I437" s="12" t="n">
        <v>5017.79</v>
      </c>
      <c r="J437" s="12" t="n">
        <v>12682.491</v>
      </c>
      <c r="K437" s="12" t="n">
        <v>10243.014</v>
      </c>
      <c r="L437" s="12" t="n">
        <v>11119.777</v>
      </c>
      <c r="M437" s="13">
        <f>IF(OR(N(H437)=0,L437=""),"",L437/H437-1)</f>
        <v>0.931552702482286</v>
      </c>
      <c r="N437" s="14" t="n">
        <v>182.256</v>
      </c>
      <c r="O437" s="14" t="n">
        <v>474.298</v>
      </c>
      <c r="P437" s="14" t="n">
        <v>625.8680000000001</v>
      </c>
      <c r="Q437" s="14" t="n">
        <v>1488.064</v>
      </c>
      <c r="R437" s="13">
        <f>IF(OR(N(L437)=0,Q437=""),"",Q437/L437)</f>
        <v>0.13382138868432344</v>
      </c>
      <c r="S437" s="14" t="n">
        <v>1942.631</v>
      </c>
      <c r="T437" s="13">
        <f>IF(OR(N(L437)=0,S437=""),"",S437/L437)</f>
        <v>0.17470053581110484</v>
      </c>
      <c r="U437" s="14" t="n">
        <v>1178.217</v>
      </c>
      <c r="V437" s="13">
        <f>IF(OR(N(L437)=0,U437=""),"",U437/L437)</f>
        <v>0.10595689104196965</v>
      </c>
      <c r="W437" s="14" t="n">
        <v>39063.072</v>
      </c>
      <c r="X437" s="14" t="n">
        <v>2770.486</v>
      </c>
      <c r="Y437" s="13">
        <f>IF(OR(N(W437)=0,X437=""),"",X437/W437)</f>
        <v>0.07092340305442439</v>
      </c>
      <c r="Z437" s="11" t="str">
        <f>IF(AA437="A","四季持續盈利",IF(AA437="B","最新季為正/波動",IF(AA437="C","虧損收窄",IF(AA437="D","虧損擴大或轉虧","數據不足"))))</f>
        <v>四季持續盈利</v>
      </c>
      <c r="AA437" s="9" t="str">
        <f>IF(COUNT(N437:Q437)&lt;4,"—",IF(MIN(N437:Q437)&gt;0,"A",IF(Q437&gt;0,"B",IF(Q437&gt;N437,"C","D"))))</f>
        <v>A</v>
      </c>
      <c r="AB437" s="9" t="inlineStr">
        <is>
          <t>2026-06-30</t>
        </is>
      </c>
    </row>
    <row r="438" ht="15" customHeight="1">
      <c r="A438" s="9" t="n">
        <v>437</v>
      </c>
      <c r="B438" s="10" t="inlineStr">
        <is>
          <t>SMR</t>
        </is>
      </c>
      <c r="C438" s="11" t="inlineStr">
        <is>
          <t>小型模組化核能SMR</t>
        </is>
      </c>
      <c r="D438" s="11" t="inlineStr">
        <is>
          <t>NuScale Power Corporation</t>
        </is>
      </c>
      <c r="E438" s="11" t="inlineStr">
        <is>
          <t>F3 能源</t>
        </is>
      </c>
      <c r="F438" s="9" t="inlineStr">
        <is>
          <t>USD</t>
        </is>
      </c>
      <c r="G438" s="11" t="inlineStr">
        <is>
          <t>25Q2 / 25Q3 / 25Q4 / 26Q1 / 26Q2</t>
        </is>
      </c>
      <c r="H438" s="12" t="n">
        <v>8.054</v>
      </c>
      <c r="I438" s="12" t="n">
        <v>8.242000000000001</v>
      </c>
      <c r="J438" s="12" t="n">
        <v>1.808</v>
      </c>
      <c r="K438" s="12" t="n">
        <v>0.5649999999999999</v>
      </c>
      <c r="L438" s="12" t="n">
        <v>0.075</v>
      </c>
      <c r="M438" s="13">
        <f>IF(OR(N(H438)=0,L438=""),"",L438/H438-1)</f>
        <v>-0.990687856965483</v>
      </c>
      <c r="N438" s="14" t="n">
        <v>-538.4400000000001</v>
      </c>
      <c r="O438" s="14" t="n">
        <v>-72.72199999999999</v>
      </c>
      <c r="P438" s="14" t="n">
        <v>-57.524</v>
      </c>
      <c r="Q438" s="14" t="n">
        <v>-64.003</v>
      </c>
      <c r="R438" s="13">
        <f>IF(OR(N(L438)=0,Q438=""),"",Q438/L438)</f>
        <v>-853.3733333333333</v>
      </c>
      <c r="S438" s="14" t="n">
        <v>-0.152</v>
      </c>
      <c r="T438" s="13">
        <f>IF(OR(N(L438)=0,S438=""),"",S438/L438)</f>
        <v>-2.026666666666667</v>
      </c>
      <c r="U438" s="14" t="n">
        <v>-47.539</v>
      </c>
      <c r="V438" s="13">
        <f>IF(OR(N(L438)=0,U438=""),"",U438/L438)</f>
        <v>-633.8533333333334</v>
      </c>
      <c r="W438" s="14" t="n">
        <v>31.479</v>
      </c>
      <c r="X438" s="14" t="n">
        <v>-689.571</v>
      </c>
      <c r="Y438" s="13">
        <f>IF(OR(N(W438)=0,X438=""),"",X438/W438)</f>
        <v>-21.90574668826837</v>
      </c>
      <c r="Z438" s="11" t="str">
        <f>IF(AA438="A","四季持續盈利",IF(AA438="B","最新季為正/波動",IF(AA438="C","虧損收窄",IF(AA438="D","虧損擴大或轉虧","數據不足"))))</f>
        <v>虧損收窄</v>
      </c>
      <c r="AA438" s="9" t="str">
        <f>IF(COUNT(N438:Q438)&lt;4,"—",IF(MIN(N438:Q438)&gt;0,"A",IF(Q438&gt;0,"B",IF(Q438&gt;N438,"C","D"))))</f>
        <v>C</v>
      </c>
      <c r="AB438" s="9" t="inlineStr">
        <is>
          <t>2026-06-30</t>
        </is>
      </c>
    </row>
    <row r="439" ht="15" customHeight="1">
      <c r="A439" s="9" t="n">
        <v>438</v>
      </c>
      <c r="B439" s="10" t="inlineStr">
        <is>
          <t>SMTC</t>
        </is>
      </c>
      <c r="C439" s="11" t="inlineStr">
        <is>
          <t>—</t>
        </is>
      </c>
      <c r="D439" s="11" t="inlineStr">
        <is>
          <t>Semtech Corporation</t>
        </is>
      </c>
      <c r="E439" s="11" t="inlineStr">
        <is>
          <t>D3 高速互連</t>
        </is>
      </c>
      <c r="F439" s="9" t="inlineStr">
        <is>
          <t>USD</t>
        </is>
      </c>
      <c r="G439" s="11" t="inlineStr">
        <is>
          <t>25Q3 / 25Q4 / 26Q1 / 26Q2 / 26Q3</t>
        </is>
      </c>
      <c r="H439" s="12" t="n">
        <v>257.589</v>
      </c>
      <c r="I439" s="12" t="n">
        <v>266.971</v>
      </c>
      <c r="J439" s="12" t="n">
        <v>274.355</v>
      </c>
      <c r="K439" s="12" t="n">
        <v>291.018</v>
      </c>
      <c r="L439" s="12" t="n">
        <v>341.871</v>
      </c>
      <c r="M439" s="13">
        <f>IF(OR(N(H439)=0,L439=""),"",L439/H439-1)</f>
        <v>0.32719564888252206</v>
      </c>
      <c r="N439" s="14" t="n">
        <v>31.813</v>
      </c>
      <c r="O439" s="14" t="n">
        <v>27.044</v>
      </c>
      <c r="P439" s="14" t="n">
        <v>26.968</v>
      </c>
      <c r="Q439" s="14" t="n">
        <v>55.46</v>
      </c>
      <c r="R439" s="13">
        <f>IF(OR(N(L439)=0,Q439=""),"",Q439/L439)</f>
        <v>0.16222493279628866</v>
      </c>
      <c r="S439" s="14" t="n">
        <v>183.764</v>
      </c>
      <c r="T439" s="13">
        <f>IF(OR(N(L439)=0,S439=""),"",S439/L439)</f>
        <v>0.5375243878538982</v>
      </c>
      <c r="U439" s="14" t="n">
        <v>160.121</v>
      </c>
      <c r="V439" s="13">
        <f>IF(OR(N(L439)=0,U439=""),"",U439/L439)</f>
        <v>0.4683667231207093</v>
      </c>
      <c r="W439" s="14" t="n">
        <v>1049.975</v>
      </c>
      <c r="X439" s="14" t="n">
        <v>123.313</v>
      </c>
      <c r="Y439" s="13">
        <f>IF(OR(N(W439)=0,X439=""),"",X439/W439)</f>
        <v>0.11744374866068241</v>
      </c>
      <c r="Z439" s="11" t="str">
        <f>IF(AA439="A","四季持續盈利",IF(AA439="B","最新季為正/波動",IF(AA439="C","虧損收窄",IF(AA439="D","虧損擴大或轉虧","數據不足"))))</f>
        <v>四季持續盈利</v>
      </c>
      <c r="AA439" s="9" t="str">
        <f>IF(COUNT(N439:Q439)&lt;4,"—",IF(MIN(N439:Q439)&gt;0,"A",IF(Q439&gt;0,"B",IF(Q439&gt;N439,"C","D"))))</f>
        <v>A</v>
      </c>
      <c r="AB439" s="9" t="inlineStr">
        <is>
          <t>2026-07-31</t>
        </is>
      </c>
    </row>
    <row r="440" ht="15" customHeight="1">
      <c r="A440" s="9" t="n">
        <v>439</v>
      </c>
      <c r="B440" s="10" t="inlineStr">
        <is>
          <t>SNAP</t>
        </is>
      </c>
      <c r="C440" s="11" t="inlineStr">
        <is>
          <t>社交與線上社群</t>
        </is>
      </c>
      <c r="D440" s="11" t="inlineStr">
        <is>
          <t>Snap Inc.</t>
        </is>
      </c>
      <c r="E440" s="11" t="inlineStr">
        <is>
          <t>Internet Content &amp; Information</t>
        </is>
      </c>
      <c r="F440" s="9" t="inlineStr">
        <is>
          <t>USD</t>
        </is>
      </c>
      <c r="G440" s="11" t="inlineStr">
        <is>
          <t>25Q2 / 25Q3 / 25Q4 / 26Q1 / 26Q2</t>
        </is>
      </c>
      <c r="H440" s="12" t="n">
        <v>1344.93</v>
      </c>
      <c r="I440" s="12" t="n">
        <v>1506.839</v>
      </c>
      <c r="J440" s="12" t="n">
        <v>1716.461</v>
      </c>
      <c r="K440" s="12" t="n">
        <v>1528.791</v>
      </c>
      <c r="L440" s="12" t="n">
        <v>1598.993</v>
      </c>
      <c r="M440" s="13">
        <f>IF(OR(N(H440)=0,L440=""),"",L440/H440-1)</f>
        <v>0.1889042552400495</v>
      </c>
      <c r="N440" s="14" t="n">
        <v>-128.362</v>
      </c>
      <c r="O440" s="14" t="n">
        <v>49.717</v>
      </c>
      <c r="P440" s="14" t="n">
        <v>-74.449</v>
      </c>
      <c r="Q440" s="14" t="n">
        <v>-170.721</v>
      </c>
      <c r="R440" s="13">
        <f>IF(OR(N(L440)=0,Q440=""),"",Q440/L440)</f>
        <v>-0.10676782199796998</v>
      </c>
      <c r="S440" s="14" t="n">
        <v>931.1079999999999</v>
      </c>
      <c r="T440" s="13">
        <f>IF(OR(N(L440)=0,S440=""),"",S440/L440)</f>
        <v>0.582308990721035</v>
      </c>
      <c r="U440" s="14" t="n">
        <v>-163.96</v>
      </c>
      <c r="V440" s="13">
        <f>IF(OR(N(L440)=0,U440=""),"",U440/L440)</f>
        <v>-0.10253953582035695</v>
      </c>
      <c r="W440" s="14" t="n">
        <v>5931.447</v>
      </c>
      <c r="X440" s="14" t="n">
        <v>-532.167</v>
      </c>
      <c r="Y440" s="13">
        <f>IF(OR(N(W440)=0,X440=""),"",X440/W440)</f>
        <v>-0.08971959118913142</v>
      </c>
      <c r="Z440" s="11" t="str">
        <f>IF(AA440="A","四季持續盈利",IF(AA440="B","最新季為正/波動",IF(AA440="C","虧損收窄",IF(AA440="D","虧損擴大或轉虧","數據不足"))))</f>
        <v>虧損擴大或轉虧</v>
      </c>
      <c r="AA440" s="9" t="str">
        <f>IF(COUNT(N440:Q440)&lt;4,"—",IF(MIN(N440:Q440)&gt;0,"A",IF(Q440&gt;0,"B",IF(Q440&gt;N440,"C","D"))))</f>
        <v>D</v>
      </c>
      <c r="AB440" s="9" t="inlineStr">
        <is>
          <t>2026-06-30</t>
        </is>
      </c>
    </row>
    <row r="441" ht="15" customHeight="1">
      <c r="A441" s="9" t="n">
        <v>440</v>
      </c>
      <c r="B441" s="10" t="inlineStr">
        <is>
          <t>SNDK</t>
        </is>
      </c>
      <c r="C441" s="11" t="inlineStr">
        <is>
          <t>記憶體/HBM</t>
        </is>
      </c>
      <c r="D441" s="11" t="inlineStr">
        <is>
          <t>Sandisk Corporation</t>
        </is>
      </c>
      <c r="E441" s="11" t="inlineStr">
        <is>
          <t>C2 NAND</t>
        </is>
      </c>
      <c r="F441" s="9" t="inlineStr">
        <is>
          <t>USD</t>
        </is>
      </c>
      <c r="G441" s="11" t="inlineStr">
        <is>
          <t>25Q2 / 25Q3 / 25Q4 / 26Q1 / 26Q2</t>
        </is>
      </c>
      <c r="H441" s="12" t="n">
        <v>1901</v>
      </c>
      <c r="I441" s="12" t="n">
        <v>2308</v>
      </c>
      <c r="J441" s="12" t="n">
        <v>3025</v>
      </c>
      <c r="K441" s="12" t="n">
        <v>5950</v>
      </c>
      <c r="L441" s="12" t="n">
        <v>8965</v>
      </c>
      <c r="M441" s="13">
        <f>IF(OR(N(H441)=0,L441=""),"",L441/H441-1)</f>
        <v>3.7159389794844815</v>
      </c>
      <c r="N441" s="14" t="n">
        <v>192</v>
      </c>
      <c r="O441" s="14" t="n">
        <v>1075</v>
      </c>
      <c r="P441" s="14" t="n">
        <v>4164</v>
      </c>
      <c r="Q441" s="14" t="n">
        <v>7037</v>
      </c>
      <c r="R441" s="13">
        <f>IF(OR(N(L441)=0,Q441=""),"",Q441/L441)</f>
        <v>0.784941438929169</v>
      </c>
      <c r="S441" s="14" t="n">
        <v>7582</v>
      </c>
      <c r="T441" s="13">
        <f>IF(OR(N(L441)=0,S441=""),"",S441/L441)</f>
        <v>0.8457334076965979</v>
      </c>
      <c r="U441" s="14" t="n">
        <v>6903</v>
      </c>
      <c r="V441" s="13">
        <f>IF(OR(N(L441)=0,U441=""),"",U441/L441)</f>
        <v>0.769994422755159</v>
      </c>
      <c r="W441" s="14" t="n">
        <v>20248</v>
      </c>
      <c r="X441" s="14" t="n">
        <v>12468</v>
      </c>
      <c r="Y441" s="13">
        <f>IF(OR(N(W441)=0,X441=""),"",X441/W441)</f>
        <v>0.615764519952588</v>
      </c>
      <c r="Z441" s="11" t="str">
        <f>IF(AA441="A","四季持續盈利",IF(AA441="B","最新季為正/波動",IF(AA441="C","虧損收窄",IF(AA441="D","虧損擴大或轉虧","數據不足"))))</f>
        <v>四季持續盈利</v>
      </c>
      <c r="AA441" s="9" t="str">
        <f>IF(COUNT(N441:Q441)&lt;4,"—",IF(MIN(N441:Q441)&gt;0,"A",IF(Q441&gt;0,"B",IF(Q441&gt;N441,"C","D"))))</f>
        <v>A</v>
      </c>
      <c r="AB441" s="9" t="inlineStr">
        <is>
          <t>2026-06-30</t>
        </is>
      </c>
    </row>
    <row r="442" ht="15" customHeight="1">
      <c r="A442" s="9" t="n">
        <v>441</v>
      </c>
      <c r="B442" s="10" t="inlineStr">
        <is>
          <t>SNOW</t>
        </is>
      </c>
      <c r="C442" s="11" t="inlineStr">
        <is>
          <t>資料/分析平台</t>
        </is>
      </c>
      <c r="D442" s="11" t="inlineStr">
        <is>
          <t>Snowflake Inc.</t>
        </is>
      </c>
      <c r="E442" s="11" t="inlineStr">
        <is>
          <t>G3 AI</t>
        </is>
      </c>
      <c r="F442" s="9" t="inlineStr">
        <is>
          <t>USD</t>
        </is>
      </c>
      <c r="G442" s="11" t="inlineStr">
        <is>
          <t>25Q3 / 25Q4 / 26Q1 / 26Q2 / 26Q3</t>
        </is>
      </c>
      <c r="H442" s="12" t="n">
        <v>1144.969</v>
      </c>
      <c r="I442" s="12" t="n">
        <v>1212.909</v>
      </c>
      <c r="J442" s="12" t="n">
        <v>1283.994</v>
      </c>
      <c r="K442" s="12" t="n">
        <v>1390.951</v>
      </c>
      <c r="L442" s="12" t="n"/>
      <c r="M442" s="13" t="str">
        <f>IF(OR(N(H442)=0,L442=""),"",L442/H442-1)</f>
        <v/>
      </c>
      <c r="N442" s="14" t="n">
        <v>-329.473</v>
      </c>
      <c r="O442" s="14" t="n">
        <v>-318.159</v>
      </c>
      <c r="P442" s="14" t="n">
        <v>-326.154</v>
      </c>
      <c r="Q442" s="14" t="n"/>
      <c r="R442" s="13" t="str">
        <f>IF(OR(N(L442)=0,Q442=""),"",Q442/L442)</f>
        <v/>
      </c>
      <c r="S442" s="14" t="n"/>
      <c r="T442" s="13" t="str">
        <f>IF(OR(N(L442)=0,S442=""),"",S442/L442)</f>
        <v/>
      </c>
      <c r="U442" s="14" t="n"/>
      <c r="V442" s="13" t="str">
        <f>IF(OR(N(L442)=0,U442=""),"",U442/L442)</f>
        <v/>
      </c>
      <c r="W442" s="14" t="n">
        <v>4683.946</v>
      </c>
      <c r="X442" s="14" t="n">
        <v>-1435.165</v>
      </c>
      <c r="Y442" s="13">
        <f>IF(OR(N(W442)=0,X442=""),"",X442/W442)</f>
        <v>-0.3064008423666712</v>
      </c>
      <c r="Z442" s="11" t="str">
        <f>IF(AA442="A","四季持續盈利",IF(AA442="B","最新季為正/波動",IF(AA442="C","虧損收窄",IF(AA442="D","虧損擴大或轉虧","數據不足"))))</f>
        <v>數據不足</v>
      </c>
      <c r="AA442" s="9" t="str">
        <f>IF(COUNT(N442:Q442)&lt;4,"—",IF(MIN(N442:Q442)&gt;0,"A",IF(Q442&gt;0,"B",IF(Q442&gt;N442,"C","D"))))</f>
        <v>—</v>
      </c>
      <c r="AB442" s="9" t="inlineStr">
        <is>
          <t>2026-07-31</t>
        </is>
      </c>
    </row>
    <row r="443" ht="15" customHeight="1">
      <c r="A443" s="9" t="n">
        <v>442</v>
      </c>
      <c r="B443" s="10" t="inlineStr">
        <is>
          <t>SNPS</t>
        </is>
      </c>
      <c r="C443" s="11" t="inlineStr">
        <is>
          <t>EDA與半導體IP</t>
        </is>
      </c>
      <c r="D443" s="11" t="inlineStr">
        <is>
          <t>Synopsys, Inc.</t>
        </is>
      </c>
      <c r="E443" s="11" t="inlineStr">
        <is>
          <t>B5 EDA</t>
        </is>
      </c>
      <c r="F443" s="9" t="inlineStr">
        <is>
          <t>USD</t>
        </is>
      </c>
      <c r="G443" s="11" t="inlineStr">
        <is>
          <t>25Q3 / 25Q4 / 26Q1 / 26Q2 / 26Q3</t>
        </is>
      </c>
      <c r="H443" s="12" t="n">
        <v>1739.737</v>
      </c>
      <c r="I443" s="12" t="n">
        <v>2254.86</v>
      </c>
      <c r="J443" s="12" t="n">
        <v>2408.798</v>
      </c>
      <c r="K443" s="12" t="n">
        <v>2275.985</v>
      </c>
      <c r="L443" s="12" t="n">
        <v>2476.822</v>
      </c>
      <c r="M443" s="13">
        <f>IF(OR(N(H443)=0,L443=""),"",L443/H443-1)</f>
        <v>0.42367610736565364</v>
      </c>
      <c r="N443" s="14" t="n">
        <v>121.393</v>
      </c>
      <c r="O443" s="14" t="n">
        <v>321.328</v>
      </c>
      <c r="P443" s="14" t="n">
        <v>236.32</v>
      </c>
      <c r="Q443" s="14" t="n">
        <v>359.655</v>
      </c>
      <c r="R443" s="13">
        <f>IF(OR(N(L443)=0,Q443=""),"",Q443/L443)</f>
        <v>0.1452082547716388</v>
      </c>
      <c r="S443" s="14" t="n">
        <v>1797.434</v>
      </c>
      <c r="T443" s="13">
        <f>IF(OR(N(L443)=0,S443=""),"",S443/L443)</f>
        <v>0.7257017258406134</v>
      </c>
      <c r="U443" s="14" t="n">
        <v>545.8</v>
      </c>
      <c r="V443" s="13">
        <f>IF(OR(N(L443)=0,U443=""),"",U443/L443)</f>
        <v>0.2203630297211507</v>
      </c>
      <c r="W443" s="14" t="n">
        <v>7054.178</v>
      </c>
      <c r="X443" s="14" t="n">
        <v>914.927</v>
      </c>
      <c r="Y443" s="13">
        <f>IF(OR(N(W443)=0,X443=""),"",X443/W443)</f>
        <v>0.1297000160755796</v>
      </c>
      <c r="Z443" s="11" t="str">
        <f>IF(AA443="A","四季持續盈利",IF(AA443="B","最新季為正/波動",IF(AA443="C","虧損收窄",IF(AA443="D","虧損擴大或轉虧","數據不足"))))</f>
        <v>四季持續盈利</v>
      </c>
      <c r="AA443" s="9" t="str">
        <f>IF(COUNT(N443:Q443)&lt;4,"—",IF(MIN(N443:Q443)&gt;0,"A",IF(Q443&gt;0,"B",IF(Q443&gt;N443,"C","D"))))</f>
        <v>A</v>
      </c>
      <c r="AB443" s="9" t="inlineStr">
        <is>
          <t>2026-07-31</t>
        </is>
      </c>
    </row>
    <row r="444" ht="15" customHeight="1">
      <c r="A444" s="9" t="n">
        <v>443</v>
      </c>
      <c r="B444" s="10" t="inlineStr">
        <is>
          <t>SO</t>
        </is>
      </c>
      <c r="C444" s="11" t="inlineStr">
        <is>
          <t>受監管電力公用</t>
        </is>
      </c>
      <c r="D444" s="11" t="inlineStr">
        <is>
          <t>The Southern Company</t>
        </is>
      </c>
      <c r="E444" s="11" t="inlineStr">
        <is>
          <t>Utilities - Regulated Electric</t>
        </is>
      </c>
      <c r="F444" s="9" t="inlineStr">
        <is>
          <t>USD</t>
        </is>
      </c>
      <c r="G444" s="11" t="inlineStr">
        <is>
          <t>25Q2 / 25Q3 / 25Q4 / 26Q1 / 26Q2</t>
        </is>
      </c>
      <c r="H444" s="12" t="n">
        <v>6973</v>
      </c>
      <c r="I444" s="12" t="n">
        <v>7823</v>
      </c>
      <c r="J444" s="12" t="n">
        <v>6981</v>
      </c>
      <c r="K444" s="12" t="n">
        <v>8397</v>
      </c>
      <c r="L444" s="12" t="n">
        <v>6977</v>
      </c>
      <c r="M444" s="13">
        <f>IF(OR(N(H444)=0,L444=""),"",L444/H444-1)</f>
        <v>0.0005736411874373015</v>
      </c>
      <c r="N444" s="14" t="n">
        <v>2594</v>
      </c>
      <c r="O444" s="14" t="n">
        <v>917</v>
      </c>
      <c r="P444" s="14" t="n">
        <v>2018</v>
      </c>
      <c r="Q444" s="14" t="n">
        <v>1776</v>
      </c>
      <c r="R444" s="13">
        <f>IF(OR(N(L444)=0,Q444=""),"",Q444/L444)</f>
        <v>0.25455066647556257</v>
      </c>
      <c r="S444" s="14" t="n">
        <v>3577</v>
      </c>
      <c r="T444" s="13">
        <f>IF(OR(N(L444)=0,S444=""),"",S444/L444)</f>
        <v>0.512684534900387</v>
      </c>
      <c r="U444" s="14" t="n">
        <v>1174</v>
      </c>
      <c r="V444" s="13">
        <f>IF(OR(N(L444)=0,U444=""),"",U444/L444)</f>
        <v>0.16826716353733698</v>
      </c>
      <c r="W444" s="14" t="n">
        <v>29553</v>
      </c>
      <c r="X444" s="14" t="n">
        <v>7285</v>
      </c>
      <c r="Y444" s="13">
        <f>IF(OR(N(W444)=0,X444=""),"",X444/W444)</f>
        <v>0.24650627685852536</v>
      </c>
      <c r="Z444" s="11" t="str">
        <f>IF(AA444="A","四季持續盈利",IF(AA444="B","最新季為正/波動",IF(AA444="C","虧損收窄",IF(AA444="D","虧損擴大或轉虧","數據不足"))))</f>
        <v>四季持續盈利</v>
      </c>
      <c r="AA444" s="9" t="str">
        <f>IF(COUNT(N444:Q444)&lt;4,"—",IF(MIN(N444:Q444)&gt;0,"A",IF(Q444&gt;0,"B",IF(Q444&gt;N444,"C","D"))))</f>
        <v>A</v>
      </c>
      <c r="AB444" s="9" t="inlineStr">
        <is>
          <t>2026-06-30</t>
        </is>
      </c>
    </row>
    <row r="445" ht="15" customHeight="1">
      <c r="A445" s="9" t="n">
        <v>444</v>
      </c>
      <c r="B445" s="10" t="inlineStr">
        <is>
          <t>SOFI</t>
        </is>
      </c>
      <c r="C445" s="11" t="inlineStr">
        <is>
          <t>消費金融與BNPL</t>
        </is>
      </c>
      <c r="D445" s="11" t="inlineStr">
        <is>
          <t>SoFi Technologies, Inc.</t>
        </is>
      </c>
      <c r="E445" s="11" t="inlineStr">
        <is>
          <t>Credit Services</t>
        </is>
      </c>
      <c r="F445" s="9" t="inlineStr">
        <is>
          <t>USD</t>
        </is>
      </c>
      <c r="G445" s="11" t="inlineStr">
        <is>
          <t>25Q2 / 25Q3 / 25Q4 / 26Q1 / 26Q2</t>
        </is>
      </c>
      <c r="H445" s="12" t="n">
        <v>854.944</v>
      </c>
      <c r="I445" s="12" t="n">
        <v>961.6</v>
      </c>
      <c r="J445" s="12" t="n">
        <v>1025.051</v>
      </c>
      <c r="K445" s="12" t="n">
        <v>1100.368</v>
      </c>
      <c r="L445" s="12" t="n">
        <v>1218.676</v>
      </c>
      <c r="M445" s="13">
        <f>IF(OR(N(H445)=0,L445=""),"",L445/H445-1)</f>
        <v>0.4254454092899651</v>
      </c>
      <c r="N445" s="14" t="n"/>
      <c r="O445" s="14" t="n"/>
      <c r="P445" s="14" t="n"/>
      <c r="Q445" s="14" t="n"/>
      <c r="R445" s="13" t="str">
        <f>IF(OR(N(L445)=0,Q445=""),"",Q445/L445)</f>
        <v/>
      </c>
      <c r="S445" s="14" t="n"/>
      <c r="T445" s="13" t="str">
        <f>IF(OR(N(L445)=0,S445=""),"",S445/L445)</f>
        <v/>
      </c>
      <c r="U445" s="14" t="n">
        <v>156.592</v>
      </c>
      <c r="V445" s="13">
        <f>IF(OR(N(L445)=0,U445=""),"",U445/L445)</f>
        <v>0.1284935454542471</v>
      </c>
      <c r="W445" s="14" t="n">
        <v>3613.354</v>
      </c>
      <c r="X445" s="14" t="n"/>
      <c r="Y445" s="13" t="str">
        <f>IF(OR(N(W445)=0,X445=""),"",X445/W445)</f>
        <v/>
      </c>
      <c r="Z445" s="11" t="str">
        <f>IF(AA445="A","四季持續盈利",IF(AA445="B","最新季為正/波動",IF(AA445="C","虧損收窄",IF(AA445="D","虧損擴大或轉虧","數據不足"))))</f>
        <v>數據不足</v>
      </c>
      <c r="AA445" s="9" t="str">
        <f>IF(COUNT(N445:Q445)&lt;4,"—",IF(MIN(N445:Q445)&gt;0,"A",IF(Q445&gt;0,"B",IF(Q445&gt;N445,"C","D"))))</f>
        <v>—</v>
      </c>
      <c r="AB445" s="9" t="inlineStr">
        <is>
          <t>2026-06-30</t>
        </is>
      </c>
    </row>
    <row r="446" ht="15" customHeight="1">
      <c r="A446" s="9" t="n">
        <v>445</v>
      </c>
      <c r="B446" s="10" t="inlineStr">
        <is>
          <t>SOUN</t>
        </is>
      </c>
      <c r="C446" s="11" t="inlineStr">
        <is>
          <t>—</t>
        </is>
      </c>
      <c r="D446" s="11" t="inlineStr">
        <is>
          <t>SoundHound AI, Inc.</t>
        </is>
      </c>
      <c r="E446" s="11" t="inlineStr">
        <is>
          <t>G3 AI</t>
        </is>
      </c>
      <c r="F446" s="9" t="inlineStr">
        <is>
          <t>USD</t>
        </is>
      </c>
      <c r="G446" s="11" t="inlineStr">
        <is>
          <t>25Q2 / 25Q3 / 25Q4 / 26Q1 / 26Q2</t>
        </is>
      </c>
      <c r="H446" s="12" t="n">
        <v>42.683</v>
      </c>
      <c r="I446" s="12" t="n">
        <v>42.049</v>
      </c>
      <c r="J446" s="12" t="n">
        <v>55.059</v>
      </c>
      <c r="K446" s="12" t="n">
        <v>44.195</v>
      </c>
      <c r="L446" s="12" t="n">
        <v>61.897</v>
      </c>
      <c r="M446" s="13">
        <f>IF(OR(N(H446)=0,L446=""),"",L446/H446-1)</f>
        <v>0.45015579973291464</v>
      </c>
      <c r="N446" s="14" t="n">
        <v>-49.646</v>
      </c>
      <c r="O446" s="14" t="n">
        <v>-42.058</v>
      </c>
      <c r="P446" s="14" t="n">
        <v>-62.063</v>
      </c>
      <c r="Q446" s="14" t="n">
        <v>-46.995</v>
      </c>
      <c r="R446" s="13">
        <f>IF(OR(N(L446)=0,Q446=""),"",Q446/L446)</f>
        <v>-0.7592451976670921</v>
      </c>
      <c r="S446" s="14" t="n">
        <v>27.93</v>
      </c>
      <c r="T446" s="13">
        <f>IF(OR(N(L446)=0,S446=""),"",S446/L446)</f>
        <v>0.45123350081587155</v>
      </c>
      <c r="U446" s="14" t="n">
        <v>-42.817</v>
      </c>
      <c r="V446" s="13">
        <f>IF(OR(N(L446)=0,U446=""),"",U446/L446)</f>
        <v>-0.691745965071005</v>
      </c>
      <c r="W446" s="14" t="n">
        <v>168.92</v>
      </c>
      <c r="X446" s="14" t="n">
        <v>-186.399</v>
      </c>
      <c r="Y446" s="13">
        <f>IF(OR(N(W446)=0,X446=""),"",X446/W446)</f>
        <v>-1.1034750177598864</v>
      </c>
      <c r="Z446" s="11" t="str">
        <f>IF(AA446="A","四季持續盈利",IF(AA446="B","最新季為正/波動",IF(AA446="C","虧損收窄",IF(AA446="D","虧損擴大或轉虧","數據不足"))))</f>
        <v>虧損收窄</v>
      </c>
      <c r="AA446" s="9" t="str">
        <f>IF(COUNT(N446:Q446)&lt;4,"—",IF(MIN(N446:Q446)&gt;0,"A",IF(Q446&gt;0,"B",IF(Q446&gt;N446,"C","D"))))</f>
        <v>C</v>
      </c>
      <c r="AB446" s="9" t="inlineStr">
        <is>
          <t>2026-06-30</t>
        </is>
      </c>
    </row>
    <row r="447" ht="15" customHeight="1">
      <c r="A447" s="9" t="n">
        <v>446</v>
      </c>
      <c r="B447" s="10" t="inlineStr">
        <is>
          <t>SPG</t>
        </is>
      </c>
      <c r="C447" s="11" t="inlineStr">
        <is>
          <t>零售與購物中心REIT</t>
        </is>
      </c>
      <c r="D447" s="11" t="inlineStr">
        <is>
          <t>Simon Property Group, Inc.</t>
        </is>
      </c>
      <c r="E447" s="11" t="inlineStr">
        <is>
          <t>REIT - Retail</t>
        </is>
      </c>
      <c r="F447" s="9" t="inlineStr">
        <is>
          <t>USD</t>
        </is>
      </c>
      <c r="G447" s="11" t="inlineStr">
        <is>
          <t>25Q2 / 25Q3 / 25Q4 / 26Q1 / 26Q2</t>
        </is>
      </c>
      <c r="H447" s="12" t="n">
        <v>1498.459</v>
      </c>
      <c r="I447" s="12" t="n">
        <v>1601.572</v>
      </c>
      <c r="J447" s="12" t="n">
        <v>1791.462</v>
      </c>
      <c r="K447" s="12" t="n">
        <v>1757.093</v>
      </c>
      <c r="L447" s="12" t="n">
        <v>1790.598</v>
      </c>
      <c r="M447" s="13">
        <f>IF(OR(N(H447)=0,L447=""),"",L447/H447-1)</f>
        <v>0.19495962185151527</v>
      </c>
      <c r="N447" s="14" t="n">
        <v>812.914</v>
      </c>
      <c r="O447" s="14" t="n">
        <v>890.669</v>
      </c>
      <c r="P447" s="14" t="n">
        <v>762.163</v>
      </c>
      <c r="Q447" s="14" t="n">
        <v>824.098</v>
      </c>
      <c r="R447" s="13">
        <f>IF(OR(N(L447)=0,Q447=""),"",Q447/L447)</f>
        <v>0.46023618925074194</v>
      </c>
      <c r="S447" s="14" t="n">
        <v>1487.253</v>
      </c>
      <c r="T447" s="13">
        <f>IF(OR(N(L447)=0,S447=""),"",S447/L447)</f>
        <v>0.8305901157043625</v>
      </c>
      <c r="U447" s="14" t="n">
        <v>483.973</v>
      </c>
      <c r="V447" s="13">
        <f>IF(OR(N(L447)=0,U447=""),"",U447/L447)</f>
        <v>0.2702856810964829</v>
      </c>
      <c r="W447" s="14" t="n">
        <v>6364.505</v>
      </c>
      <c r="X447" s="14" t="n">
        <v>3175.396</v>
      </c>
      <c r="Y447" s="13">
        <f>IF(OR(N(W447)=0,X447=""),"",X447/W447)</f>
        <v>0.49892269705185244</v>
      </c>
      <c r="Z447" s="11" t="str">
        <f>IF(AA447="A","四季持續盈利",IF(AA447="B","最新季為正/波動",IF(AA447="C","虧損收窄",IF(AA447="D","虧損擴大或轉虧","數據不足"))))</f>
        <v>四季持續盈利</v>
      </c>
      <c r="AA447" s="9" t="str">
        <f>IF(COUNT(N447:Q447)&lt;4,"—",IF(MIN(N447:Q447)&gt;0,"A",IF(Q447&gt;0,"B",IF(Q447&gt;N447,"C","D"))))</f>
        <v>A</v>
      </c>
      <c r="AB447" s="9" t="inlineStr">
        <is>
          <t>2026-06-30</t>
        </is>
      </c>
    </row>
    <row r="448" ht="15" customHeight="1">
      <c r="A448" s="9" t="n">
        <v>447</v>
      </c>
      <c r="B448" s="10" t="inlineStr">
        <is>
          <t>SPGI</t>
        </is>
      </c>
      <c r="C448" s="11" t="inlineStr">
        <is>
          <t>交易所與金融數據</t>
        </is>
      </c>
      <c r="D448" s="11" t="inlineStr">
        <is>
          <t>S&amp;P Global Inc.</t>
        </is>
      </c>
      <c r="E448" s="11" t="inlineStr">
        <is>
          <t>Financial Data &amp; Stock Exchanges</t>
        </is>
      </c>
      <c r="F448" s="9" t="inlineStr">
        <is>
          <t>USD</t>
        </is>
      </c>
      <c r="G448" s="11" t="inlineStr">
        <is>
          <t>25Q2 / 25Q3 / 25Q4 / 26Q1 / 26Q2</t>
        </is>
      </c>
      <c r="H448" s="12" t="n">
        <v>3755</v>
      </c>
      <c r="I448" s="12" t="n">
        <v>3888</v>
      </c>
      <c r="J448" s="12" t="n">
        <v>3916</v>
      </c>
      <c r="K448" s="12" t="n">
        <v>4171</v>
      </c>
      <c r="L448" s="12" t="n">
        <v>4146</v>
      </c>
      <c r="M448" s="13">
        <f>IF(OR(N(H448)=0,L448=""),"",L448/H448-1)</f>
        <v>0.10412782956058586</v>
      </c>
      <c r="N448" s="14" t="n">
        <v>1668</v>
      </c>
      <c r="O448" s="14" t="n">
        <v>1404</v>
      </c>
      <c r="P448" s="14" t="n">
        <v>1827</v>
      </c>
      <c r="Q448" s="14" t="n">
        <v>1801</v>
      </c>
      <c r="R448" s="13">
        <f>IF(OR(N(L448)=0,Q448=""),"",Q448/L448)</f>
        <v>0.43439459720212253</v>
      </c>
      <c r="S448" s="14" t="n">
        <v>2981</v>
      </c>
      <c r="T448" s="13">
        <f>IF(OR(N(L448)=0,S448=""),"",S448/L448)</f>
        <v>0.7190062711046792</v>
      </c>
      <c r="U448" s="14" t="n">
        <v>1217</v>
      </c>
      <c r="V448" s="13">
        <f>IF(OR(N(L448)=0,U448=""),"",U448/L448)</f>
        <v>0.2935359382537385</v>
      </c>
      <c r="W448" s="14" t="n">
        <v>15336</v>
      </c>
      <c r="X448" s="14" t="n">
        <v>6177</v>
      </c>
      <c r="Y448" s="13">
        <f>IF(OR(N(W448)=0,X448=""),"",X448/W448)</f>
        <v>0.4027777777777778</v>
      </c>
      <c r="Z448" s="11" t="str">
        <f>IF(AA448="A","四季持續盈利",IF(AA448="B","最新季為正/波動",IF(AA448="C","虧損收窄",IF(AA448="D","虧損擴大或轉虧","數據不足"))))</f>
        <v>四季持續盈利</v>
      </c>
      <c r="AA448" s="9" t="str">
        <f>IF(COUNT(N448:Q448)&lt;4,"—",IF(MIN(N448:Q448)&gt;0,"A",IF(Q448&gt;0,"B",IF(Q448&gt;N448,"C","D"))))</f>
        <v>A</v>
      </c>
      <c r="AB448" s="9" t="inlineStr">
        <is>
          <t>2026-06-30</t>
        </is>
      </c>
    </row>
    <row r="449" ht="15" customHeight="1">
      <c r="A449" s="9" t="n">
        <v>448</v>
      </c>
      <c r="B449" s="10" t="inlineStr">
        <is>
          <t>SR</t>
        </is>
      </c>
      <c r="C449" s="11" t="inlineStr">
        <is>
          <t>燃氣公用</t>
        </is>
      </c>
      <c r="D449" s="11" t="inlineStr">
        <is>
          <t>Spire Inc.</t>
        </is>
      </c>
      <c r="E449" s="11" t="inlineStr">
        <is>
          <t>Utilities - Regulated Gas</t>
        </is>
      </c>
      <c r="F449" s="9" t="inlineStr">
        <is>
          <t>USD</t>
        </is>
      </c>
      <c r="G449" s="11" t="inlineStr">
        <is>
          <t>25Q2 / 25Q3 / 25Q4 / 26Q1 / 26Q2</t>
        </is>
      </c>
      <c r="H449" s="12" t="n">
        <v>352.5</v>
      </c>
      <c r="I449" s="12" t="n">
        <v>334.1</v>
      </c>
      <c r="J449" s="12" t="n">
        <v>762.2</v>
      </c>
      <c r="K449" s="12" t="n">
        <v>1020</v>
      </c>
      <c r="L449" s="12" t="n">
        <v>420.2</v>
      </c>
      <c r="M449" s="13">
        <f>IF(OR(N(H449)=0,L449=""),"",L449/H449-1)</f>
        <v>0.19205673758865238</v>
      </c>
      <c r="N449" s="14" t="n">
        <v>-0.5</v>
      </c>
      <c r="O449" s="14" t="n">
        <v>173.5</v>
      </c>
      <c r="P449" s="14" t="n">
        <v>303.5</v>
      </c>
      <c r="Q449" s="14" t="n">
        <v>23.4</v>
      </c>
      <c r="R449" s="13">
        <f>IF(OR(N(L449)=0,Q449=""),"",Q449/L449)</f>
        <v>0.055687767729652546</v>
      </c>
      <c r="S449" s="14" t="n">
        <v>170.7</v>
      </c>
      <c r="T449" s="13">
        <f>IF(OR(N(L449)=0,S449=""),"",S449/L449)</f>
        <v>0.40623512613041407</v>
      </c>
      <c r="U449" s="14" t="n">
        <v>211.2</v>
      </c>
      <c r="V449" s="13">
        <f>IF(OR(N(L449)=0,U449=""),"",U449/L449)</f>
        <v>0.5026178010471204</v>
      </c>
      <c r="W449" s="14" t="n">
        <v>2476.4</v>
      </c>
      <c r="X449" s="14" t="n">
        <v>523.9</v>
      </c>
      <c r="Y449" s="13">
        <f>IF(OR(N(W449)=0,X449=""),"",X449/W449)</f>
        <v>0.21155709901469874</v>
      </c>
      <c r="Z449" s="11" t="str">
        <f>IF(AA449="A","四季持續盈利",IF(AA449="B","最新季為正/波動",IF(AA449="C","虧損收窄",IF(AA449="D","虧損擴大或轉虧","數據不足"))))</f>
        <v>最新季為正/波動</v>
      </c>
      <c r="AA449" s="9" t="str">
        <f>IF(COUNT(N449:Q449)&lt;4,"—",IF(MIN(N449:Q449)&gt;0,"A",IF(Q449&gt;0,"B",IF(Q449&gt;N449,"C","D"))))</f>
        <v>B</v>
      </c>
      <c r="AB449" s="9" t="inlineStr">
        <is>
          <t>2026-06-30</t>
        </is>
      </c>
    </row>
    <row r="450" ht="15" customHeight="1">
      <c r="A450" s="9" t="n">
        <v>449</v>
      </c>
      <c r="B450" s="10" t="inlineStr">
        <is>
          <t>STAG</t>
        </is>
      </c>
      <c r="C450" s="11" t="inlineStr">
        <is>
          <t>工業與物流REIT</t>
        </is>
      </c>
      <c r="D450" s="11" t="inlineStr">
        <is>
          <t>STAG Industrial, Inc.</t>
        </is>
      </c>
      <c r="E450" s="11" t="inlineStr">
        <is>
          <t>REIT - Industrial</t>
        </is>
      </c>
      <c r="F450" s="9" t="inlineStr">
        <is>
          <t>USD</t>
        </is>
      </c>
      <c r="G450" s="11" t="inlineStr">
        <is>
          <t>25Q2 / 25Q3 / 25Q4 / 26Q1 / 26Q2</t>
        </is>
      </c>
      <c r="H450" s="12" t="n">
        <v>207.593</v>
      </c>
      <c r="I450" s="12" t="n">
        <v>211.121</v>
      </c>
      <c r="J450" s="12" t="n">
        <v>220.896</v>
      </c>
      <c r="K450" s="12" t="n">
        <v>224.207</v>
      </c>
      <c r="L450" s="12" t="n">
        <v>224.369</v>
      </c>
      <c r="M450" s="13">
        <f>IF(OR(N(H450)=0,L450=""),"",L450/H450-1)</f>
        <v>0.08081197342877666</v>
      </c>
      <c r="N450" s="14" t="n">
        <v>80.81699999999999</v>
      </c>
      <c r="O450" s="14" t="n">
        <v>84.306</v>
      </c>
      <c r="P450" s="14" t="n">
        <v>84.44199999999999</v>
      </c>
      <c r="Q450" s="14" t="n">
        <v>83.55200000000001</v>
      </c>
      <c r="R450" s="13">
        <f>IF(OR(N(L450)=0,Q450=""),"",Q450/L450)</f>
        <v>0.3723865596405921</v>
      </c>
      <c r="S450" s="14" t="n">
        <v>179.341</v>
      </c>
      <c r="T450" s="13">
        <f>IF(OR(N(L450)=0,S450=""),"",S450/L450)</f>
        <v>0.7993127392821647</v>
      </c>
      <c r="U450" s="14" t="n">
        <v>52.917</v>
      </c>
      <c r="V450" s="13">
        <f>IF(OR(N(L450)=0,U450=""),"",U450/L450)</f>
        <v>0.23584808953108496</v>
      </c>
      <c r="W450" s="14" t="n">
        <v>845.184</v>
      </c>
      <c r="X450" s="14" t="n">
        <v>319.629</v>
      </c>
      <c r="Y450" s="13">
        <f>IF(OR(N(W450)=0,X450=""),"",X450/W450)</f>
        <v>0.3781768230349841</v>
      </c>
      <c r="Z450" s="11" t="str">
        <f>IF(AA450="A","四季持續盈利",IF(AA450="B","最新季為正/波動",IF(AA450="C","虧損收窄",IF(AA450="D","虧損擴大或轉虧","數據不足"))))</f>
        <v>四季持續盈利</v>
      </c>
      <c r="AA450" s="9" t="str">
        <f>IF(COUNT(N450:Q450)&lt;4,"—",IF(MIN(N450:Q450)&gt;0,"A",IF(Q450&gt;0,"B",IF(Q450&gt;N450,"C","D"))))</f>
        <v>A</v>
      </c>
      <c r="AB450" s="9" t="inlineStr">
        <is>
          <t>2026-06-30</t>
        </is>
      </c>
    </row>
    <row r="451" ht="15" customHeight="1">
      <c r="A451" s="9" t="n">
        <v>450</v>
      </c>
      <c r="B451" s="10" t="inlineStr">
        <is>
          <t>STLD</t>
        </is>
      </c>
      <c r="C451" s="11" t="inlineStr">
        <is>
          <t>鋼鐵</t>
        </is>
      </c>
      <c r="D451" s="11" t="inlineStr">
        <is>
          <t>Steel Dynamics, Inc.</t>
        </is>
      </c>
      <c r="E451" s="11" t="inlineStr">
        <is>
          <t>Steel</t>
        </is>
      </c>
      <c r="F451" s="9" t="inlineStr">
        <is>
          <t>USD</t>
        </is>
      </c>
      <c r="G451" s="11" t="inlineStr">
        <is>
          <t>25Q2 / 25Q3 / 25Q4 / 26Q1 / 26Q2</t>
        </is>
      </c>
      <c r="H451" s="12" t="n">
        <v>4565.123</v>
      </c>
      <c r="I451" s="12" t="n">
        <v>4828.215</v>
      </c>
      <c r="J451" s="12" t="n">
        <v>4414.048</v>
      </c>
      <c r="K451" s="12" t="n">
        <v>5204.858</v>
      </c>
      <c r="L451" s="12" t="n">
        <v>6091.557</v>
      </c>
      <c r="M451" s="13">
        <f>IF(OR(N(H451)=0,L451=""),"",L451/H451-1)</f>
        <v>0.3343686468031639</v>
      </c>
      <c r="N451" s="14" t="n">
        <v>550.146</v>
      </c>
      <c r="O451" s="14" t="n">
        <v>337.426</v>
      </c>
      <c r="P451" s="14" t="n">
        <v>580.202</v>
      </c>
      <c r="Q451" s="14" t="n">
        <v>757.793</v>
      </c>
      <c r="R451" s="13">
        <f>IF(OR(N(L451)=0,Q451=""),"",Q451/L451)</f>
        <v>0.124400543243706</v>
      </c>
      <c r="S451" s="14" t="n">
        <v>958.974</v>
      </c>
      <c r="T451" s="13">
        <f>IF(OR(N(L451)=0,S451=""),"",S451/L451)</f>
        <v>0.15742674656085465</v>
      </c>
      <c r="U451" s="14" t="n">
        <v>534.087</v>
      </c>
      <c r="V451" s="13">
        <f>IF(OR(N(L451)=0,U451=""),"",U451/L451)</f>
        <v>0.087676598938498</v>
      </c>
      <c r="W451" s="14" t="n">
        <v>18176.581</v>
      </c>
      <c r="X451" s="14" t="n">
        <v>1598.972</v>
      </c>
      <c r="Y451" s="13">
        <f>IF(OR(N(W451)=0,X451=""),"",X451/W451)</f>
        <v>0.0879687989727001</v>
      </c>
      <c r="Z451" s="11" t="str">
        <f>IF(AA451="A","四季持續盈利",IF(AA451="B","最新季為正/波動",IF(AA451="C","虧損收窄",IF(AA451="D","虧損擴大或轉虧","數據不足"))))</f>
        <v>四季持續盈利</v>
      </c>
      <c r="AA451" s="9" t="str">
        <f>IF(COUNT(N451:Q451)&lt;4,"—",IF(MIN(N451:Q451)&gt;0,"A",IF(Q451&gt;0,"B",IF(Q451&gt;N451,"C","D"))))</f>
        <v>A</v>
      </c>
      <c r="AB451" s="9" t="inlineStr">
        <is>
          <t>2026-06-30</t>
        </is>
      </c>
    </row>
    <row r="452" ht="15" customHeight="1">
      <c r="A452" s="9" t="n">
        <v>451</v>
      </c>
      <c r="B452" s="10" t="inlineStr">
        <is>
          <t>STX</t>
        </is>
      </c>
      <c r="C452" s="11" t="inlineStr">
        <is>
          <t>記憶體/HBM</t>
        </is>
      </c>
      <c r="D452" s="11" t="inlineStr">
        <is>
          <t>Seagate Technology Holdings plc</t>
        </is>
      </c>
      <c r="E452" s="11" t="inlineStr">
        <is>
          <t>C2 NAND</t>
        </is>
      </c>
      <c r="F452" s="9" t="inlineStr">
        <is>
          <t>USD</t>
        </is>
      </c>
      <c r="G452" s="11" t="inlineStr">
        <is>
          <t>25Q2 / 25Q3 / 25Q4 / 26Q1 / 26Q2</t>
        </is>
      </c>
      <c r="H452" s="12" t="n">
        <v>2444</v>
      </c>
      <c r="I452" s="12" t="n">
        <v>2629</v>
      </c>
      <c r="J452" s="12" t="n">
        <v>2825</v>
      </c>
      <c r="K452" s="12" t="n">
        <v>3112</v>
      </c>
      <c r="L452" s="12" t="n">
        <v>3629</v>
      </c>
      <c r="M452" s="13">
        <f>IF(OR(N(H452)=0,L452=""),"",L452/H452-1)</f>
        <v>0.48486088379705405</v>
      </c>
      <c r="N452" s="14" t="n">
        <v>707</v>
      </c>
      <c r="O452" s="14" t="n">
        <v>846</v>
      </c>
      <c r="P452" s="14" t="n">
        <v>1110</v>
      </c>
      <c r="Q452" s="14" t="n">
        <v>1563</v>
      </c>
      <c r="R452" s="13">
        <f>IF(OR(N(L452)=0,Q452=""),"",Q452/L452)</f>
        <v>0.4306971617525489</v>
      </c>
      <c r="S452" s="14" t="n">
        <v>1898</v>
      </c>
      <c r="T452" s="13">
        <f>IF(OR(N(L452)=0,S452=""),"",S452/L452)</f>
        <v>0.5230090934141637</v>
      </c>
      <c r="U452" s="14" t="n">
        <v>1294</v>
      </c>
      <c r="V452" s="13">
        <f>IF(OR(N(L452)=0,U452=""),"",U452/L452)</f>
        <v>0.35657205841829703</v>
      </c>
      <c r="W452" s="14" t="n">
        <v>12195</v>
      </c>
      <c r="X452" s="14" t="n">
        <v>4226</v>
      </c>
      <c r="Y452" s="13">
        <f>IF(OR(N(W452)=0,X452=""),"",X452/W452)</f>
        <v>0.34653546535465357</v>
      </c>
      <c r="Z452" s="11" t="str">
        <f>IF(AA452="A","四季持續盈利",IF(AA452="B","最新季為正/波動",IF(AA452="C","虧損收窄",IF(AA452="D","虧損擴大或轉虧","數據不足"))))</f>
        <v>四季持續盈利</v>
      </c>
      <c r="AA452" s="9" t="str">
        <f>IF(COUNT(N452:Q452)&lt;4,"—",IF(MIN(N452:Q452)&gt;0,"A",IF(Q452&gt;0,"B",IF(Q452&gt;N452,"C","D"))))</f>
        <v>A</v>
      </c>
      <c r="AB452" s="9" t="inlineStr">
        <is>
          <t>2026-06-30</t>
        </is>
      </c>
    </row>
    <row r="453" ht="15" customHeight="1">
      <c r="A453" s="9" t="n">
        <v>452</v>
      </c>
      <c r="B453" s="10" t="inlineStr">
        <is>
          <t>STZ</t>
        </is>
      </c>
      <c r="C453" s="11" t="inlineStr">
        <is>
          <t>酒精飲品</t>
        </is>
      </c>
      <c r="D453" s="11" t="inlineStr">
        <is>
          <t>Constellation Brands, Inc.</t>
        </is>
      </c>
      <c r="E453" s="11" t="inlineStr">
        <is>
          <t>Beverages - Brewers</t>
        </is>
      </c>
      <c r="F453" s="9" t="inlineStr">
        <is>
          <t>USD</t>
        </is>
      </c>
      <c r="G453" s="11" t="inlineStr">
        <is>
          <t>25Q2 / 25Q3 / 25Q4 / 26Q1 / 26Q2</t>
        </is>
      </c>
      <c r="H453" s="12" t="n">
        <v>2515</v>
      </c>
      <c r="I453" s="12" t="n">
        <v>2481</v>
      </c>
      <c r="J453" s="12" t="n">
        <v>2222.8</v>
      </c>
      <c r="K453" s="12" t="n">
        <v>1920.2</v>
      </c>
      <c r="L453" s="12" t="n">
        <v>2432.7</v>
      </c>
      <c r="M453" s="13">
        <f>IF(OR(N(H453)=0,L453=""),"",L453/H453-1)</f>
        <v>-0.032723658051689974</v>
      </c>
      <c r="N453" s="14" t="n">
        <v>874</v>
      </c>
      <c r="O453" s="14" t="n">
        <v>692</v>
      </c>
      <c r="P453" s="14" t="n">
        <v>531.2</v>
      </c>
      <c r="Q453" s="14" t="n">
        <v>863.6</v>
      </c>
      <c r="R453" s="13">
        <f>IF(OR(N(L453)=0,Q453=""),"",Q453/L453)</f>
        <v>0.35499650593990223</v>
      </c>
      <c r="S453" s="14" t="n">
        <v>1320.6</v>
      </c>
      <c r="T453" s="13">
        <f>IF(OR(N(L453)=0,S453=""),"",S453/L453)</f>
        <v>0.5428536194351955</v>
      </c>
      <c r="U453" s="14" t="n">
        <v>653.8</v>
      </c>
      <c r="V453" s="13">
        <f>IF(OR(N(L453)=0,U453=""),"",U453/L453)</f>
        <v>0.2687548814074896</v>
      </c>
      <c r="W453" s="14" t="n">
        <v>9139</v>
      </c>
      <c r="X453" s="14" t="n">
        <v>2863.1</v>
      </c>
      <c r="Y453" s="13">
        <f>IF(OR(N(W453)=0,X453=""),"",X453/W453)</f>
        <v>0.31328372907320273</v>
      </c>
      <c r="Z453" s="11" t="str">
        <f>IF(AA453="A","四季持續盈利",IF(AA453="B","最新季為正/波動",IF(AA453="C","虧損收窄",IF(AA453="D","虧損擴大或轉虧","數據不足"))))</f>
        <v>四季持續盈利</v>
      </c>
      <c r="AA453" s="9" t="str">
        <f>IF(COUNT(N453:Q453)&lt;4,"—",IF(MIN(N453:Q453)&gt;0,"A",IF(Q453&gt;0,"B",IF(Q453&gt;N453,"C","D"))))</f>
        <v>A</v>
      </c>
      <c r="AB453" s="9" t="inlineStr">
        <is>
          <t>2026-05-31</t>
        </is>
      </c>
    </row>
    <row r="454" ht="15" customHeight="1">
      <c r="A454" s="9" t="n">
        <v>453</v>
      </c>
      <c r="B454" s="10" t="inlineStr">
        <is>
          <t>SYF</t>
        </is>
      </c>
      <c r="C454" s="11" t="inlineStr">
        <is>
          <t>消費金融與BNPL</t>
        </is>
      </c>
      <c r="D454" s="11" t="inlineStr">
        <is>
          <t>Synchrony Financial</t>
        </is>
      </c>
      <c r="E454" s="11" t="inlineStr">
        <is>
          <t>Credit Services</t>
        </is>
      </c>
      <c r="F454" s="9" t="inlineStr">
        <is>
          <t>USD</t>
        </is>
      </c>
      <c r="G454" s="11" t="inlineStr">
        <is>
          <t>25Q2 / 25Q3 / 25Q4 / 26Q1 / 26Q2</t>
        </is>
      </c>
      <c r="H454" s="12" t="n">
        <v>3647</v>
      </c>
      <c r="I454" s="12" t="n">
        <v>3823</v>
      </c>
      <c r="J454" s="12" t="n">
        <v>3793</v>
      </c>
      <c r="K454" s="12" t="n">
        <v>3698</v>
      </c>
      <c r="L454" s="12" t="n">
        <v>3718</v>
      </c>
      <c r="M454" s="13">
        <f>IF(OR(N(H454)=0,L454=""),"",L454/H454-1)</f>
        <v>0.01946805593638601</v>
      </c>
      <c r="N454" s="14" t="n"/>
      <c r="O454" s="14" t="n"/>
      <c r="P454" s="14" t="n"/>
      <c r="Q454" s="14" t="n"/>
      <c r="R454" s="13" t="str">
        <f>IF(OR(N(L454)=0,Q454=""),"",Q454/L454)</f>
        <v/>
      </c>
      <c r="S454" s="14" t="n"/>
      <c r="T454" s="13" t="str">
        <f>IF(OR(N(L454)=0,S454=""),"",S454/L454)</f>
        <v/>
      </c>
      <c r="U454" s="14" t="n">
        <v>885</v>
      </c>
      <c r="V454" s="13">
        <f>IF(OR(N(L454)=0,U454=""),"",U454/L454)</f>
        <v>0.2380311995696611</v>
      </c>
      <c r="W454" s="14" t="n">
        <v>14981</v>
      </c>
      <c r="X454" s="14" t="n"/>
      <c r="Y454" s="13" t="str">
        <f>IF(OR(N(W454)=0,X454=""),"",X454/W454)</f>
        <v/>
      </c>
      <c r="Z454" s="11" t="str">
        <f>IF(AA454="A","四季持續盈利",IF(AA454="B","最新季為正/波動",IF(AA454="C","虧損收窄",IF(AA454="D","虧損擴大或轉虧","數據不足"))))</f>
        <v>數據不足</v>
      </c>
      <c r="AA454" s="9" t="str">
        <f>IF(COUNT(N454:Q454)&lt;4,"—",IF(MIN(N454:Q454)&gt;0,"A",IF(Q454&gt;0,"B",IF(Q454&gt;N454,"C","D"))))</f>
        <v>—</v>
      </c>
      <c r="AB454" s="9" t="inlineStr">
        <is>
          <t>2026-06-30</t>
        </is>
      </c>
    </row>
    <row r="455" ht="15" customHeight="1">
      <c r="A455" s="9" t="n">
        <v>454</v>
      </c>
      <c r="B455" s="10" t="inlineStr">
        <is>
          <t>SYK</t>
        </is>
      </c>
      <c r="C455" s="11" t="inlineStr">
        <is>
          <t>醫療器械</t>
        </is>
      </c>
      <c r="D455" s="11" t="inlineStr">
        <is>
          <t>Stryker Corporation</t>
        </is>
      </c>
      <c r="E455" s="11" t="inlineStr">
        <is>
          <t>Medical Devices</t>
        </is>
      </c>
      <c r="F455" s="9" t="inlineStr">
        <is>
          <t>USD</t>
        </is>
      </c>
      <c r="G455" s="11" t="inlineStr">
        <is>
          <t>25Q2 / 25Q3 / 25Q4 / 26Q1 / 26Q2</t>
        </is>
      </c>
      <c r="H455" s="12" t="n">
        <v>6022</v>
      </c>
      <c r="I455" s="12" t="n">
        <v>6057</v>
      </c>
      <c r="J455" s="12" t="n">
        <v>7171</v>
      </c>
      <c r="K455" s="12" t="n">
        <v>6020</v>
      </c>
      <c r="L455" s="12" t="n">
        <v>6589</v>
      </c>
      <c r="M455" s="13">
        <f>IF(OR(N(H455)=0,L455=""),"",L455/H455-1)</f>
        <v>0.09415476585851867</v>
      </c>
      <c r="N455" s="14" t="n">
        <v>1208</v>
      </c>
      <c r="O455" s="14" t="n">
        <v>1811</v>
      </c>
      <c r="P455" s="14" t="n">
        <v>936</v>
      </c>
      <c r="Q455" s="14" t="n">
        <v>1660</v>
      </c>
      <c r="R455" s="13">
        <f>IF(OR(N(L455)=0,Q455=""),"",Q455/L455)</f>
        <v>0.25193504325390803</v>
      </c>
      <c r="S455" s="14" t="n">
        <v>4498</v>
      </c>
      <c r="T455" s="13">
        <f>IF(OR(N(L455)=0,S455=""),"",S455/L455)</f>
        <v>0.6826529063590833</v>
      </c>
      <c r="U455" s="14" t="n">
        <v>1276</v>
      </c>
      <c r="V455" s="13">
        <f>IF(OR(N(L455)=0,U455=""),"",U455/L455)</f>
        <v>0.19365609348914858</v>
      </c>
      <c r="W455" s="14" t="n">
        <v>25116</v>
      </c>
      <c r="X455" s="14" t="n">
        <v>5059</v>
      </c>
      <c r="Y455" s="13">
        <f>IF(OR(N(W455)=0,X455=""),"",X455/W455)</f>
        <v>0.2014253862079949</v>
      </c>
      <c r="Z455" s="11" t="str">
        <f>IF(AA455="A","四季持續盈利",IF(AA455="B","最新季為正/波動",IF(AA455="C","虧損收窄",IF(AA455="D","虧損擴大或轉虧","數據不足"))))</f>
        <v>四季持續盈利</v>
      </c>
      <c r="AA455" s="9" t="str">
        <f>IF(COUNT(N455:Q455)&lt;4,"—",IF(MIN(N455:Q455)&gt;0,"A",IF(Q455&gt;0,"B",IF(Q455&gt;N455,"C","D"))))</f>
        <v>A</v>
      </c>
      <c r="AB455" s="9" t="inlineStr">
        <is>
          <t>2026-06-30</t>
        </is>
      </c>
    </row>
    <row r="456" ht="15" customHeight="1">
      <c r="A456" s="9" t="n">
        <v>455</v>
      </c>
      <c r="B456" s="10" t="inlineStr">
        <is>
          <t>SYM</t>
        </is>
      </c>
      <c r="C456" s="11" t="inlineStr">
        <is>
          <t>工業自動化與機器人</t>
        </is>
      </c>
      <c r="D456" s="11" t="inlineStr">
        <is>
          <t>Symbotic Inc.</t>
        </is>
      </c>
      <c r="E456" s="11" t="inlineStr">
        <is>
          <t>G4 機器人</t>
        </is>
      </c>
      <c r="F456" s="9" t="inlineStr">
        <is>
          <t>USD</t>
        </is>
      </c>
      <c r="G456" s="11" t="inlineStr">
        <is>
          <t>25Q2 / 25Q3 / 25Q4 / 26Q1 / 26Q2</t>
        </is>
      </c>
      <c r="H456" s="12" t="n">
        <v>592.121</v>
      </c>
      <c r="I456" s="12" t="n">
        <v>618.457</v>
      </c>
      <c r="J456" s="12" t="n">
        <v>629.985</v>
      </c>
      <c r="K456" s="12" t="n">
        <v>676.48</v>
      </c>
      <c r="L456" s="12" t="n">
        <v>720.838</v>
      </c>
      <c r="M456" s="13">
        <f>IF(OR(N(H456)=0,L456=""),"",L456/H456-1)</f>
        <v>0.2173829335558104</v>
      </c>
      <c r="N456" s="14" t="n">
        <v>-15.251</v>
      </c>
      <c r="O456" s="14" t="n">
        <v>9.199</v>
      </c>
      <c r="P456" s="14" t="n">
        <v>6.103</v>
      </c>
      <c r="Q456" s="14" t="n">
        <v>32.895</v>
      </c>
      <c r="R456" s="13">
        <f>IF(OR(N(L456)=0,Q456=""),"",Q456/L456)</f>
        <v>0.04563438664443329</v>
      </c>
      <c r="S456" s="14" t="n">
        <v>160.91</v>
      </c>
      <c r="T456" s="13">
        <f>IF(OR(N(L456)=0,S456=""),"",S456/L456)</f>
        <v>0.2232263005002511</v>
      </c>
      <c r="U456" s="14" t="n">
        <v>11.673</v>
      </c>
      <c r="V456" s="13">
        <f>IF(OR(N(L456)=0,U456=""),"",U456/L456)</f>
        <v>0.01619365238791518</v>
      </c>
      <c r="W456" s="14" t="n">
        <v>2246.922</v>
      </c>
      <c r="X456" s="14" t="n">
        <v>-92.133</v>
      </c>
      <c r="Y456" s="13">
        <f>IF(OR(N(W456)=0,X456=""),"",X456/W456)</f>
        <v>-0.04100409360004486</v>
      </c>
      <c r="Z456" s="11" t="str">
        <f>IF(AA456="A","四季持續盈利",IF(AA456="B","最新季為正/波動",IF(AA456="C","虧損收窄",IF(AA456="D","虧損擴大或轉虧","數據不足"))))</f>
        <v>最新季為正/波動</v>
      </c>
      <c r="AA456" s="9" t="str">
        <f>IF(COUNT(N456:Q456)&lt;4,"—",IF(MIN(N456:Q456)&gt;0,"A",IF(Q456&gt;0,"B",IF(Q456&gt;N456,"C","D"))))</f>
        <v>B</v>
      </c>
      <c r="AB456" s="9" t="inlineStr">
        <is>
          <t>2026-06-30</t>
        </is>
      </c>
    </row>
    <row r="457" ht="15" customHeight="1">
      <c r="A457" s="9" t="n">
        <v>456</v>
      </c>
      <c r="B457" s="10" t="inlineStr">
        <is>
          <t>SYY</t>
        </is>
      </c>
      <c r="C457" s="11" t="inlineStr">
        <is>
          <t>必需品分銷</t>
        </is>
      </c>
      <c r="D457" s="11" t="inlineStr">
        <is>
          <t>Sysco Corporation</t>
        </is>
      </c>
      <c r="E457" s="11" t="inlineStr">
        <is>
          <t>Food Distribution</t>
        </is>
      </c>
      <c r="F457" s="9" t="inlineStr">
        <is>
          <t>USD</t>
        </is>
      </c>
      <c r="G457" s="11" t="inlineStr">
        <is>
          <t>25Q2 / 25Q3 / 25Q4 / 26Q1 / 26Q2</t>
        </is>
      </c>
      <c r="H457" s="12" t="n">
        <v>21138</v>
      </c>
      <c r="I457" s="12" t="n">
        <v>21148</v>
      </c>
      <c r="J457" s="12" t="n">
        <v>20762</v>
      </c>
      <c r="K457" s="12" t="n">
        <v>20519</v>
      </c>
      <c r="L457" s="12" t="n">
        <v>22124</v>
      </c>
      <c r="M457" s="13">
        <f>IF(OR(N(H457)=0,L457=""),"",L457/H457-1)</f>
        <v>0.046645851073895406</v>
      </c>
      <c r="N457" s="14" t="n">
        <v>800</v>
      </c>
      <c r="O457" s="14" t="n">
        <v>692</v>
      </c>
      <c r="P457" s="14" t="n">
        <v>619</v>
      </c>
      <c r="Q457" s="14" t="n">
        <v>983</v>
      </c>
      <c r="R457" s="13">
        <f>IF(OR(N(L457)=0,Q457=""),"",Q457/L457)</f>
        <v>0.0444313867293437</v>
      </c>
      <c r="S457" s="14" t="n">
        <v>4134</v>
      </c>
      <c r="T457" s="13">
        <f>IF(OR(N(L457)=0,S457=""),"",S457/L457)</f>
        <v>0.18685590309166517</v>
      </c>
      <c r="U457" s="14" t="n">
        <v>551</v>
      </c>
      <c r="V457" s="13">
        <f>IF(OR(N(L457)=0,U457=""),"",U457/L457)</f>
        <v>0.024905080455613814</v>
      </c>
      <c r="W457" s="14" t="n">
        <v>84553</v>
      </c>
      <c r="X457" s="14" t="n">
        <v>3095</v>
      </c>
      <c r="Y457" s="13">
        <f>IF(OR(N(W457)=0,X457=""),"",X457/W457)</f>
        <v>0.03660426004990953</v>
      </c>
      <c r="Z457" s="11" t="str">
        <f>IF(AA457="A","四季持續盈利",IF(AA457="B","最新季為正/波動",IF(AA457="C","虧損收窄",IF(AA457="D","虧損擴大或轉虧","數據不足"))))</f>
        <v>四季持續盈利</v>
      </c>
      <c r="AA457" s="9" t="str">
        <f>IF(COUNT(N457:Q457)&lt;4,"—",IF(MIN(N457:Q457)&gt;0,"A",IF(Q457&gt;0,"B",IF(Q457&gt;N457,"C","D"))))</f>
        <v>A</v>
      </c>
      <c r="AB457" s="9" t="inlineStr">
        <is>
          <t>2026-06-30</t>
        </is>
      </c>
    </row>
    <row r="458" ht="15" customHeight="1">
      <c r="A458" s="9" t="n">
        <v>457</v>
      </c>
      <c r="B458" s="10" t="inlineStr">
        <is>
          <t>T</t>
        </is>
      </c>
      <c r="C458" s="11" t="inlineStr">
        <is>
          <t>電信營運商</t>
        </is>
      </c>
      <c r="D458" s="11" t="inlineStr">
        <is>
          <t>AT&amp;T Inc.</t>
        </is>
      </c>
      <c r="E458" s="11" t="inlineStr">
        <is>
          <t>Telecom Services</t>
        </is>
      </c>
      <c r="F458" s="9" t="inlineStr">
        <is>
          <t>USD</t>
        </is>
      </c>
      <c r="G458" s="11" t="inlineStr">
        <is>
          <t>25Q2 / 25Q3 / 25Q4 / 26Q1 / 26Q2</t>
        </is>
      </c>
      <c r="H458" s="12" t="n">
        <v>30847</v>
      </c>
      <c r="I458" s="12" t="n">
        <v>30709</v>
      </c>
      <c r="J458" s="12" t="n">
        <v>33466</v>
      </c>
      <c r="K458" s="12" t="n">
        <v>31506</v>
      </c>
      <c r="L458" s="12" t="n">
        <v>31558</v>
      </c>
      <c r="M458" s="13">
        <f>IF(OR(N(H458)=0,L458=""),"",L458/H458-1)</f>
        <v>0.02304924303822098</v>
      </c>
      <c r="N458" s="14" t="n">
        <v>6119</v>
      </c>
      <c r="O458" s="14" t="n">
        <v>6122</v>
      </c>
      <c r="P458" s="14" t="n">
        <v>6658</v>
      </c>
      <c r="Q458" s="14" t="n">
        <v>7324</v>
      </c>
      <c r="R458" s="13">
        <f>IF(OR(N(L458)=0,Q458=""),"",Q458/L458)</f>
        <v>0.23208061347360415</v>
      </c>
      <c r="S458" s="14" t="n">
        <v>19511</v>
      </c>
      <c r="T458" s="13">
        <f>IF(OR(N(L458)=0,S458=""),"",S458/L458)</f>
        <v>0.618258444768363</v>
      </c>
      <c r="U458" s="14" t="n">
        <v>4627</v>
      </c>
      <c r="V458" s="13">
        <f>IF(OR(N(L458)=0,U458=""),"",U458/L458)</f>
        <v>0.14661892388617784</v>
      </c>
      <c r="W458" s="14" t="n">
        <v>125648</v>
      </c>
      <c r="X458" s="14" t="n">
        <v>25000</v>
      </c>
      <c r="Y458" s="13">
        <f>IF(OR(N(W458)=0,X458=""),"",X458/W458)</f>
        <v>0.198968547052082</v>
      </c>
      <c r="Z458" s="11" t="str">
        <f>IF(AA458="A","四季持續盈利",IF(AA458="B","最新季為正/波動",IF(AA458="C","虧損收窄",IF(AA458="D","虧損擴大或轉虧","數據不足"))))</f>
        <v>四季持續盈利</v>
      </c>
      <c r="AA458" s="9" t="str">
        <f>IF(COUNT(N458:Q458)&lt;4,"—",IF(MIN(N458:Q458)&gt;0,"A",IF(Q458&gt;0,"B",IF(Q458&gt;N458,"C","D"))))</f>
        <v>A</v>
      </c>
      <c r="AB458" s="9" t="inlineStr">
        <is>
          <t>2026-06-30</t>
        </is>
      </c>
    </row>
    <row r="459" ht="15" customHeight="1">
      <c r="A459" s="9" t="n">
        <v>458</v>
      </c>
      <c r="B459" s="10" t="inlineStr">
        <is>
          <t>TAP</t>
        </is>
      </c>
      <c r="C459" s="11" t="inlineStr">
        <is>
          <t>酒精飲品</t>
        </is>
      </c>
      <c r="D459" s="11" t="inlineStr">
        <is>
          <t>Molson Coors Beverage Company</t>
        </is>
      </c>
      <c r="E459" s="11" t="inlineStr">
        <is>
          <t>Beverages - Brewers</t>
        </is>
      </c>
      <c r="F459" s="9" t="inlineStr">
        <is>
          <t>USD</t>
        </is>
      </c>
      <c r="G459" s="11" t="inlineStr">
        <is>
          <t>25Q2 / 25Q3 / 25Q4 / 26Q1 / 26Q2</t>
        </is>
      </c>
      <c r="H459" s="12" t="n">
        <v>3200.8</v>
      </c>
      <c r="I459" s="12" t="n">
        <v>2973.5</v>
      </c>
      <c r="J459" s="12" t="n">
        <v>2662.4</v>
      </c>
      <c r="K459" s="12" t="n">
        <v>2351.1</v>
      </c>
      <c r="L459" s="12" t="n">
        <v>3096.5</v>
      </c>
      <c r="M459" s="13">
        <f>IF(OR(N(H459)=0,L459=""),"",L459/H459-1)</f>
        <v>-0.03258560359910023</v>
      </c>
      <c r="N459" s="14" t="n">
        <v>486.8</v>
      </c>
      <c r="O459" s="14" t="n">
        <v>357.4</v>
      </c>
      <c r="P459" s="14" t="n">
        <v>287.2</v>
      </c>
      <c r="Q459" s="14" t="n">
        <v>344.8</v>
      </c>
      <c r="R459" s="13">
        <f>IF(OR(N(L459)=0,Q459=""),"",Q459/L459)</f>
        <v>0.11135152591635718</v>
      </c>
      <c r="S459" s="14" t="n">
        <v>1063.3</v>
      </c>
      <c r="T459" s="13">
        <f>IF(OR(N(L459)=0,S459=""),"",S459/L459)</f>
        <v>0.34338769578556433</v>
      </c>
      <c r="U459" s="14" t="n">
        <v>231.7</v>
      </c>
      <c r="V459" s="13">
        <f>IF(OR(N(L459)=0,U459=""),"",U459/L459)</f>
        <v>0.07482641692233166</v>
      </c>
      <c r="W459" s="14" t="n">
        <v>11140.8</v>
      </c>
      <c r="X459" s="14" t="n">
        <v>1630.7</v>
      </c>
      <c r="Y459" s="13">
        <f>IF(OR(N(W459)=0,X459=""),"",X459/W459)</f>
        <v>0.14637189429843458</v>
      </c>
      <c r="Z459" s="11" t="str">
        <f>IF(AA459="A","四季持續盈利",IF(AA459="B","最新季為正/波動",IF(AA459="C","虧損收窄",IF(AA459="D","虧損擴大或轉虧","數據不足"))))</f>
        <v>四季持續盈利</v>
      </c>
      <c r="AA459" s="9" t="str">
        <f>IF(COUNT(N459:Q459)&lt;4,"—",IF(MIN(N459:Q459)&gt;0,"A",IF(Q459&gt;0,"B",IF(Q459&gt;N459,"C","D"))))</f>
        <v>A</v>
      </c>
      <c r="AB459" s="9" t="inlineStr">
        <is>
          <t>2026-06-30</t>
        </is>
      </c>
    </row>
    <row r="460" ht="15" customHeight="1">
      <c r="A460" s="9" t="n">
        <v>459</v>
      </c>
      <c r="B460" s="10" t="inlineStr">
        <is>
          <t>TCEHY</t>
        </is>
      </c>
      <c r="C460" s="11" t="inlineStr">
        <is>
          <t>—</t>
        </is>
      </c>
      <c r="D460" s="11" t="inlineStr">
        <is>
          <t>Tencent Holdings Limited</t>
        </is>
      </c>
      <c r="E460" s="11" t="inlineStr">
        <is>
          <t>AA3 中國雲</t>
        </is>
      </c>
      <c r="F460" s="9" t="inlineStr">
        <is>
          <t>CNY</t>
        </is>
      </c>
      <c r="G460" s="11" t="inlineStr">
        <is>
          <t>25Q2 / 25Q3 / 25Q4 / 26Q1 / 26Q2</t>
        </is>
      </c>
      <c r="H460" s="12" t="n">
        <v>184504</v>
      </c>
      <c r="I460" s="12" t="n"/>
      <c r="J460" s="12" t="n"/>
      <c r="K460" s="12" t="n"/>
      <c r="L460" s="12" t="n">
        <v>204785</v>
      </c>
      <c r="M460" s="13">
        <f>IF(OR(N(H460)=0,L460=""),"",L460/H460-1)</f>
        <v>0.10992173611412226</v>
      </c>
      <c r="N460" s="14" t="n"/>
      <c r="O460" s="14" t="n"/>
      <c r="P460" s="14" t="n"/>
      <c r="Q460" s="14" t="n">
        <v>68236</v>
      </c>
      <c r="R460" s="13">
        <f>IF(OR(N(L460)=0,Q460=""),"",Q460/L460)</f>
        <v>0.33320799863271233</v>
      </c>
      <c r="S460" s="14" t="n">
        <v>118433</v>
      </c>
      <c r="T460" s="13">
        <f>IF(OR(N(L460)=0,S460=""),"",S460/L460)</f>
        <v>0.5783284908562639</v>
      </c>
      <c r="U460" s="14" t="n">
        <v>56022</v>
      </c>
      <c r="V460" s="13">
        <f>IF(OR(N(L460)=0,U460=""),"",U460/L460)</f>
        <v>0.27356495837097444</v>
      </c>
      <c r="W460" s="14" t="n">
        <v>751766</v>
      </c>
      <c r="X460" s="14" t="n">
        <v>248767</v>
      </c>
      <c r="Y460" s="13">
        <f>IF(OR(N(W460)=0,X460=""),"",X460/W460)</f>
        <v>0.3309101502329182</v>
      </c>
      <c r="Z460" s="11" t="str">
        <f>IF(AA460="A","四季持續盈利",IF(AA460="B","最新季為正/波動",IF(AA460="C","虧損收窄",IF(AA460="D","虧損擴大或轉虧","數據不足"))))</f>
        <v>數據不足</v>
      </c>
      <c r="AA460" s="9" t="str">
        <f>IF(COUNT(N460:Q460)&lt;4,"—",IF(MIN(N460:Q460)&gt;0,"A",IF(Q460&gt;0,"B",IF(Q460&gt;N460,"C","D"))))</f>
        <v>—</v>
      </c>
      <c r="AB460" s="9" t="inlineStr">
        <is>
          <t>2026-06-30</t>
        </is>
      </c>
    </row>
    <row r="461" ht="15" customHeight="1">
      <c r="A461" s="9" t="n">
        <v>460</v>
      </c>
      <c r="B461" s="10" t="inlineStr">
        <is>
          <t>TDOC</t>
        </is>
      </c>
      <c r="C461" s="11" t="inlineStr">
        <is>
          <t>數位醫療與遠距醫療</t>
        </is>
      </c>
      <c r="D461" s="11" t="inlineStr">
        <is>
          <t>Teladoc Health, Inc.</t>
        </is>
      </c>
      <c r="E461" s="11" t="inlineStr">
        <is>
          <t>Health Information Services</t>
        </is>
      </c>
      <c r="F461" s="9" t="inlineStr">
        <is>
          <t>USD</t>
        </is>
      </c>
      <c r="G461" s="11" t="inlineStr">
        <is>
          <t>25Q2 / 25Q3 / 25Q4 / 26Q1 / 26Q2</t>
        </is>
      </c>
      <c r="H461" s="12" t="n">
        <v>631.9</v>
      </c>
      <c r="I461" s="12" t="n">
        <v>626.439</v>
      </c>
      <c r="J461" s="12" t="n">
        <v>642.269</v>
      </c>
      <c r="K461" s="12" t="n">
        <v>613.845</v>
      </c>
      <c r="L461" s="12" t="n">
        <v>606.927</v>
      </c>
      <c r="M461" s="13">
        <f>IF(OR(N(H461)=0,L461=""),"",L461/H461-1)</f>
        <v>-0.0395204937490109</v>
      </c>
      <c r="N461" s="14" t="n">
        <v>-35.456</v>
      </c>
      <c r="O461" s="14" t="n">
        <v>-26.968</v>
      </c>
      <c r="P461" s="14" t="n">
        <v>-48.729</v>
      </c>
      <c r="Q461" s="14" t="n">
        <v>-34.498</v>
      </c>
      <c r="R461" s="13">
        <f>IF(OR(N(L461)=0,Q461=""),"",Q461/L461)</f>
        <v>-0.05684044374364627</v>
      </c>
      <c r="S461" s="14" t="n">
        <v>416.09</v>
      </c>
      <c r="T461" s="13">
        <f>IF(OR(N(L461)=0,S461=""),"",S461/L461)</f>
        <v>0.6855684456285517</v>
      </c>
      <c r="U461" s="14" t="n">
        <v>-38.908</v>
      </c>
      <c r="V461" s="13">
        <f>IF(OR(N(L461)=0,U461=""),"",U461/L461)</f>
        <v>-0.06410655647219517</v>
      </c>
      <c r="W461" s="14" t="n">
        <v>2529.977</v>
      </c>
      <c r="X461" s="14" t="n">
        <v>-163.397</v>
      </c>
      <c r="Y461" s="13">
        <f>IF(OR(N(W461)=0,X461=""),"",X461/W461)</f>
        <v>-0.06458438159714495</v>
      </c>
      <c r="Z461" s="11" t="str">
        <f>IF(AA461="A","四季持續盈利",IF(AA461="B","最新季為正/波動",IF(AA461="C","虧損收窄",IF(AA461="D","虧損擴大或轉虧","數據不足"))))</f>
        <v>虧損收窄</v>
      </c>
      <c r="AA461" s="9" t="str">
        <f>IF(COUNT(N461:Q461)&lt;4,"—",IF(MIN(N461:Q461)&gt;0,"A",IF(Q461&gt;0,"B",IF(Q461&gt;N461,"C","D"))))</f>
        <v>C</v>
      </c>
      <c r="AB461" s="9" t="inlineStr">
        <is>
          <t>2026-06-30</t>
        </is>
      </c>
    </row>
    <row r="462" ht="15" customHeight="1">
      <c r="A462" s="9" t="n">
        <v>461</v>
      </c>
      <c r="B462" s="10" t="inlineStr">
        <is>
          <t>TDW</t>
        </is>
      </c>
      <c r="C462" s="11" t="inlineStr">
        <is>
          <t>海上鑽井與設備</t>
        </is>
      </c>
      <c r="D462" s="11" t="inlineStr">
        <is>
          <t>Tidewater Inc.</t>
        </is>
      </c>
      <c r="E462" s="11" t="inlineStr">
        <is>
          <t>Oil &amp; Gas Equipment &amp; Services</t>
        </is>
      </c>
      <c r="F462" s="9" t="inlineStr">
        <is>
          <t>USD</t>
        </is>
      </c>
      <c r="G462" s="11" t="inlineStr">
        <is>
          <t>25Q2 / 25Q3 / 25Q4 / 26Q1 / 26Q2</t>
        </is>
      </c>
      <c r="H462" s="12" t="n">
        <v>341.431</v>
      </c>
      <c r="I462" s="12" t="n">
        <v>341.113</v>
      </c>
      <c r="J462" s="12" t="n">
        <v>336.798</v>
      </c>
      <c r="K462" s="12" t="n">
        <v>326.222</v>
      </c>
      <c r="L462" s="12" t="n">
        <v>342.287</v>
      </c>
      <c r="M462" s="13">
        <f>IF(OR(N(H462)=0,L462=""),"",L462/H462-1)</f>
        <v>0.0025070951378169948</v>
      </c>
      <c r="N462" s="14" t="n">
        <v>62.071</v>
      </c>
      <c r="O462" s="14" t="n">
        <v>67.23699999999999</v>
      </c>
      <c r="P462" s="14" t="n">
        <v>59.096</v>
      </c>
      <c r="Q462" s="14" t="n">
        <v>59.212</v>
      </c>
      <c r="R462" s="13">
        <f>IF(OR(N(L462)=0,Q462=""),"",Q462/L462)</f>
        <v>0.17298933351252022</v>
      </c>
      <c r="S462" s="14" t="n">
        <v>94.057</v>
      </c>
      <c r="T462" s="13">
        <f>IF(OR(N(L462)=0,S462=""),"",S462/L462)</f>
        <v>0.2747898693201904</v>
      </c>
      <c r="U462" s="14" t="n">
        <v>21.662</v>
      </c>
      <c r="V462" s="13">
        <f>IF(OR(N(L462)=0,U462=""),"",U462/L462)</f>
        <v>0.06328607279855794</v>
      </c>
      <c r="W462" s="14" t="n">
        <v>1352.786</v>
      </c>
      <c r="X462" s="14" t="n">
        <v>277.259</v>
      </c>
      <c r="Y462" s="13">
        <f>IF(OR(N(W462)=0,X462=""),"",X462/W462)</f>
        <v>0.20495407255840908</v>
      </c>
      <c r="Z462" s="11" t="str">
        <f>IF(AA462="A","四季持續盈利",IF(AA462="B","最新季為正/波動",IF(AA462="C","虧損收窄",IF(AA462="D","虧損擴大或轉虧","數據不足"))))</f>
        <v>四季持續盈利</v>
      </c>
      <c r="AA462" s="9" t="str">
        <f>IF(COUNT(N462:Q462)&lt;4,"—",IF(MIN(N462:Q462)&gt;0,"A",IF(Q462&gt;0,"B",IF(Q462&gt;N462,"C","D"))))</f>
        <v>A</v>
      </c>
      <c r="AB462" s="9" t="inlineStr">
        <is>
          <t>2026-06-30</t>
        </is>
      </c>
    </row>
    <row r="463" ht="15" customHeight="1">
      <c r="A463" s="9" t="n">
        <v>462</v>
      </c>
      <c r="B463" s="10" t="inlineStr">
        <is>
          <t>TEAM</t>
        </is>
      </c>
      <c r="C463" s="11" t="inlineStr">
        <is>
          <t>企業軟體/SaaS</t>
        </is>
      </c>
      <c r="D463" s="11" t="inlineStr">
        <is>
          <t>Atlassian Corporation</t>
        </is>
      </c>
      <c r="E463" s="11" t="inlineStr">
        <is>
          <t>Software - Application</t>
        </is>
      </c>
      <c r="F463" s="9" t="inlineStr">
        <is>
          <t>USD</t>
        </is>
      </c>
      <c r="G463" s="11" t="inlineStr">
        <is>
          <t>25Q2 / 25Q3 / 25Q4 / 26Q1 / 26Q2</t>
        </is>
      </c>
      <c r="H463" s="12" t="n">
        <v>1384.344</v>
      </c>
      <c r="I463" s="12" t="n">
        <v>1432.553</v>
      </c>
      <c r="J463" s="12" t="n">
        <v>1586.315</v>
      </c>
      <c r="K463" s="12" t="n">
        <v>1786.971</v>
      </c>
      <c r="L463" s="12" t="n">
        <v>1766.469</v>
      </c>
      <c r="M463" s="13">
        <f>IF(OR(N(H463)=0,L463=""),"",L463/H463-1)</f>
        <v>0.27603326918742743</v>
      </c>
      <c r="N463" s="14" t="n">
        <v>-96.337</v>
      </c>
      <c r="O463" s="14" t="n">
        <v>-47.747</v>
      </c>
      <c r="P463" s="14" t="n">
        <v>-56.284</v>
      </c>
      <c r="Q463" s="14" t="n">
        <v>210.723</v>
      </c>
      <c r="R463" s="13">
        <f>IF(OR(N(L463)=0,Q463=""),"",Q463/L463)</f>
        <v>0.11929051684462054</v>
      </c>
      <c r="S463" s="14" t="n">
        <v>1528.016</v>
      </c>
      <c r="T463" s="13">
        <f>IF(OR(N(L463)=0,S463=""),"",S463/L463)</f>
        <v>0.8650115003433403</v>
      </c>
      <c r="U463" s="14" t="n">
        <v>139.076</v>
      </c>
      <c r="V463" s="13">
        <f>IF(OR(N(L463)=0,U463=""),"",U463/L463)</f>
        <v>0.07873107311818095</v>
      </c>
      <c r="W463" s="14" t="n">
        <v>6572.308</v>
      </c>
      <c r="X463" s="14" t="n">
        <v>10.355</v>
      </c>
      <c r="Y463" s="13">
        <f>IF(OR(N(W463)=0,X463=""),"",X463/W463)</f>
        <v>0.0015755500198712537</v>
      </c>
      <c r="Z463" s="11" t="str">
        <f>IF(AA463="A","四季持續盈利",IF(AA463="B","最新季為正/波動",IF(AA463="C","虧損收窄",IF(AA463="D","虧損擴大或轉虧","數據不足"))))</f>
        <v>最新季為正/波動</v>
      </c>
      <c r="AA463" s="9" t="str">
        <f>IF(COUNT(N463:Q463)&lt;4,"—",IF(MIN(N463:Q463)&gt;0,"A",IF(Q463&gt;0,"B",IF(Q463&gt;N463,"C","D"))))</f>
        <v>B</v>
      </c>
      <c r="AB463" s="9" t="inlineStr">
        <is>
          <t>2026-06-30</t>
        </is>
      </c>
    </row>
    <row r="464" ht="15" customHeight="1">
      <c r="A464" s="9" t="n">
        <v>463</v>
      </c>
      <c r="B464" s="10" t="inlineStr">
        <is>
          <t>TECK</t>
        </is>
      </c>
      <c r="C464" s="11" t="inlineStr">
        <is>
          <t>銅與基本金屬</t>
        </is>
      </c>
      <c r="D464" s="11" t="inlineStr">
        <is>
          <t>Teck Resources Limited</t>
        </is>
      </c>
      <c r="E464" s="11" t="inlineStr">
        <is>
          <t>Copper</t>
        </is>
      </c>
      <c r="F464" s="9" t="inlineStr">
        <is>
          <t>CAD</t>
        </is>
      </c>
      <c r="G464" s="11" t="inlineStr">
        <is>
          <t>25Q2 / 25Q3 / 25Q4 / 26Q1 / 26Q2</t>
        </is>
      </c>
      <c r="H464" s="12" t="n">
        <v>2023</v>
      </c>
      <c r="I464" s="12" t="n">
        <v>3385</v>
      </c>
      <c r="J464" s="12" t="n">
        <v>3058</v>
      </c>
      <c r="K464" s="12" t="n">
        <v>3943</v>
      </c>
      <c r="L464" s="12" t="n">
        <v>3605</v>
      </c>
      <c r="M464" s="13">
        <f>IF(OR(N(H464)=0,L464=""),"",L464/H464-1)</f>
        <v>0.7820069204152249</v>
      </c>
      <c r="N464" s="14" t="n">
        <v>496</v>
      </c>
      <c r="O464" s="14" t="n">
        <v>349</v>
      </c>
      <c r="P464" s="14" t="n">
        <v>1483</v>
      </c>
      <c r="Q464" s="14" t="n">
        <v>1376</v>
      </c>
      <c r="R464" s="13">
        <f>IF(OR(N(L464)=0,Q464=""),"",Q464/L464)</f>
        <v>0.3816920943134535</v>
      </c>
      <c r="S464" s="14" t="n">
        <v>1670</v>
      </c>
      <c r="T464" s="13">
        <f>IF(OR(N(L464)=0,S464=""),"",S464/L464)</f>
        <v>0.463245492371706</v>
      </c>
      <c r="U464" s="14" t="n">
        <v>854</v>
      </c>
      <c r="V464" s="13">
        <f>IF(OR(N(L464)=0,U464=""),"",U464/L464)</f>
        <v>0.23689320388349513</v>
      </c>
      <c r="W464" s="14" t="n">
        <v>10756</v>
      </c>
      <c r="X464" s="14" t="n">
        <v>1540</v>
      </c>
      <c r="Y464" s="13">
        <f>IF(OR(N(W464)=0,X464=""),"",X464/W464)</f>
        <v>0.14317590182223874</v>
      </c>
      <c r="Z464" s="11" t="str">
        <f>IF(AA464="A","四季持續盈利",IF(AA464="B","最新季為正/波動",IF(AA464="C","虧損收窄",IF(AA464="D","虧損擴大或轉虧","數據不足"))))</f>
        <v>四季持續盈利</v>
      </c>
      <c r="AA464" s="9" t="str">
        <f>IF(COUNT(N464:Q464)&lt;4,"—",IF(MIN(N464:Q464)&gt;0,"A",IF(Q464&gt;0,"B",IF(Q464&gt;N464,"C","D"))))</f>
        <v>A</v>
      </c>
      <c r="AB464" s="9" t="inlineStr">
        <is>
          <t>2026-06-30</t>
        </is>
      </c>
    </row>
    <row r="465" ht="15" customHeight="1">
      <c r="A465" s="9" t="n">
        <v>464</v>
      </c>
      <c r="B465" s="10" t="inlineStr">
        <is>
          <t>TEL</t>
        </is>
      </c>
      <c r="C465" s="11" t="inlineStr">
        <is>
          <t>電子硬件與EMS/連接器</t>
        </is>
      </c>
      <c r="D465" s="11" t="inlineStr">
        <is>
          <t>TE Connectivity plc</t>
        </is>
      </c>
      <c r="E465" s="11" t="inlineStr">
        <is>
          <t>D5 連接器</t>
        </is>
      </c>
      <c r="F465" s="9" t="inlineStr">
        <is>
          <t>USD</t>
        </is>
      </c>
      <c r="G465" s="11" t="inlineStr">
        <is>
          <t>25Q2 / 25Q3 / 25Q4 / 26Q1 / 26Q2</t>
        </is>
      </c>
      <c r="H465" s="12" t="n">
        <v>4534</v>
      </c>
      <c r="I465" s="12" t="n">
        <v>4749</v>
      </c>
      <c r="J465" s="12" t="n">
        <v>4669</v>
      </c>
      <c r="K465" s="12" t="n">
        <v>4744</v>
      </c>
      <c r="L465" s="12" t="n">
        <v>5160</v>
      </c>
      <c r="M465" s="13">
        <f>IF(OR(N(H465)=0,L465=""),"",L465/H465-1)</f>
        <v>0.13806793118659022</v>
      </c>
      <c r="N465" s="14" t="n">
        <v>939</v>
      </c>
      <c r="O465" s="14" t="n">
        <v>976</v>
      </c>
      <c r="P465" s="14" t="n">
        <v>972</v>
      </c>
      <c r="Q465" s="14" t="n">
        <v>1073</v>
      </c>
      <c r="R465" s="13">
        <f>IF(OR(N(L465)=0,Q465=""),"",Q465/L465)</f>
        <v>0.20794573643410852</v>
      </c>
      <c r="S465" s="14" t="n">
        <v>1835</v>
      </c>
      <c r="T465" s="13">
        <f>IF(OR(N(L465)=0,S465=""),"",S465/L465)</f>
        <v>0.3556201550387597</v>
      </c>
      <c r="U465" s="14" t="n">
        <v>748</v>
      </c>
      <c r="V465" s="13">
        <f>IF(OR(N(L465)=0,U465=""),"",U465/L465)</f>
        <v>0.1449612403100775</v>
      </c>
      <c r="W465" s="14" t="n">
        <v>17262</v>
      </c>
      <c r="X465" s="14" t="n">
        <v>3384</v>
      </c>
      <c r="Y465" s="13">
        <f>IF(OR(N(W465)=0,X465=""),"",X465/W465)</f>
        <v>0.19603753910323254</v>
      </c>
      <c r="Z465" s="11" t="str">
        <f>IF(AA465="A","四季持續盈利",IF(AA465="B","最新季為正/波動",IF(AA465="C","虧損收窄",IF(AA465="D","虧損擴大或轉虧","數據不足"))))</f>
        <v>四季持續盈利</v>
      </c>
      <c r="AA465" s="9" t="str">
        <f>IF(COUNT(N465:Q465)&lt;4,"—",IF(MIN(N465:Q465)&gt;0,"A",IF(Q465&gt;0,"B",IF(Q465&gt;N465,"C","D"))))</f>
        <v>A</v>
      </c>
      <c r="AB465" s="9" t="inlineStr">
        <is>
          <t>2026-06-30</t>
        </is>
      </c>
    </row>
    <row r="466" ht="15" customHeight="1">
      <c r="A466" s="9" t="n">
        <v>465</v>
      </c>
      <c r="B466" s="10" t="inlineStr">
        <is>
          <t>TER</t>
        </is>
      </c>
      <c r="C466" s="11" t="inlineStr">
        <is>
          <t>半導體設備、工業自動化與機器人</t>
        </is>
      </c>
      <c r="D466" s="11" t="inlineStr">
        <is>
          <t>Teradyne, Inc.</t>
        </is>
      </c>
      <c r="E466" s="11" t="inlineStr">
        <is>
          <t>B3 先進封裝</t>
        </is>
      </c>
      <c r="F466" s="9" t="inlineStr">
        <is>
          <t>USD</t>
        </is>
      </c>
      <c r="G466" s="11" t="inlineStr">
        <is>
          <t>25Q2 / 25Q3 / 25Q4 / 26Q1 / 26Q2</t>
        </is>
      </c>
      <c r="H466" s="12" t="n">
        <v>651.797</v>
      </c>
      <c r="I466" s="12" t="n">
        <v>769.21</v>
      </c>
      <c r="J466" s="12" t="n">
        <v>1083.337</v>
      </c>
      <c r="K466" s="12" t="n">
        <v>1282.494</v>
      </c>
      <c r="L466" s="12" t="n">
        <v>1328.99</v>
      </c>
      <c r="M466" s="13">
        <f>IF(OR(N(H466)=0,L466=""),"",L466/H466-1)</f>
        <v>1.0389630513794939</v>
      </c>
      <c r="N466" s="14" t="n">
        <v>151.888</v>
      </c>
      <c r="O466" s="14" t="n">
        <v>308.283</v>
      </c>
      <c r="P466" s="14" t="n">
        <v>476.427</v>
      </c>
      <c r="Q466" s="14" t="n">
        <v>440.842</v>
      </c>
      <c r="R466" s="13">
        <f>IF(OR(N(L466)=0,Q466=""),"",Q466/L466)</f>
        <v>0.33171205200942067</v>
      </c>
      <c r="S466" s="14" t="n">
        <v>794.6180000000001</v>
      </c>
      <c r="T466" s="13">
        <f>IF(OR(N(L466)=0,S466=""),"",S466/L466)</f>
        <v>0.5979111957200581</v>
      </c>
      <c r="U466" s="14" t="n">
        <v>374.533</v>
      </c>
      <c r="V466" s="13">
        <f>IF(OR(N(L466)=0,U466=""),"",U466/L466)</f>
        <v>0.28181777139030395</v>
      </c>
      <c r="W466" s="14" t="n">
        <v>3190.024</v>
      </c>
      <c r="X466" s="14" t="n">
        <v>688.605</v>
      </c>
      <c r="Y466" s="13">
        <f>IF(OR(N(W466)=0,X466=""),"",X466/W466)</f>
        <v>0.21586201232341826</v>
      </c>
      <c r="Z466" s="11" t="str">
        <f>IF(AA466="A","四季持續盈利",IF(AA466="B","最新季為正/波動",IF(AA466="C","虧損收窄",IF(AA466="D","虧損擴大或轉虧","數據不足"))))</f>
        <v>四季持續盈利</v>
      </c>
      <c r="AA466" s="9" t="str">
        <f>IF(COUNT(N466:Q466)&lt;4,"—",IF(MIN(N466:Q466)&gt;0,"A",IF(Q466&gt;0,"B",IF(Q466&gt;N466,"C","D"))))</f>
        <v>A</v>
      </c>
      <c r="AB466" s="9" t="inlineStr">
        <is>
          <t>2026-06-30</t>
        </is>
      </c>
    </row>
    <row r="467" ht="15" customHeight="1">
      <c r="A467" s="9" t="n">
        <v>466</v>
      </c>
      <c r="B467" s="10" t="inlineStr">
        <is>
          <t>TFC</t>
        </is>
      </c>
      <c r="C467" s="11" t="inlineStr">
        <is>
          <t>區域與社區銀行</t>
        </is>
      </c>
      <c r="D467" s="11" t="inlineStr">
        <is>
          <t>Truist Financial Corporation</t>
        </is>
      </c>
      <c r="E467" s="11" t="inlineStr">
        <is>
          <t>Banks - Regional</t>
        </is>
      </c>
      <c r="F467" s="9" t="inlineStr">
        <is>
          <t>USD</t>
        </is>
      </c>
      <c r="G467" s="11" t="inlineStr">
        <is>
          <t>25Q2 / 25Q3 / 25Q4 / 26Q1 / 26Q2</t>
        </is>
      </c>
      <c r="H467" s="12" t="n">
        <v>4987</v>
      </c>
      <c r="I467" s="12" t="n">
        <v>5187</v>
      </c>
      <c r="J467" s="12" t="n">
        <v>5246</v>
      </c>
      <c r="K467" s="12" t="n">
        <v>5152</v>
      </c>
      <c r="L467" s="12" t="n"/>
      <c r="M467" s="13" t="str">
        <f>IF(OR(N(H467)=0,L467=""),"",L467/H467-1)</f>
        <v/>
      </c>
      <c r="N467" s="14" t="n"/>
      <c r="O467" s="14" t="n"/>
      <c r="P467" s="14" t="n"/>
      <c r="Q467" s="14" t="n"/>
      <c r="R467" s="13" t="str">
        <f>IF(OR(N(L467)=0,Q467=""),"",Q467/L467)</f>
        <v/>
      </c>
      <c r="S467" s="14" t="n"/>
      <c r="T467" s="13" t="str">
        <f>IF(OR(N(L467)=0,S467=""),"",S467/L467)</f>
        <v/>
      </c>
      <c r="U467" s="14" t="n"/>
      <c r="V467" s="13" t="str">
        <f>IF(OR(N(L467)=0,U467=""),"",U467/L467)</f>
        <v/>
      </c>
      <c r="W467" s="14" t="n">
        <v>20319</v>
      </c>
      <c r="X467" s="14" t="n"/>
      <c r="Y467" s="13" t="str">
        <f>IF(OR(N(W467)=0,X467=""),"",X467/W467)</f>
        <v/>
      </c>
      <c r="Z467" s="11" t="str">
        <f>IF(AA467="A","四季持續盈利",IF(AA467="B","最新季為正/波動",IF(AA467="C","虧損收窄",IF(AA467="D","虧損擴大或轉虧","數據不足"))))</f>
        <v>數據不足</v>
      </c>
      <c r="AA467" s="9" t="str">
        <f>IF(COUNT(N467:Q467)&lt;4,"—",IF(MIN(N467:Q467)&gt;0,"A",IF(Q467&gt;0,"B",IF(Q467&gt;N467,"C","D"))))</f>
        <v>—</v>
      </c>
      <c r="AB467" s="9" t="inlineStr">
        <is>
          <t>2026-06-30</t>
        </is>
      </c>
    </row>
    <row r="468" ht="15" customHeight="1">
      <c r="A468" s="9" t="n">
        <v>467</v>
      </c>
      <c r="B468" s="10" t="inlineStr">
        <is>
          <t>THC</t>
        </is>
      </c>
      <c r="C468" s="11" t="inlineStr">
        <is>
          <t>醫院與醫療服務</t>
        </is>
      </c>
      <c r="D468" s="11" t="inlineStr">
        <is>
          <t>Tenet Healthcare Corporation</t>
        </is>
      </c>
      <c r="E468" s="11" t="inlineStr">
        <is>
          <t>Medical Care Facilities</t>
        </is>
      </c>
      <c r="F468" s="9" t="inlineStr">
        <is>
          <t>USD</t>
        </is>
      </c>
      <c r="G468" s="11" t="inlineStr">
        <is>
          <t>25Q2 / 25Q3 / 25Q4 / 26Q1 / 26Q2</t>
        </is>
      </c>
      <c r="H468" s="12" t="n">
        <v>5271</v>
      </c>
      <c r="I468" s="12" t="n">
        <v>5289</v>
      </c>
      <c r="J468" s="12" t="n">
        <v>5527</v>
      </c>
      <c r="K468" s="12" t="n">
        <v>5781</v>
      </c>
      <c r="L468" s="12" t="n">
        <v>6041</v>
      </c>
      <c r="M468" s="13">
        <f>IF(OR(N(H468)=0,L468=""),"",L468/H468-1)</f>
        <v>0.14608233731739717</v>
      </c>
      <c r="N468" s="14" t="n">
        <v>817</v>
      </c>
      <c r="O468" s="14" t="n">
        <v>869</v>
      </c>
      <c r="P468" s="14" t="n">
        <v>1295</v>
      </c>
      <c r="Q468" s="14" t="n">
        <v>1437</v>
      </c>
      <c r="R468" s="13">
        <f>IF(OR(N(L468)=0,Q468=""),"",Q468/L468)</f>
        <v>0.23787452408541632</v>
      </c>
      <c r="S468" s="14" t="n">
        <v>5057</v>
      </c>
      <c r="T468" s="13">
        <f>IF(OR(N(L468)=0,S468=""),"",S468/L468)</f>
        <v>0.8371130607515312</v>
      </c>
      <c r="U468" s="14" t="n">
        <v>826</v>
      </c>
      <c r="V468" s="13">
        <f>IF(OR(N(L468)=0,U468=""),"",U468/L468)</f>
        <v>0.13673232908458866</v>
      </c>
      <c r="W468" s="14" t="n">
        <v>21310</v>
      </c>
      <c r="X468" s="14" t="n">
        <v>3439</v>
      </c>
      <c r="Y468" s="13">
        <f>IF(OR(N(W468)=0,X468=""),"",X468/W468)</f>
        <v>0.1613796339746598</v>
      </c>
      <c r="Z468" s="11" t="str">
        <f>IF(AA468="A","四季持續盈利",IF(AA468="B","最新季為正/波動",IF(AA468="C","虧損收窄",IF(AA468="D","虧損擴大或轉虧","數據不足"))))</f>
        <v>四季持續盈利</v>
      </c>
      <c r="AA468" s="9" t="str">
        <f>IF(COUNT(N468:Q468)&lt;4,"—",IF(MIN(N468:Q468)&gt;0,"A",IF(Q468&gt;0,"B",IF(Q468&gt;N468,"C","D"))))</f>
        <v>A</v>
      </c>
      <c r="AB468" s="9" t="inlineStr">
        <is>
          <t>2026-06-30</t>
        </is>
      </c>
    </row>
    <row r="469" ht="15" customHeight="1">
      <c r="A469" s="9" t="n">
        <v>468</v>
      </c>
      <c r="B469" s="10" t="inlineStr">
        <is>
          <t>TJX</t>
        </is>
      </c>
      <c r="C469" s="11" t="inlineStr">
        <is>
          <t>專門零售</t>
        </is>
      </c>
      <c r="D469" s="11" t="inlineStr">
        <is>
          <t>The TJX Companies, Inc.</t>
        </is>
      </c>
      <c r="E469" s="11" t="inlineStr">
        <is>
          <t>Apparel Retail</t>
        </is>
      </c>
      <c r="F469" s="9" t="inlineStr">
        <is>
          <t>USD</t>
        </is>
      </c>
      <c r="G469" s="11" t="inlineStr">
        <is>
          <t>25Q3 / 25Q4 / 26Q1 / 26Q2 / 26Q3</t>
        </is>
      </c>
      <c r="H469" s="12" t="n">
        <v>14401</v>
      </c>
      <c r="I469" s="12" t="n">
        <v>15117</v>
      </c>
      <c r="J469" s="12" t="n">
        <v>17743</v>
      </c>
      <c r="K469" s="12" t="n">
        <v>14323</v>
      </c>
      <c r="L469" s="12" t="n">
        <v>15180</v>
      </c>
      <c r="M469" s="13">
        <f>IF(OR(N(H469)=0,L469=""),"",L469/H469-1)</f>
        <v>0.054093465731546386</v>
      </c>
      <c r="N469" s="14" t="n">
        <v>1888</v>
      </c>
      <c r="O469" s="14" t="n">
        <v>2354</v>
      </c>
      <c r="P469" s="14" t="n">
        <v>1686</v>
      </c>
      <c r="Q469" s="14" t="n">
        <v>1987</v>
      </c>
      <c r="R469" s="13">
        <f>IF(OR(N(L469)=0,Q469=""),"",Q469/L469)</f>
        <v>0.13089591567852438</v>
      </c>
      <c r="S469" s="14" t="n">
        <v>5072</v>
      </c>
      <c r="T469" s="13">
        <f>IF(OR(N(L469)=0,S469=""),"",S469/L469)</f>
        <v>0.3341238471673254</v>
      </c>
      <c r="U469" s="14" t="n">
        <v>1520</v>
      </c>
      <c r="V469" s="13">
        <f>IF(OR(N(L469)=0,U469=""),"",U469/L469)</f>
        <v>0.10013175230566534</v>
      </c>
      <c r="W469" s="14" t="n">
        <v>60372</v>
      </c>
      <c r="X469" s="14" t="n">
        <v>7178</v>
      </c>
      <c r="Y469" s="13">
        <f>IF(OR(N(W469)=0,X469=""),"",X469/W469)</f>
        <v>0.11889617703571193</v>
      </c>
      <c r="Z469" s="11" t="str">
        <f>IF(AA469="A","四季持續盈利",IF(AA469="B","最新季為正/波動",IF(AA469="C","虧損收窄",IF(AA469="D","虧損擴大或轉虧","數據不足"))))</f>
        <v>四季持續盈利</v>
      </c>
      <c r="AA469" s="9" t="str">
        <f>IF(COUNT(N469:Q469)&lt;4,"—",IF(MIN(N469:Q469)&gt;0,"A",IF(Q469&gt;0,"B",IF(Q469&gt;N469,"C","D"))))</f>
        <v>A</v>
      </c>
      <c r="AB469" s="9" t="inlineStr">
        <is>
          <t>2026-07-31</t>
        </is>
      </c>
    </row>
    <row r="470" ht="15" customHeight="1">
      <c r="A470" s="9" t="n">
        <v>469</v>
      </c>
      <c r="B470" s="10" t="inlineStr">
        <is>
          <t>TLN</t>
        </is>
      </c>
      <c r="C470" s="11" t="inlineStr">
        <is>
          <t>IPP與電力交易商</t>
        </is>
      </c>
      <c r="D470" s="11" t="inlineStr">
        <is>
          <t>Talen Energy Corporation</t>
        </is>
      </c>
      <c r="E470" s="11" t="inlineStr">
        <is>
          <t>F3 能源</t>
        </is>
      </c>
      <c r="F470" s="9" t="inlineStr">
        <is>
          <t>USD</t>
        </is>
      </c>
      <c r="G470" s="11" t="inlineStr">
        <is>
          <t>25Q2 / 25Q3 / 25Q4 / 26Q1 / 26Q2</t>
        </is>
      </c>
      <c r="H470" s="12" t="n">
        <v>454</v>
      </c>
      <c r="I470" s="12" t="n">
        <v>770</v>
      </c>
      <c r="J470" s="12" t="n">
        <v>771</v>
      </c>
      <c r="K470" s="12" t="n">
        <v>1241</v>
      </c>
      <c r="L470" s="12" t="n">
        <v>959</v>
      </c>
      <c r="M470" s="13">
        <f>IF(OR(N(H470)=0,L470=""),"",L470/H470-1)</f>
        <v>1.1123348017621146</v>
      </c>
      <c r="N470" s="14" t="n">
        <v>227</v>
      </c>
      <c r="O470" s="14" t="n">
        <v>-261</v>
      </c>
      <c r="P470" s="14" t="n">
        <v>364</v>
      </c>
      <c r="Q470" s="14" t="n">
        <v>139</v>
      </c>
      <c r="R470" s="13">
        <f>IF(OR(N(L470)=0,Q470=""),"",Q470/L470)</f>
        <v>0.14494264859228362</v>
      </c>
      <c r="S470" s="14" t="n">
        <v>370</v>
      </c>
      <c r="T470" s="13">
        <f>IF(OR(N(L470)=0,S470=""),"",S470/L470)</f>
        <v>0.3858185610010427</v>
      </c>
      <c r="U470" s="14" t="n">
        <v>-92</v>
      </c>
      <c r="V470" s="13">
        <f>IF(OR(N(L470)=0,U470=""),"",U470/L470)</f>
        <v>-0.09593326381647549</v>
      </c>
      <c r="W470" s="14" t="n">
        <v>2626</v>
      </c>
      <c r="X470" s="14" t="n">
        <v>16</v>
      </c>
      <c r="Y470" s="13">
        <f>IF(OR(N(W470)=0,X470=""),"",X470/W470)</f>
        <v>0.006092916984006093</v>
      </c>
      <c r="Z470" s="11" t="str">
        <f>IF(AA470="A","四季持續盈利",IF(AA470="B","最新季為正/波動",IF(AA470="C","虧損收窄",IF(AA470="D","虧損擴大或轉虧","數據不足"))))</f>
        <v>最新季為正/波動</v>
      </c>
      <c r="AA470" s="9" t="str">
        <f>IF(COUNT(N470:Q470)&lt;4,"—",IF(MIN(N470:Q470)&gt;0,"A",IF(Q470&gt;0,"B",IF(Q470&gt;N470,"C","D"))))</f>
        <v>B</v>
      </c>
      <c r="AB470" s="9" t="inlineStr">
        <is>
          <t>2026-06-30</t>
        </is>
      </c>
    </row>
    <row r="471" ht="15" customHeight="1">
      <c r="A471" s="9" t="n">
        <v>470</v>
      </c>
      <c r="B471" s="10" t="inlineStr">
        <is>
          <t>TMC</t>
        </is>
      </c>
      <c r="C471" s="11" t="inlineStr">
        <is>
          <t>稀土與關鍵礦產</t>
        </is>
      </c>
      <c r="D471" s="11" t="inlineStr">
        <is>
          <t>TMC the metals company Inc.</t>
        </is>
      </c>
      <c r="E471" s="11" t="inlineStr">
        <is>
          <t>Other Industrial Metals &amp; Mining</t>
        </is>
      </c>
      <c r="F471" s="9" t="inlineStr">
        <is>
          <t>USD</t>
        </is>
      </c>
      <c r="G471" s="11" t="inlineStr">
        <is>
          <t>25Q2 / 25Q3 / 25Q4 / 26Q1 / 26Q2</t>
        </is>
      </c>
      <c r="H471" s="12" t="n">
        <v>0</v>
      </c>
      <c r="I471" s="12" t="n">
        <v>0</v>
      </c>
      <c r="J471" s="12" t="n">
        <v>0</v>
      </c>
      <c r="K471" s="12" t="n">
        <v>0</v>
      </c>
      <c r="L471" s="12" t="n">
        <v>0</v>
      </c>
      <c r="M471" s="13" t="str">
        <f>IF(OR(N(H471)=0,L471=""),"",L471/H471-1)</f>
        <v/>
      </c>
      <c r="N471" s="14" t="n">
        <v>-55.359</v>
      </c>
      <c r="O471" s="14" t="n">
        <v>-44.705</v>
      </c>
      <c r="P471" s="14" t="n">
        <v>-33.982</v>
      </c>
      <c r="Q471" s="14" t="n">
        <v>-71.717</v>
      </c>
      <c r="R471" s="13" t="str">
        <f>IF(OR(N(L471)=0,Q471=""),"",Q471/L471)</f>
        <v/>
      </c>
      <c r="S471" s="14" t="n"/>
      <c r="T471" s="13" t="str">
        <f>IF(OR(N(L471)=0,S471=""),"",S471/L471)</f>
        <v/>
      </c>
      <c r="U471" s="14" t="n">
        <v>-60.123</v>
      </c>
      <c r="V471" s="13" t="str">
        <f>IF(OR(N(L471)=0,U471=""),"",U471/L471)</f>
        <v/>
      </c>
      <c r="W471" s="14" t="n">
        <v>0</v>
      </c>
      <c r="X471" s="14" t="n">
        <v>-140.054</v>
      </c>
      <c r="Y471" s="13" t="str">
        <f>IF(OR(N(W471)=0,X471=""),"",X471/W471)</f>
        <v/>
      </c>
      <c r="Z471" s="11" t="str">
        <f>IF(AA471="A","四季持續盈利",IF(AA471="B","最新季為正/波動",IF(AA471="C","虧損收窄",IF(AA471="D","虧損擴大或轉虧","數據不足"))))</f>
        <v>虧損擴大或轉虧</v>
      </c>
      <c r="AA471" s="9" t="str">
        <f>IF(COUNT(N471:Q471)&lt;4,"—",IF(MIN(N471:Q471)&gt;0,"A",IF(Q471&gt;0,"B",IF(Q471&gt;N471,"C","D"))))</f>
        <v>D</v>
      </c>
      <c r="AB471" s="9" t="inlineStr">
        <is>
          <t>2026-06-30</t>
        </is>
      </c>
    </row>
    <row r="472" ht="15" customHeight="1">
      <c r="A472" s="9" t="n">
        <v>471</v>
      </c>
      <c r="B472" s="10" t="inlineStr">
        <is>
          <t>TMO</t>
        </is>
      </c>
      <c r="C472" s="11" t="inlineStr">
        <is>
          <t>診斷與生命科學工具</t>
        </is>
      </c>
      <c r="D472" s="11" t="inlineStr">
        <is>
          <t>Thermo Fisher Scientific Inc.</t>
        </is>
      </c>
      <c r="E472" s="11" t="inlineStr">
        <is>
          <t>Diagnostics &amp; Research</t>
        </is>
      </c>
      <c r="F472" s="9" t="inlineStr">
        <is>
          <t>USD</t>
        </is>
      </c>
      <c r="G472" s="11" t="inlineStr">
        <is>
          <t>25Q2 / 25Q3 / 25Q4 / 26Q1 / 26Q2</t>
        </is>
      </c>
      <c r="H472" s="12" t="n">
        <v>10854</v>
      </c>
      <c r="I472" s="12" t="n">
        <v>11122</v>
      </c>
      <c r="J472" s="12" t="n">
        <v>12215</v>
      </c>
      <c r="K472" s="12" t="n">
        <v>11005</v>
      </c>
      <c r="L472" s="12" t="n">
        <v>11994</v>
      </c>
      <c r="M472" s="13">
        <f>IF(OR(N(H472)=0,L472=""),"",L472/H472-1)</f>
        <v>0.10503040353786619</v>
      </c>
      <c r="N472" s="14" t="n">
        <v>2075</v>
      </c>
      <c r="O472" s="14" t="n">
        <v>2303</v>
      </c>
      <c r="P472" s="14" t="n">
        <v>1913</v>
      </c>
      <c r="Q472" s="14" t="n">
        <v>2185</v>
      </c>
      <c r="R472" s="13">
        <f>IF(OR(N(L472)=0,Q472=""),"",Q472/L472)</f>
        <v>0.18217442054360514</v>
      </c>
      <c r="S472" s="14" t="n">
        <v>4882</v>
      </c>
      <c r="T472" s="13">
        <f>IF(OR(N(L472)=0,S472=""),"",S472/L472)</f>
        <v>0.40703685175921295</v>
      </c>
      <c r="U472" s="14" t="n">
        <v>1736</v>
      </c>
      <c r="V472" s="13">
        <f>IF(OR(N(L472)=0,U472=""),"",U472/L472)</f>
        <v>0.14473903618475906</v>
      </c>
      <c r="W472" s="14" t="n">
        <v>44557</v>
      </c>
      <c r="X472" s="14" t="n">
        <v>8110</v>
      </c>
      <c r="Y472" s="13">
        <f>IF(OR(N(W472)=0,X472=""),"",X472/W472)</f>
        <v>0.18201404941984425</v>
      </c>
      <c r="Z472" s="11" t="str">
        <f>IF(AA472="A","四季持續盈利",IF(AA472="B","最新季為正/波動",IF(AA472="C","虧損收窄",IF(AA472="D","虧損擴大或轉虧","數據不足"))))</f>
        <v>四季持續盈利</v>
      </c>
      <c r="AA472" s="9" t="str">
        <f>IF(COUNT(N472:Q472)&lt;4,"—",IF(MIN(N472:Q472)&gt;0,"A",IF(Q472&gt;0,"B",IF(Q472&gt;N472,"C","D"))))</f>
        <v>A</v>
      </c>
      <c r="AB472" s="9" t="inlineStr">
        <is>
          <t>2026-06-30</t>
        </is>
      </c>
    </row>
    <row r="473" ht="15" customHeight="1">
      <c r="A473" s="9" t="n">
        <v>472</v>
      </c>
      <c r="B473" s="10" t="inlineStr">
        <is>
          <t>TMUS</t>
        </is>
      </c>
      <c r="C473" s="11" t="inlineStr">
        <is>
          <t>電信營運商</t>
        </is>
      </c>
      <c r="D473" s="11" t="inlineStr">
        <is>
          <t>T-Mobile US, Inc.</t>
        </is>
      </c>
      <c r="E473" s="11" t="inlineStr">
        <is>
          <t>Telecom Services</t>
        </is>
      </c>
      <c r="F473" s="9" t="inlineStr">
        <is>
          <t>USD</t>
        </is>
      </c>
      <c r="G473" s="11" t="inlineStr">
        <is>
          <t>25Q2 / 25Q3 / 25Q4 / 26Q1 / 26Q2</t>
        </is>
      </c>
      <c r="H473" s="12" t="n">
        <v>21132</v>
      </c>
      <c r="I473" s="12" t="n">
        <v>21957</v>
      </c>
      <c r="J473" s="12" t="n">
        <v>24334</v>
      </c>
      <c r="K473" s="12" t="n">
        <v>23107</v>
      </c>
      <c r="L473" s="12" t="n">
        <v>22791</v>
      </c>
      <c r="M473" s="13">
        <f>IF(OR(N(H473)=0,L473=""),"",L473/H473-1)</f>
        <v>0.07850653038046573</v>
      </c>
      <c r="N473" s="14" t="n">
        <v>4808</v>
      </c>
      <c r="O473" s="14" t="n">
        <v>3736</v>
      </c>
      <c r="P473" s="14" t="n">
        <v>4497</v>
      </c>
      <c r="Q473" s="14" t="n">
        <v>5490</v>
      </c>
      <c r="R473" s="13">
        <f>IF(OR(N(L473)=0,Q473=""),"",Q473/L473)</f>
        <v>0.2408845596946163</v>
      </c>
      <c r="S473" s="14" t="n">
        <v>14758</v>
      </c>
      <c r="T473" s="13">
        <f>IF(OR(N(L473)=0,S473=""),"",S473/L473)</f>
        <v>0.6475363081918301</v>
      </c>
      <c r="U473" s="14" t="n">
        <v>3239</v>
      </c>
      <c r="V473" s="13">
        <f>IF(OR(N(L473)=0,U473=""),"",U473/L473)</f>
        <v>0.1421175025229257</v>
      </c>
      <c r="W473" s="14" t="n">
        <v>88309</v>
      </c>
      <c r="X473" s="14" t="n">
        <v>18557</v>
      </c>
      <c r="Y473" s="13">
        <f>IF(OR(N(W473)=0,X473=""),"",X473/W473)</f>
        <v>0.2101371321156394</v>
      </c>
      <c r="Z473" s="11" t="str">
        <f>IF(AA473="A","四季持續盈利",IF(AA473="B","最新季為正/波動",IF(AA473="C","虧損收窄",IF(AA473="D","虧損擴大或轉虧","數據不足"))))</f>
        <v>四季持續盈利</v>
      </c>
      <c r="AA473" s="9" t="str">
        <f>IF(COUNT(N473:Q473)&lt;4,"—",IF(MIN(N473:Q473)&gt;0,"A",IF(Q473&gt;0,"B",IF(Q473&gt;N473,"C","D"))))</f>
        <v>A</v>
      </c>
      <c r="AB473" s="9" t="inlineStr">
        <is>
          <t>2026-06-30</t>
        </is>
      </c>
    </row>
    <row r="474" ht="15" customHeight="1">
      <c r="A474" s="9" t="n">
        <v>473</v>
      </c>
      <c r="B474" s="10" t="inlineStr">
        <is>
          <t>TOL</t>
        </is>
      </c>
      <c r="C474" s="11" t="inlineStr">
        <is>
          <t>住宅建築商</t>
        </is>
      </c>
      <c r="D474" s="11" t="inlineStr">
        <is>
          <t>Toll Brothers, Inc.</t>
        </is>
      </c>
      <c r="E474" s="11" t="inlineStr">
        <is>
          <t>Residential Construction</t>
        </is>
      </c>
      <c r="F474" s="9" t="inlineStr">
        <is>
          <t>USD</t>
        </is>
      </c>
      <c r="G474" s="11" t="inlineStr">
        <is>
          <t>25Q3 / 25Q4 / 26Q1 / 26Q2 / 26Q3</t>
        </is>
      </c>
      <c r="H474" s="12" t="n">
        <v>2945.117</v>
      </c>
      <c r="I474" s="12" t="n">
        <v>3423.398</v>
      </c>
      <c r="J474" s="12" t="n">
        <v>2145.627</v>
      </c>
      <c r="K474" s="12" t="n">
        <v>2531.23</v>
      </c>
      <c r="L474" s="12" t="n">
        <v>2658.781</v>
      </c>
      <c r="M474" s="13">
        <f>IF(OR(N(H474)=0,L474=""),"",L474/H474-1)</f>
        <v>-0.09722398125439502</v>
      </c>
      <c r="N474" s="14" t="n">
        <v>564.086</v>
      </c>
      <c r="O474" s="14" t="n">
        <v>219.055</v>
      </c>
      <c r="P474" s="14" t="n">
        <v>346.637</v>
      </c>
      <c r="Q474" s="14" t="n">
        <v>359.151</v>
      </c>
      <c r="R474" s="13">
        <f>IF(OR(N(L474)=0,Q474=""),"",Q474/L474)</f>
        <v>0.13508107662872573</v>
      </c>
      <c r="S474" s="14" t="n">
        <v>625.2190000000001</v>
      </c>
      <c r="T474" s="13">
        <f>IF(OR(N(L474)=0,S474=""),"",S474/L474)</f>
        <v>0.23515250033756074</v>
      </c>
      <c r="U474" s="14" t="n">
        <v>280.145</v>
      </c>
      <c r="V474" s="13">
        <f>IF(OR(N(L474)=0,U474=""),"",U474/L474)</f>
        <v>0.10536595530056819</v>
      </c>
      <c r="W474" s="14" t="n">
        <v>10966.723</v>
      </c>
      <c r="X474" s="14" t="n">
        <v>1720.614</v>
      </c>
      <c r="Y474" s="13">
        <f>IF(OR(N(W474)=0,X474=""),"",X474/W474)</f>
        <v>0.1568940876869052</v>
      </c>
      <c r="Z474" s="11" t="str">
        <f>IF(AA474="A","四季持續盈利",IF(AA474="B","最新季為正/波動",IF(AA474="C","虧損收窄",IF(AA474="D","虧損擴大或轉虧","數據不足"))))</f>
        <v>四季持續盈利</v>
      </c>
      <c r="AA474" s="9" t="str">
        <f>IF(COUNT(N474:Q474)&lt;4,"—",IF(MIN(N474:Q474)&gt;0,"A",IF(Q474&gt;0,"B",IF(Q474&gt;N474,"C","D"))))</f>
        <v>A</v>
      </c>
      <c r="AB474" s="9" t="inlineStr">
        <is>
          <t>2026-07-31</t>
        </is>
      </c>
    </row>
    <row r="475" ht="15" customHeight="1">
      <c r="A475" s="9" t="n">
        <v>474</v>
      </c>
      <c r="B475" s="10" t="inlineStr">
        <is>
          <t>TOST</t>
        </is>
      </c>
      <c r="C475" s="11" t="inlineStr">
        <is>
          <t>支付與收單</t>
        </is>
      </c>
      <c r="D475" s="11" t="inlineStr">
        <is>
          <t>Toast, Inc.</t>
        </is>
      </c>
      <c r="E475" s="11" t="inlineStr">
        <is>
          <t>Software - Infrastructure</t>
        </is>
      </c>
      <c r="F475" s="9" t="inlineStr">
        <is>
          <t>USD</t>
        </is>
      </c>
      <c r="G475" s="11" t="inlineStr">
        <is>
          <t>25Q2 / 25Q3 / 25Q4 / 26Q1 / 26Q2</t>
        </is>
      </c>
      <c r="H475" s="12" t="n">
        <v>1550</v>
      </c>
      <c r="I475" s="12" t="n">
        <v>1633</v>
      </c>
      <c r="J475" s="12" t="n">
        <v>1633</v>
      </c>
      <c r="K475" s="12" t="n">
        <v>1630</v>
      </c>
      <c r="L475" s="12" t="n">
        <v>1908</v>
      </c>
      <c r="M475" s="13">
        <f>IF(OR(N(H475)=0,L475=""),"",L475/H475-1)</f>
        <v>0.23096774193548386</v>
      </c>
      <c r="N475" s="14" t="n">
        <v>84</v>
      </c>
      <c r="O475" s="14" t="n">
        <v>89</v>
      </c>
      <c r="P475" s="14" t="n">
        <v>110</v>
      </c>
      <c r="Q475" s="14" t="n">
        <v>152</v>
      </c>
      <c r="R475" s="13">
        <f>IF(OR(N(L475)=0,Q475=""),"",Q475/L475)</f>
        <v>0.07966457023060797</v>
      </c>
      <c r="S475" s="14" t="n">
        <v>516</v>
      </c>
      <c r="T475" s="13">
        <f>IF(OR(N(L475)=0,S475=""),"",S475/L475)</f>
        <v>0.27044025157232704</v>
      </c>
      <c r="U475" s="14" t="n">
        <v>154</v>
      </c>
      <c r="V475" s="13">
        <f>IF(OR(N(L475)=0,U475=""),"",U475/L475)</f>
        <v>0.08071278825995808</v>
      </c>
      <c r="W475" s="14" t="n">
        <v>6153</v>
      </c>
      <c r="X475" s="14" t="n">
        <v>304</v>
      </c>
      <c r="Y475" s="13">
        <f>IF(OR(N(W475)=0,X475=""),"",X475/W475)</f>
        <v>0.049406793434097186</v>
      </c>
      <c r="Z475" s="11" t="str">
        <f>IF(AA475="A","四季持續盈利",IF(AA475="B","最新季為正/波動",IF(AA475="C","虧損收窄",IF(AA475="D","虧損擴大或轉虧","數據不足"))))</f>
        <v>四季持續盈利</v>
      </c>
      <c r="AA475" s="9" t="str">
        <f>IF(COUNT(N475:Q475)&lt;4,"—",IF(MIN(N475:Q475)&gt;0,"A",IF(Q475&gt;0,"B",IF(Q475&gt;N475,"C","D"))))</f>
        <v>A</v>
      </c>
      <c r="AB475" s="9" t="inlineStr">
        <is>
          <t>2026-06-30</t>
        </is>
      </c>
    </row>
    <row r="476" ht="15" customHeight="1">
      <c r="A476" s="9" t="n">
        <v>475</v>
      </c>
      <c r="B476" s="10" t="inlineStr">
        <is>
          <t>TPB</t>
        </is>
      </c>
      <c r="C476" s="11" t="inlineStr">
        <is>
          <t>煙草與尼古丁</t>
        </is>
      </c>
      <c r="D476" s="11" t="inlineStr">
        <is>
          <t>Turning Point Brands, Inc.</t>
        </is>
      </c>
      <c r="E476" s="11" t="inlineStr">
        <is>
          <t>Tobacco</t>
        </is>
      </c>
      <c r="F476" s="9" t="inlineStr">
        <is>
          <t>USD</t>
        </is>
      </c>
      <c r="G476" s="11" t="inlineStr">
        <is>
          <t>25Q2 / 25Q3 / 25Q4 / 26Q1 / 26Q2</t>
        </is>
      </c>
      <c r="H476" s="12" t="n">
        <v>116.634</v>
      </c>
      <c r="I476" s="12" t="n">
        <v>118.979</v>
      </c>
      <c r="J476" s="12" t="n">
        <v>121.013</v>
      </c>
      <c r="K476" s="12" t="n">
        <v>124.278</v>
      </c>
      <c r="L476" s="12" t="n">
        <v>142.96</v>
      </c>
      <c r="M476" s="13">
        <f>IF(OR(N(H476)=0,L476=""),"",L476/H476-1)</f>
        <v>0.22571462866745562</v>
      </c>
      <c r="N476" s="14" t="n">
        <v>25.885</v>
      </c>
      <c r="O476" s="14" t="n">
        <v>19.926</v>
      </c>
      <c r="P476" s="14" t="n">
        <v>12.484</v>
      </c>
      <c r="Q476" s="14" t="n">
        <v>16.713</v>
      </c>
      <c r="R476" s="13">
        <f>IF(OR(N(L476)=0,Q476=""),"",Q476/L476)</f>
        <v>0.11690682708449916</v>
      </c>
      <c r="S476" s="14" t="n">
        <v>93.70399999999999</v>
      </c>
      <c r="T476" s="13">
        <f>IF(OR(N(L476)=0,S476=""),"",S476/L476)</f>
        <v>0.6554560716284275</v>
      </c>
      <c r="U476" s="14" t="n">
        <v>3.598</v>
      </c>
      <c r="V476" s="13">
        <f>IF(OR(N(L476)=0,U476=""),"",U476/L476)</f>
        <v>0.025167879127028538</v>
      </c>
      <c r="W476" s="14" t="n">
        <v>463.062</v>
      </c>
      <c r="X476" s="14" t="n">
        <v>95.327</v>
      </c>
      <c r="Y476" s="13">
        <f>IF(OR(N(W476)=0,X476=""),"",X476/W476)</f>
        <v>0.20586228194064723</v>
      </c>
      <c r="Z476" s="11" t="str">
        <f>IF(AA476="A","四季持續盈利",IF(AA476="B","最新季為正/波動",IF(AA476="C","虧損收窄",IF(AA476="D","虧損擴大或轉虧","數據不足"))))</f>
        <v>四季持續盈利</v>
      </c>
      <c r="AA476" s="9" t="str">
        <f>IF(COUNT(N476:Q476)&lt;4,"—",IF(MIN(N476:Q476)&gt;0,"A",IF(Q476&gt;0,"B",IF(Q476&gt;N476,"C","D"))))</f>
        <v>A</v>
      </c>
      <c r="AB476" s="9" t="inlineStr">
        <is>
          <t>2026-06-30</t>
        </is>
      </c>
    </row>
    <row r="477" ht="15" customHeight="1">
      <c r="A477" s="9" t="n">
        <v>476</v>
      </c>
      <c r="B477" s="10" t="inlineStr">
        <is>
          <t>TROW</t>
        </is>
      </c>
      <c r="C477" s="11" t="inlineStr">
        <is>
          <t>資產管理</t>
        </is>
      </c>
      <c r="D477" s="11" t="inlineStr">
        <is>
          <t>T. Rowe Price Group, Inc.</t>
        </is>
      </c>
      <c r="E477" s="11" t="inlineStr">
        <is>
          <t>Asset Management</t>
        </is>
      </c>
      <c r="F477" s="9" t="inlineStr">
        <is>
          <t>USD</t>
        </is>
      </c>
      <c r="G477" s="11" t="inlineStr">
        <is>
          <t>25Q2 / 25Q3 / 25Q4 / 26Q1 / 26Q2</t>
        </is>
      </c>
      <c r="H477" s="12" t="n">
        <v>1723.3</v>
      </c>
      <c r="I477" s="12" t="n">
        <v>1893.5</v>
      </c>
      <c r="J477" s="12" t="n">
        <v>1934.1</v>
      </c>
      <c r="K477" s="12" t="n">
        <v>1857</v>
      </c>
      <c r="L477" s="12" t="n">
        <v>1907.4</v>
      </c>
      <c r="M477" s="13">
        <f>IF(OR(N(H477)=0,L477=""),"",L477/H477-1)</f>
        <v>0.10682991934079977</v>
      </c>
      <c r="N477" s="14" t="n">
        <v>698.5</v>
      </c>
      <c r="O477" s="14" t="n">
        <v>644.4</v>
      </c>
      <c r="P477" s="14" t="n">
        <v>708.5</v>
      </c>
      <c r="Q477" s="14" t="n">
        <v>563.7</v>
      </c>
      <c r="R477" s="13">
        <f>IF(OR(N(L477)=0,Q477=""),"",Q477/L477)</f>
        <v>0.29553318653664673</v>
      </c>
      <c r="S477" s="14" t="n">
        <v>894.8</v>
      </c>
      <c r="T477" s="13">
        <f>IF(OR(N(L477)=0,S477=""),"",S477/L477)</f>
        <v>0.46912026842822685</v>
      </c>
      <c r="U477" s="14" t="n">
        <v>632</v>
      </c>
      <c r="V477" s="13">
        <f>IF(OR(N(L477)=0,U477=""),"",U477/L477)</f>
        <v>0.3313410925867673</v>
      </c>
      <c r="W477" s="14" t="n">
        <v>7314.8</v>
      </c>
      <c r="X477" s="14" t="n">
        <v>2477.4</v>
      </c>
      <c r="Y477" s="13">
        <f>IF(OR(N(W477)=0,X477=""),"",X477/W477)</f>
        <v>0.33868321758626346</v>
      </c>
      <c r="Z477" s="11" t="str">
        <f>IF(AA477="A","四季持續盈利",IF(AA477="B","最新季為正/波動",IF(AA477="C","虧損收窄",IF(AA477="D","虧損擴大或轉虧","數據不足"))))</f>
        <v>四季持續盈利</v>
      </c>
      <c r="AA477" s="9" t="str">
        <f>IF(COUNT(N477:Q477)&lt;4,"—",IF(MIN(N477:Q477)&gt;0,"A",IF(Q477&gt;0,"B",IF(Q477&gt;N477,"C","D"))))</f>
        <v>A</v>
      </c>
      <c r="AB477" s="9" t="inlineStr">
        <is>
          <t>2026-06-30</t>
        </is>
      </c>
    </row>
    <row r="478" ht="15" customHeight="1">
      <c r="A478" s="9" t="n">
        <v>477</v>
      </c>
      <c r="B478" s="10" t="inlineStr">
        <is>
          <t>TRV</t>
        </is>
      </c>
      <c r="C478" s="11" t="inlineStr">
        <is>
          <t>產險與再保</t>
        </is>
      </c>
      <c r="D478" s="11" t="inlineStr">
        <is>
          <t>The Travelers Companies, Inc.</t>
        </is>
      </c>
      <c r="E478" s="11" t="inlineStr">
        <is>
          <t>Insurance - Property &amp; Casualty</t>
        </is>
      </c>
      <c r="F478" s="9" t="inlineStr">
        <is>
          <t>USD</t>
        </is>
      </c>
      <c r="G478" s="11" t="inlineStr">
        <is>
          <t>25Q2 / 25Q3 / 25Q4 / 26Q1 / 26Q2</t>
        </is>
      </c>
      <c r="H478" s="12" t="n">
        <v>12116</v>
      </c>
      <c r="I478" s="12" t="n">
        <v>12470</v>
      </c>
      <c r="J478" s="12" t="n">
        <v>12432</v>
      </c>
      <c r="K478" s="12" t="n">
        <v>11924</v>
      </c>
      <c r="L478" s="12" t="n">
        <v>12153</v>
      </c>
      <c r="M478" s="13">
        <f>IF(OR(N(H478)=0,L478=""),"",L478/H478-1)</f>
        <v>0.00305381313965003</v>
      </c>
      <c r="N478" s="14" t="n">
        <v>2455</v>
      </c>
      <c r="O478" s="14" t="n">
        <v>3219</v>
      </c>
      <c r="P478" s="14" t="n">
        <v>2235</v>
      </c>
      <c r="Q478" s="14" t="n">
        <v>2880</v>
      </c>
      <c r="R478" s="13">
        <f>IF(OR(N(L478)=0,Q478=""),"",Q478/L478)</f>
        <v>0.2369785238212787</v>
      </c>
      <c r="S478" s="14" t="n"/>
      <c r="T478" s="13" t="str">
        <f>IF(OR(N(L478)=0,S478=""),"",S478/L478)</f>
        <v/>
      </c>
      <c r="U478" s="14" t="n">
        <v>2208</v>
      </c>
      <c r="V478" s="13">
        <f>IF(OR(N(L478)=0,U478=""),"",U478/L478)</f>
        <v>0.181683534929647</v>
      </c>
      <c r="W478" s="14" t="n">
        <v>48828</v>
      </c>
      <c r="X478" s="14" t="n">
        <v>8221</v>
      </c>
      <c r="Y478" s="13">
        <f>IF(OR(N(W478)=0,X478=""),"",X478/W478)</f>
        <v>0.16836651101826822</v>
      </c>
      <c r="Z478" s="11" t="str">
        <f>IF(AA478="A","四季持續盈利",IF(AA478="B","最新季為正/波動",IF(AA478="C","虧損收窄",IF(AA478="D","虧損擴大或轉虧","數據不足"))))</f>
        <v>四季持續盈利</v>
      </c>
      <c r="AA478" s="9" t="str">
        <f>IF(COUNT(N478:Q478)&lt;4,"—",IF(MIN(N478:Q478)&gt;0,"A",IF(Q478&gt;0,"B",IF(Q478&gt;N478,"C","D"))))</f>
        <v>A</v>
      </c>
      <c r="AB478" s="9" t="inlineStr">
        <is>
          <t>2026-06-30</t>
        </is>
      </c>
    </row>
    <row r="479" ht="15" customHeight="1">
      <c r="A479" s="9" t="n">
        <v>478</v>
      </c>
      <c r="B479" s="10" t="inlineStr">
        <is>
          <t>TSEM</t>
        </is>
      </c>
      <c r="C479" s="11" t="inlineStr">
        <is>
          <t>—</t>
        </is>
      </c>
      <c r="D479" s="11" t="inlineStr">
        <is>
          <t>Tower Semiconductor Ltd.</t>
        </is>
      </c>
      <c r="E479" s="11" t="inlineStr">
        <is>
          <t>D2 矽光</t>
        </is>
      </c>
      <c r="F479" s="9" t="inlineStr">
        <is>
          <t>USD</t>
        </is>
      </c>
      <c r="G479" s="11" t="inlineStr">
        <is>
          <t>25Q2 / 25Q3 / 25Q4 / 26Q1 / 26Q2</t>
        </is>
      </c>
      <c r="H479" s="12" t="n">
        <v>372.061</v>
      </c>
      <c r="I479" s="12" t="n">
        <v>395.667</v>
      </c>
      <c r="J479" s="12" t="n">
        <v>440.206</v>
      </c>
      <c r="K479" s="12" t="n">
        <v>413.631</v>
      </c>
      <c r="L479" s="12" t="n">
        <v>460.079</v>
      </c>
      <c r="M479" s="13">
        <f>IF(OR(N(H479)=0,L479=""),"",L479/H479-1)</f>
        <v>0.23656873469673</v>
      </c>
      <c r="N479" s="14" t="n">
        <v>50.58</v>
      </c>
      <c r="O479" s="14" t="n">
        <v>70.82899999999999</v>
      </c>
      <c r="P479" s="14" t="n">
        <v>64.565</v>
      </c>
      <c r="Q479" s="14" t="n">
        <v>90.29000000000001</v>
      </c>
      <c r="R479" s="13">
        <f>IF(OR(N(L479)=0,Q479=""),"",Q479/L479)</f>
        <v>0.1962489050793451</v>
      </c>
      <c r="S479" s="14" t="n">
        <v>137.772</v>
      </c>
      <c r="T479" s="13">
        <f>IF(OR(N(L479)=0,S479=""),"",S479/L479)</f>
        <v>0.29945292004199275</v>
      </c>
      <c r="U479" s="14" t="n">
        <v>90.76900000000001</v>
      </c>
      <c r="V479" s="13">
        <f>IF(OR(N(L479)=0,U479=""),"",U479/L479)</f>
        <v>0.19729003062517525</v>
      </c>
      <c r="W479" s="14" t="n">
        <v>1566.104</v>
      </c>
      <c r="X479" s="14" t="n">
        <v>194.172</v>
      </c>
      <c r="Y479" s="13">
        <f>IF(OR(N(W479)=0,X479=""),"",X479/W479)</f>
        <v>0.12398410322686104</v>
      </c>
      <c r="Z479" s="11" t="str">
        <f>IF(AA479="A","四季持續盈利",IF(AA479="B","最新季為正/波動",IF(AA479="C","虧損收窄",IF(AA479="D","虧損擴大或轉虧","數據不足"))))</f>
        <v>四季持續盈利</v>
      </c>
      <c r="AA479" s="9" t="str">
        <f>IF(COUNT(N479:Q479)&lt;4,"—",IF(MIN(N479:Q479)&gt;0,"A",IF(Q479&gt;0,"B",IF(Q479&gt;N479,"C","D"))))</f>
        <v>A</v>
      </c>
      <c r="AB479" s="9" t="inlineStr">
        <is>
          <t>2026-06-30</t>
        </is>
      </c>
    </row>
    <row r="480" ht="15" customHeight="1">
      <c r="A480" s="9" t="n">
        <v>479</v>
      </c>
      <c r="B480" s="10" t="inlineStr">
        <is>
          <t>TSLA</t>
        </is>
      </c>
      <c r="C480" s="11" t="inlineStr">
        <is>
          <t>電動車與新能源車</t>
        </is>
      </c>
      <c r="D480" s="11" t="inlineStr">
        <is>
          <t>Tesla, Inc.</t>
        </is>
      </c>
      <c r="E480" s="11" t="inlineStr">
        <is>
          <t>G4 機器人</t>
        </is>
      </c>
      <c r="F480" s="9" t="inlineStr">
        <is>
          <t>USD</t>
        </is>
      </c>
      <c r="G480" s="11" t="inlineStr">
        <is>
          <t>25Q2 / 25Q3 / 25Q4 / 26Q1 / 26Q2</t>
        </is>
      </c>
      <c r="H480" s="12" t="n">
        <v>22496</v>
      </c>
      <c r="I480" s="12" t="n">
        <v>28095</v>
      </c>
      <c r="J480" s="12" t="n">
        <v>24901</v>
      </c>
      <c r="K480" s="12" t="n">
        <v>22387</v>
      </c>
      <c r="L480" s="12" t="n">
        <v>28236</v>
      </c>
      <c r="M480" s="13">
        <f>IF(OR(N(H480)=0,L480=""),"",L480/H480-1)</f>
        <v>0.25515647226173543</v>
      </c>
      <c r="N480" s="14" t="n">
        <v>1862</v>
      </c>
      <c r="O480" s="14" t="n">
        <v>1571</v>
      </c>
      <c r="P480" s="14" t="n">
        <v>941</v>
      </c>
      <c r="Q480" s="14" t="n">
        <v>398</v>
      </c>
      <c r="R480" s="13">
        <f>IF(OR(N(L480)=0,Q480=""),"",Q480/L480)</f>
        <v>0.014095480946309675</v>
      </c>
      <c r="S480" s="14" t="n">
        <v>4751</v>
      </c>
      <c r="T480" s="13">
        <f>IF(OR(N(L480)=0,S480=""),"",S480/L480)</f>
        <v>0.16826037682391273</v>
      </c>
      <c r="U480" s="14" t="n">
        <v>1114</v>
      </c>
      <c r="V480" s="13">
        <f>IF(OR(N(L480)=0,U480=""),"",U480/L480)</f>
        <v>0.039453180337158236</v>
      </c>
      <c r="W480" s="14" t="n">
        <v>94827</v>
      </c>
      <c r="X480" s="14" t="n">
        <v>4849</v>
      </c>
      <c r="Y480" s="13">
        <f>IF(OR(N(W480)=0,X480=""),"",X480/W480)</f>
        <v>0.05113522519957396</v>
      </c>
      <c r="Z480" s="11" t="str">
        <f>IF(AA480="A","四季持續盈利",IF(AA480="B","最新季為正/波動",IF(AA480="C","虧損收窄",IF(AA480="D","虧損擴大或轉虧","數據不足"))))</f>
        <v>四季持續盈利</v>
      </c>
      <c r="AA480" s="9" t="str">
        <f>IF(COUNT(N480:Q480)&lt;4,"—",IF(MIN(N480:Q480)&gt;0,"A",IF(Q480&gt;0,"B",IF(Q480&gt;N480,"C","D"))))</f>
        <v>A</v>
      </c>
      <c r="AB480" s="9" t="inlineStr">
        <is>
          <t>2026-06-30</t>
        </is>
      </c>
    </row>
    <row r="481" ht="15" customHeight="1">
      <c r="A481" s="9" t="n">
        <v>480</v>
      </c>
      <c r="B481" s="10" t="inlineStr">
        <is>
          <t>TSM</t>
        </is>
      </c>
      <c r="C481" s="11" t="inlineStr">
        <is>
          <t>晶圓代工/IDM</t>
        </is>
      </c>
      <c r="D481" s="11" t="inlineStr">
        <is>
          <t>Taiwan Semiconductor Manufacturing Company Limited</t>
        </is>
      </c>
      <c r="E481" s="11" t="inlineStr">
        <is>
          <t>B1 Foundry</t>
        </is>
      </c>
      <c r="F481" s="9" t="inlineStr">
        <is>
          <t>TWD</t>
        </is>
      </c>
      <c r="G481" s="11" t="inlineStr">
        <is>
          <t>25Q2 / 25Q3 / 25Q4 / 26Q1 / 26Q2</t>
        </is>
      </c>
      <c r="H481" s="12" t="n">
        <v>933791.8689999999</v>
      </c>
      <c r="I481" s="12" t="n">
        <v>989918.318</v>
      </c>
      <c r="J481" s="12" t="n">
        <v>1046090.449</v>
      </c>
      <c r="K481" s="12" t="n">
        <v>1134103.44</v>
      </c>
      <c r="L481" s="12" t="n">
        <v>1270380.25</v>
      </c>
      <c r="M481" s="13">
        <f>IF(OR(N(H481)=0,L481=""),"",L481/H481-1)</f>
        <v>0.36045332174551215</v>
      </c>
      <c r="N481" s="14" t="n">
        <v>500685.08</v>
      </c>
      <c r="O481" s="14" t="n">
        <v>564880.8540000001</v>
      </c>
      <c r="P481" s="14" t="n">
        <v>658948.8590000001</v>
      </c>
      <c r="Q481" s="14" t="n">
        <v>766568.191</v>
      </c>
      <c r="R481" s="13">
        <f>IF(OR(N(L481)=0,Q481=""),"",Q481/L481)</f>
        <v>0.6034163322359585</v>
      </c>
      <c r="S481" s="14" t="n">
        <v>860310.6949999999</v>
      </c>
      <c r="T481" s="13">
        <f>IF(OR(N(L481)=0,S481=""),"",S481/L481)</f>
        <v>0.6772072338183783</v>
      </c>
      <c r="U481" s="14" t="n">
        <v>706561.938</v>
      </c>
      <c r="V481" s="13">
        <f>IF(OR(N(L481)=0,U481=""),"",U481/L481)</f>
        <v>0.5561814566937734</v>
      </c>
      <c r="W481" s="14" t="n">
        <v>3809054.3</v>
      </c>
      <c r="X481" s="14" t="n">
        <v>1936095.6</v>
      </c>
      <c r="Y481" s="13">
        <f>IF(OR(N(W481)=0,X481=""),"",X481/W481)</f>
        <v>0.5082877395578216</v>
      </c>
      <c r="Z481" s="11" t="str">
        <f>IF(AA481="A","四季持續盈利",IF(AA481="B","最新季為正/波動",IF(AA481="C","虧損收窄",IF(AA481="D","虧損擴大或轉虧","數據不足"))))</f>
        <v>四季持續盈利</v>
      </c>
      <c r="AA481" s="9" t="str">
        <f>IF(COUNT(N481:Q481)&lt;4,"—",IF(MIN(N481:Q481)&gt;0,"A",IF(Q481&gt;0,"B",IF(Q481&gt;N481,"C","D"))))</f>
        <v>A</v>
      </c>
      <c r="AB481" s="9" t="inlineStr">
        <is>
          <t>2026-06-30</t>
        </is>
      </c>
    </row>
    <row r="482" ht="15" customHeight="1">
      <c r="A482" s="9" t="n">
        <v>481</v>
      </c>
      <c r="B482" s="10" t="inlineStr">
        <is>
          <t>TSN</t>
        </is>
      </c>
      <c r="C482" s="11" t="inlineStr">
        <is>
          <t>農產品與農業投入</t>
        </is>
      </c>
      <c r="D482" s="11" t="inlineStr">
        <is>
          <t>Tyson Foods, Inc.</t>
        </is>
      </c>
      <c r="E482" s="11" t="inlineStr">
        <is>
          <t>Farm Products</t>
        </is>
      </c>
      <c r="F482" s="9" t="inlineStr">
        <is>
          <t>USD</t>
        </is>
      </c>
      <c r="G482" s="11" t="inlineStr">
        <is>
          <t>25Q2 / 25Q3 / 25Q4 / 26Q1 / 26Q2</t>
        </is>
      </c>
      <c r="H482" s="12" t="n">
        <v>13884</v>
      </c>
      <c r="I482" s="12" t="n">
        <v>13860</v>
      </c>
      <c r="J482" s="12" t="n">
        <v>14313</v>
      </c>
      <c r="K482" s="12" t="n">
        <v>13653</v>
      </c>
      <c r="L482" s="12" t="n">
        <v>13868</v>
      </c>
      <c r="M482" s="13">
        <f>IF(OR(N(H482)=0,L482=""),"",L482/H482-1)</f>
        <v>-0.0011524056467876465</v>
      </c>
      <c r="N482" s="14" t="n">
        <v>158</v>
      </c>
      <c r="O482" s="14" t="n">
        <v>302</v>
      </c>
      <c r="P482" s="14" t="n">
        <v>435</v>
      </c>
      <c r="Q482" s="14" t="n">
        <v>362</v>
      </c>
      <c r="R482" s="13">
        <f>IF(OR(N(L482)=0,Q482=""),"",Q482/L482)</f>
        <v>0.026103259301990193</v>
      </c>
      <c r="S482" s="14" t="n">
        <v>921</v>
      </c>
      <c r="T482" s="13">
        <f>IF(OR(N(L482)=0,S482=""),"",S482/L482)</f>
        <v>0.066411883472743</v>
      </c>
      <c r="U482" s="14" t="n">
        <v>182</v>
      </c>
      <c r="V482" s="13">
        <f>IF(OR(N(L482)=0,U482=""),"",U482/L482)</f>
        <v>0.013123738102105566</v>
      </c>
      <c r="W482" s="14" t="n">
        <v>54441</v>
      </c>
      <c r="X482" s="14" t="n">
        <v>1441</v>
      </c>
      <c r="Y482" s="13">
        <f>IF(OR(N(W482)=0,X482=""),"",X482/W482)</f>
        <v>0.02646902150952407</v>
      </c>
      <c r="Z482" s="11" t="str">
        <f>IF(AA482="A","四季持續盈利",IF(AA482="B","最新季為正/波動",IF(AA482="C","虧損收窄",IF(AA482="D","虧損擴大或轉虧","數據不足"))))</f>
        <v>四季持續盈利</v>
      </c>
      <c r="AA482" s="9" t="str">
        <f>IF(COUNT(N482:Q482)&lt;4,"—",IF(MIN(N482:Q482)&gt;0,"A",IF(Q482&gt;0,"B",IF(Q482&gt;N482,"C","D"))))</f>
        <v>A</v>
      </c>
      <c r="AB482" s="9" t="inlineStr">
        <is>
          <t>2026-06-30</t>
        </is>
      </c>
    </row>
    <row r="483" ht="15" customHeight="1">
      <c r="A483" s="9" t="n">
        <v>482</v>
      </c>
      <c r="B483" s="10" t="inlineStr">
        <is>
          <t>TT</t>
        </is>
      </c>
      <c r="C483" s="11" t="inlineStr">
        <is>
          <t>樓宇產品與HVAC</t>
        </is>
      </c>
      <c r="D483" s="11" t="inlineStr">
        <is>
          <t>Trane Technologies plc</t>
        </is>
      </c>
      <c r="E483" s="11" t="inlineStr">
        <is>
          <t>F2 散熱液冷</t>
        </is>
      </c>
      <c r="F483" s="9" t="inlineStr">
        <is>
          <t>USD</t>
        </is>
      </c>
      <c r="G483" s="11" t="inlineStr">
        <is>
          <t>25Q2 / 25Q3 / 25Q4 / 26Q1 / 26Q2</t>
        </is>
      </c>
      <c r="H483" s="12" t="n">
        <v>5746.4</v>
      </c>
      <c r="I483" s="12" t="n">
        <v>5742.5</v>
      </c>
      <c r="J483" s="12" t="n">
        <v>5144.5</v>
      </c>
      <c r="K483" s="12" t="n">
        <v>4969.4</v>
      </c>
      <c r="L483" s="12" t="n">
        <v>6353.5</v>
      </c>
      <c r="M483" s="13">
        <f>IF(OR(N(H483)=0,L483=""),"",L483/H483-1)</f>
        <v>0.10564875400250595</v>
      </c>
      <c r="N483" s="14" t="n">
        <v>1165.3</v>
      </c>
      <c r="O483" s="14" t="n">
        <v>819</v>
      </c>
      <c r="P483" s="14" t="n">
        <v>776.1</v>
      </c>
      <c r="Q483" s="14" t="n">
        <v>1224.3</v>
      </c>
      <c r="R483" s="13">
        <f>IF(OR(N(L483)=0,Q483=""),"",Q483/L483)</f>
        <v>0.19269693869520735</v>
      </c>
      <c r="S483" s="14" t="n">
        <v>2259.7</v>
      </c>
      <c r="T483" s="13">
        <f>IF(OR(N(L483)=0,S483=""),"",S483/L483)</f>
        <v>0.3556622334146533</v>
      </c>
      <c r="U483" s="14" t="n">
        <v>925.7</v>
      </c>
      <c r="V483" s="13">
        <f>IF(OR(N(L483)=0,U483=""),"",U483/L483)</f>
        <v>0.14569922090186513</v>
      </c>
      <c r="W483" s="14" t="n">
        <v>21321.9</v>
      </c>
      <c r="X483" s="14" t="n">
        <v>3967.4</v>
      </c>
      <c r="Y483" s="13">
        <f>IF(OR(N(W483)=0,X483=""),"",X483/W483)</f>
        <v>0.18607159774691748</v>
      </c>
      <c r="Z483" s="11" t="str">
        <f>IF(AA483="A","四季持續盈利",IF(AA483="B","最新季為正/波動",IF(AA483="C","虧損收窄",IF(AA483="D","虧損擴大或轉虧","數據不足"))))</f>
        <v>四季持續盈利</v>
      </c>
      <c r="AA483" s="9" t="str">
        <f>IF(COUNT(N483:Q483)&lt;4,"—",IF(MIN(N483:Q483)&gt;0,"A",IF(Q483&gt;0,"B",IF(Q483&gt;N483,"C","D"))))</f>
        <v>A</v>
      </c>
      <c r="AB483" s="9" t="inlineStr">
        <is>
          <t>2026-06-30</t>
        </is>
      </c>
    </row>
    <row r="484" ht="15" customHeight="1">
      <c r="A484" s="9" t="n">
        <v>483</v>
      </c>
      <c r="B484" s="10" t="inlineStr">
        <is>
          <t>TTWO</t>
        </is>
      </c>
      <c r="C484" s="11" t="inlineStr">
        <is>
          <t>互動遊戲</t>
        </is>
      </c>
      <c r="D484" s="11" t="inlineStr">
        <is>
          <t>Take-Two Interactive Software, Inc.</t>
        </is>
      </c>
      <c r="E484" s="11" t="inlineStr">
        <is>
          <t>Electronic Gaming &amp; Multimedia</t>
        </is>
      </c>
      <c r="F484" s="9" t="inlineStr">
        <is>
          <t>USD</t>
        </is>
      </c>
      <c r="G484" s="11" t="inlineStr">
        <is>
          <t>25Q2 / 25Q3 / 25Q4 / 26Q1 / 26Q2</t>
        </is>
      </c>
      <c r="H484" s="12" t="n">
        <v>1503.8</v>
      </c>
      <c r="I484" s="12" t="n">
        <v>1773.8</v>
      </c>
      <c r="J484" s="12" t="n">
        <v>1699</v>
      </c>
      <c r="K484" s="12" t="n">
        <v>1679.8</v>
      </c>
      <c r="L484" s="12" t="n">
        <v>1533.9</v>
      </c>
      <c r="M484" s="13">
        <f>IF(OR(N(H484)=0,L484=""),"",L484/H484-1)</f>
        <v>0.020015959569091635</v>
      </c>
      <c r="N484" s="14" t="n">
        <v>-97.90000000000001</v>
      </c>
      <c r="O484" s="14" t="n">
        <v>-38.1</v>
      </c>
      <c r="P484" s="14" t="n">
        <v>10</v>
      </c>
      <c r="Q484" s="14" t="n">
        <v>-35.5</v>
      </c>
      <c r="R484" s="13">
        <f>IF(OR(N(L484)=0,Q484=""),"",Q484/L484)</f>
        <v>-0.023143620835778082</v>
      </c>
      <c r="S484" s="14" t="n">
        <v>882.5</v>
      </c>
      <c r="T484" s="13">
        <f>IF(OR(N(L484)=0,S484=""),"",S484/L484)</f>
        <v>0.5753308559880044</v>
      </c>
      <c r="U484" s="14" t="n">
        <v>-34.1</v>
      </c>
      <c r="V484" s="13">
        <f>IF(OR(N(L484)=0,U484=""),"",U484/L484)</f>
        <v>-0.02223091466197275</v>
      </c>
      <c r="W484" s="14" t="n">
        <v>6656.4</v>
      </c>
      <c r="X484" s="14" t="n">
        <v>-108.6</v>
      </c>
      <c r="Y484" s="13">
        <f>IF(OR(N(W484)=0,X484=""),"",X484/W484)</f>
        <v>-0.016315125292951146</v>
      </c>
      <c r="Z484" s="11" t="str">
        <f>IF(AA484="A","四季持續盈利",IF(AA484="B","最新季為正/波動",IF(AA484="C","虧損收窄",IF(AA484="D","虧損擴大或轉虧","數據不足"))))</f>
        <v>虧損收窄</v>
      </c>
      <c r="AA484" s="9" t="str">
        <f>IF(COUNT(N484:Q484)&lt;4,"—",IF(MIN(N484:Q484)&gt;0,"A",IF(Q484&gt;0,"B",IF(Q484&gt;N484,"C","D"))))</f>
        <v>C</v>
      </c>
      <c r="AB484" s="9" t="inlineStr">
        <is>
          <t>2026-06-30</t>
        </is>
      </c>
    </row>
    <row r="485" ht="15" customHeight="1">
      <c r="A485" s="9" t="n">
        <v>484</v>
      </c>
      <c r="B485" s="10" t="inlineStr">
        <is>
          <t>TXN</t>
        </is>
      </c>
      <c r="C485" s="11" t="inlineStr">
        <is>
          <t>類比/功率半導體</t>
        </is>
      </c>
      <c r="D485" s="11" t="inlineStr">
        <is>
          <t>Texas Instruments Incorporated</t>
        </is>
      </c>
      <c r="E485" s="11" t="inlineStr">
        <is>
          <t>Semiconductors</t>
        </is>
      </c>
      <c r="F485" s="9" t="inlineStr">
        <is>
          <t>USD</t>
        </is>
      </c>
      <c r="G485" s="11" t="inlineStr">
        <is>
          <t>25Q2 / 25Q3 / 25Q4 / 26Q1 / 26Q2</t>
        </is>
      </c>
      <c r="H485" s="12" t="n">
        <v>4448</v>
      </c>
      <c r="I485" s="12" t="n">
        <v>4742</v>
      </c>
      <c r="J485" s="12" t="n">
        <v>4423</v>
      </c>
      <c r="K485" s="12" t="n">
        <v>4825</v>
      </c>
      <c r="L485" s="12" t="n">
        <v>5463</v>
      </c>
      <c r="M485" s="13">
        <f>IF(OR(N(H485)=0,L485=""),"",L485/H485-1)</f>
        <v>0.22819244604316546</v>
      </c>
      <c r="N485" s="14" t="n">
        <v>1748</v>
      </c>
      <c r="O485" s="14" t="n">
        <v>1505</v>
      </c>
      <c r="P485" s="14" t="n">
        <v>1825</v>
      </c>
      <c r="Q485" s="14" t="n">
        <v>2327</v>
      </c>
      <c r="R485" s="13">
        <f>IF(OR(N(L485)=0,Q485=""),"",Q485/L485)</f>
        <v>0.42595643419366647</v>
      </c>
      <c r="S485" s="14" t="n">
        <v>3352</v>
      </c>
      <c r="T485" s="13">
        <f>IF(OR(N(L485)=0,S485=""),"",S485/L485)</f>
        <v>0.6135822807980963</v>
      </c>
      <c r="U485" s="14" t="n">
        <v>1980</v>
      </c>
      <c r="V485" s="13">
        <f>IF(OR(N(L485)=0,U485=""),"",U485/L485)</f>
        <v>0.3624382207578254</v>
      </c>
      <c r="W485" s="14" t="n">
        <v>17682</v>
      </c>
      <c r="X485" s="14" t="n">
        <v>6140</v>
      </c>
      <c r="Y485" s="13">
        <f>IF(OR(N(W485)=0,X485=""),"",X485/W485)</f>
        <v>0.34724578667571543</v>
      </c>
      <c r="Z485" s="11" t="str">
        <f>IF(AA485="A","四季持續盈利",IF(AA485="B","最新季為正/波動",IF(AA485="C","虧損收窄",IF(AA485="D","虧損擴大或轉虧","數據不足"))))</f>
        <v>四季持續盈利</v>
      </c>
      <c r="AA485" s="9" t="str">
        <f>IF(COUNT(N485:Q485)&lt;4,"—",IF(MIN(N485:Q485)&gt;0,"A",IF(Q485&gt;0,"B",IF(Q485&gt;N485,"C","D"))))</f>
        <v>A</v>
      </c>
      <c r="AB485" s="9" t="inlineStr">
        <is>
          <t>2026-06-30</t>
        </is>
      </c>
    </row>
    <row r="486" ht="15" customHeight="1">
      <c r="A486" s="9" t="n">
        <v>485</v>
      </c>
      <c r="B486" s="10" t="inlineStr">
        <is>
          <t>UAL</t>
        </is>
      </c>
      <c r="C486" s="11" t="inlineStr">
        <is>
          <t>航空公司</t>
        </is>
      </c>
      <c r="D486" s="11" t="inlineStr">
        <is>
          <t>United Airlines Holdings, Inc.</t>
        </is>
      </c>
      <c r="E486" s="11" t="inlineStr">
        <is>
          <t>Airlines</t>
        </is>
      </c>
      <c r="F486" s="9" t="inlineStr">
        <is>
          <t>USD</t>
        </is>
      </c>
      <c r="G486" s="11" t="inlineStr">
        <is>
          <t>25Q2 / 25Q3 / 25Q4 / 26Q1 / 26Q2</t>
        </is>
      </c>
      <c r="H486" s="12" t="n">
        <v>15236</v>
      </c>
      <c r="I486" s="12" t="n">
        <v>15225</v>
      </c>
      <c r="J486" s="12" t="n">
        <v>15396</v>
      </c>
      <c r="K486" s="12" t="n">
        <v>14608</v>
      </c>
      <c r="L486" s="12" t="n">
        <v>17672</v>
      </c>
      <c r="M486" s="13">
        <f>IF(OR(N(H486)=0,L486=""),"",L486/H486-1)</f>
        <v>0.15988448411656608</v>
      </c>
      <c r="N486" s="14" t="n">
        <v>1321</v>
      </c>
      <c r="O486" s="14" t="n">
        <v>1376</v>
      </c>
      <c r="P486" s="14" t="n">
        <v>608</v>
      </c>
      <c r="Q486" s="14" t="n">
        <v>951</v>
      </c>
      <c r="R486" s="13">
        <f>IF(OR(N(L486)=0,Q486=""),"",Q486/L486)</f>
        <v>0.05381394296061566</v>
      </c>
      <c r="S486" s="14" t="n">
        <v>4297</v>
      </c>
      <c r="T486" s="13">
        <f>IF(OR(N(L486)=0,S486=""),"",S486/L486)</f>
        <v>0.24315301041195111</v>
      </c>
      <c r="U486" s="14" t="n">
        <v>805</v>
      </c>
      <c r="V486" s="13">
        <f>IF(OR(N(L486)=0,U486=""),"",U486/L486)</f>
        <v>0.045552286102308735</v>
      </c>
      <c r="W486" s="14" t="n">
        <v>59070</v>
      </c>
      <c r="X486" s="14" t="n">
        <v>4972</v>
      </c>
      <c r="Y486" s="13">
        <f>IF(OR(N(W486)=0,X486=""),"",X486/W486)</f>
        <v>0.08417132216014897</v>
      </c>
      <c r="Z486" s="11" t="str">
        <f>IF(AA486="A","四季持續盈利",IF(AA486="B","最新季為正/波動",IF(AA486="C","虧損收窄",IF(AA486="D","虧損擴大或轉虧","數據不足"))))</f>
        <v>四季持續盈利</v>
      </c>
      <c r="AA486" s="9" t="str">
        <f>IF(COUNT(N486:Q486)&lt;4,"—",IF(MIN(N486:Q486)&gt;0,"A",IF(Q486&gt;0,"B",IF(Q486&gt;N486,"C","D"))))</f>
        <v>A</v>
      </c>
      <c r="AB486" s="9" t="inlineStr">
        <is>
          <t>2026-06-30</t>
        </is>
      </c>
    </row>
    <row r="487" ht="15" customHeight="1">
      <c r="A487" s="9" t="n">
        <v>486</v>
      </c>
      <c r="B487" s="10" t="inlineStr">
        <is>
          <t>UEC</t>
        </is>
      </c>
      <c r="C487" s="11" t="inlineStr">
        <is>
          <t>鈾與核燃料</t>
        </is>
      </c>
      <c r="D487" s="11" t="inlineStr">
        <is>
          <t>Uranium Energy Corp.</t>
        </is>
      </c>
      <c r="E487" s="11" t="inlineStr">
        <is>
          <t>Uranium</t>
        </is>
      </c>
      <c r="F487" s="9" t="inlineStr">
        <is>
          <t>USD</t>
        </is>
      </c>
      <c r="G487" s="11" t="inlineStr">
        <is>
          <t>25Q2 / 25Q3 / 25Q4 / 26Q1 / 26Q2</t>
        </is>
      </c>
      <c r="H487" s="12" t="n">
        <v>0</v>
      </c>
      <c r="I487" s="12" t="n">
        <v>0</v>
      </c>
      <c r="J487" s="12" t="n">
        <v>0</v>
      </c>
      <c r="K487" s="12" t="n">
        <v>20.2</v>
      </c>
      <c r="L487" s="12" t="n">
        <v>0</v>
      </c>
      <c r="M487" s="13" t="str">
        <f>IF(OR(N(H487)=0,L487=""),"",L487/H487-1)</f>
        <v/>
      </c>
      <c r="N487" s="14" t="n">
        <v>-32.954</v>
      </c>
      <c r="O487" s="14" t="n">
        <v>-30.071</v>
      </c>
      <c r="P487" s="14" t="n">
        <v>-23.449</v>
      </c>
      <c r="Q487" s="14" t="n">
        <v>-40.748</v>
      </c>
      <c r="R487" s="13" t="str">
        <f>IF(OR(N(L487)=0,Q487=""),"",Q487/L487)</f>
        <v/>
      </c>
      <c r="S487" s="14" t="n">
        <v>0</v>
      </c>
      <c r="T487" s="13" t="str">
        <f>IF(OR(N(L487)=0,S487=""),"",S487/L487)</f>
        <v/>
      </c>
      <c r="U487" s="14" t="n">
        <v>-52.344</v>
      </c>
      <c r="V487" s="13" t="str">
        <f>IF(OR(N(L487)=0,U487=""),"",U487/L487)</f>
        <v/>
      </c>
      <c r="W487" s="14" t="n">
        <v>66.837</v>
      </c>
      <c r="X487" s="14" t="n">
        <v>-73.42100000000001</v>
      </c>
      <c r="Y487" s="13">
        <f>IF(OR(N(W487)=0,X487=""),"",X487/W487)</f>
        <v>-1.0985083112647187</v>
      </c>
      <c r="Z487" s="11" t="str">
        <f>IF(AA487="A","四季持續盈利",IF(AA487="B","最新季為正/波動",IF(AA487="C","虧損收窄",IF(AA487="D","虧損擴大或轉虧","數據不足"))))</f>
        <v>虧損擴大或轉虧</v>
      </c>
      <c r="AA487" s="9" t="str">
        <f>IF(COUNT(N487:Q487)&lt;4,"—",IF(MIN(N487:Q487)&gt;0,"A",IF(Q487&gt;0,"B",IF(Q487&gt;N487,"C","D"))))</f>
        <v>D</v>
      </c>
      <c r="AB487" s="9" t="inlineStr">
        <is>
          <t>2026-04-30</t>
        </is>
      </c>
    </row>
    <row r="488" ht="15" customHeight="1">
      <c r="A488" s="9" t="n">
        <v>487</v>
      </c>
      <c r="B488" s="10" t="inlineStr">
        <is>
          <t>UHS</t>
        </is>
      </c>
      <c r="C488" s="11" t="inlineStr">
        <is>
          <t>醫院與醫療服務</t>
        </is>
      </c>
      <c r="D488" s="11" t="inlineStr">
        <is>
          <t>Universal Health Services, Inc.</t>
        </is>
      </c>
      <c r="E488" s="11" t="inlineStr">
        <is>
          <t>Medical Care Facilities</t>
        </is>
      </c>
      <c r="F488" s="9" t="inlineStr">
        <is>
          <t>USD</t>
        </is>
      </c>
      <c r="G488" s="11" t="inlineStr">
        <is>
          <t>25Q2 / 25Q3 / 25Q4 / 26Q1 / 26Q2</t>
        </is>
      </c>
      <c r="H488" s="12" t="n">
        <v>4283.816</v>
      </c>
      <c r="I488" s="12" t="n">
        <v>4495.245</v>
      </c>
      <c r="J488" s="12" t="n">
        <v>4486.048</v>
      </c>
      <c r="K488" s="12" t="n">
        <v>4495.182</v>
      </c>
      <c r="L488" s="12" t="n">
        <v>4638.012</v>
      </c>
      <c r="M488" s="13">
        <f>IF(OR(N(H488)=0,L488=""),"",L488/H488-1)</f>
        <v>0.0826823561049308</v>
      </c>
      <c r="N488" s="14" t="n">
        <v>521.688</v>
      </c>
      <c r="O488" s="14" t="n">
        <v>517.232</v>
      </c>
      <c r="P488" s="14" t="n">
        <v>502.86</v>
      </c>
      <c r="Q488" s="14" t="n">
        <v>516.675</v>
      </c>
      <c r="R488" s="13">
        <f>IF(OR(N(L488)=0,Q488=""),"",Q488/L488)</f>
        <v>0.1114000998703755</v>
      </c>
      <c r="S488" s="14" t="n">
        <v>4214.755</v>
      </c>
      <c r="T488" s="13">
        <f>IF(OR(N(L488)=0,S488=""),"",S488/L488)</f>
        <v>0.9087417195125843</v>
      </c>
      <c r="U488" s="14" t="n">
        <v>358.447</v>
      </c>
      <c r="V488" s="13">
        <f>IF(OR(N(L488)=0,U488=""),"",U488/L488)</f>
        <v>0.07728462108334347</v>
      </c>
      <c r="W488" s="14" t="n">
        <v>17364.829</v>
      </c>
      <c r="X488" s="14" t="n">
        <v>1994.015</v>
      </c>
      <c r="Y488" s="13">
        <f>IF(OR(N(W488)=0,X488=""),"",X488/W488)</f>
        <v>0.11483067296545217</v>
      </c>
      <c r="Z488" s="11" t="str">
        <f>IF(AA488="A","四季持續盈利",IF(AA488="B","最新季為正/波動",IF(AA488="C","虧損收窄",IF(AA488="D","虧損擴大或轉虧","數據不足"))))</f>
        <v>四季持續盈利</v>
      </c>
      <c r="AA488" s="9" t="str">
        <f>IF(COUNT(N488:Q488)&lt;4,"—",IF(MIN(N488:Q488)&gt;0,"A",IF(Q488&gt;0,"B",IF(Q488&gt;N488,"C","D"))))</f>
        <v>A</v>
      </c>
      <c r="AB488" s="9" t="inlineStr">
        <is>
          <t>2026-06-30</t>
        </is>
      </c>
    </row>
    <row r="489" ht="15" customHeight="1">
      <c r="A489" s="9" t="n">
        <v>488</v>
      </c>
      <c r="B489" s="10" t="inlineStr">
        <is>
          <t>UMC</t>
        </is>
      </c>
      <c r="C489" s="11" t="inlineStr">
        <is>
          <t>晶圓代工/IDM</t>
        </is>
      </c>
      <c r="D489" s="11" t="inlineStr">
        <is>
          <t>United Microelectronics Corporation</t>
        </is>
      </c>
      <c r="E489" s="11" t="inlineStr">
        <is>
          <t>Semiconductors</t>
        </is>
      </c>
      <c r="F489" s="9" t="inlineStr">
        <is>
          <t>TWD</t>
        </is>
      </c>
      <c r="G489" s="11" t="inlineStr">
        <is>
          <t>25Q2 / 25Q3 / 25Q4 / 26Q1 / 26Q2</t>
        </is>
      </c>
      <c r="H489" s="12" t="n">
        <v>58757.657</v>
      </c>
      <c r="I489" s="12" t="n">
        <v>59127.04</v>
      </c>
      <c r="J489" s="12" t="n">
        <v>61809.545</v>
      </c>
      <c r="K489" s="12" t="n">
        <v>61037.902</v>
      </c>
      <c r="L489" s="12" t="n">
        <v>68732.662</v>
      </c>
      <c r="M489" s="13">
        <f>IF(OR(N(H489)=0,L489=""),"",L489/H489-1)</f>
        <v>0.16976519332620765</v>
      </c>
      <c r="N489" s="14" t="n">
        <v>11007.206</v>
      </c>
      <c r="O489" s="14" t="n">
        <v>13356.178</v>
      </c>
      <c r="P489" s="14" t="n">
        <v>11219.098</v>
      </c>
      <c r="Q489" s="14" t="n">
        <v>14878.738</v>
      </c>
      <c r="R489" s="13">
        <f>IF(OR(N(L489)=0,Q489=""),"",Q489/L489)</f>
        <v>0.21647259930075166</v>
      </c>
      <c r="S489" s="14" t="n">
        <v>22322.79</v>
      </c>
      <c r="T489" s="13">
        <f>IF(OR(N(L489)=0,S489=""),"",S489/L489)</f>
        <v>0.32477703249730094</v>
      </c>
      <c r="U489" s="14" t="n">
        <v>42259.962</v>
      </c>
      <c r="V489" s="13">
        <f>IF(OR(N(L489)=0,U489=""),"",U489/L489)</f>
        <v>0.6148454136695594</v>
      </c>
      <c r="W489" s="14" t="n">
        <v>237553.199</v>
      </c>
      <c r="X489" s="14" t="n">
        <v>43658.935</v>
      </c>
      <c r="Y489" s="13">
        <f>IF(OR(N(W489)=0,X489=""),"",X489/W489)</f>
        <v>0.18378592746292588</v>
      </c>
      <c r="Z489" s="11" t="str">
        <f>IF(AA489="A","四季持續盈利",IF(AA489="B","最新季為正/波動",IF(AA489="C","虧損收窄",IF(AA489="D","虧損擴大或轉虧","數據不足"))))</f>
        <v>四季持續盈利</v>
      </c>
      <c r="AA489" s="9" t="str">
        <f>IF(COUNT(N489:Q489)&lt;4,"—",IF(MIN(N489:Q489)&gt;0,"A",IF(Q489&gt;0,"B",IF(Q489&gt;N489,"C","D"))))</f>
        <v>A</v>
      </c>
      <c r="AB489" s="9" t="inlineStr">
        <is>
          <t>2026-06-30</t>
        </is>
      </c>
    </row>
    <row r="490" ht="15" customHeight="1">
      <c r="A490" s="9" t="n">
        <v>489</v>
      </c>
      <c r="B490" s="10" t="inlineStr">
        <is>
          <t>UNH</t>
        </is>
      </c>
      <c r="C490" s="11" t="inlineStr">
        <is>
          <t>醫療保險與管理式醫療</t>
        </is>
      </c>
      <c r="D490" s="11" t="inlineStr">
        <is>
          <t>UnitedHealth Group Incorporated</t>
        </is>
      </c>
      <c r="E490" s="11" t="inlineStr">
        <is>
          <t>Healthcare Plans</t>
        </is>
      </c>
      <c r="F490" s="9" t="inlineStr">
        <is>
          <t>USD</t>
        </is>
      </c>
      <c r="G490" s="11" t="inlineStr">
        <is>
          <t>25Q2 / 25Q3 / 25Q4 / 26Q1 / 26Q2</t>
        </is>
      </c>
      <c r="H490" s="12" t="n">
        <v>111616</v>
      </c>
      <c r="I490" s="12" t="n">
        <v>113161</v>
      </c>
      <c r="J490" s="12" t="n">
        <v>113215</v>
      </c>
      <c r="K490" s="12" t="n">
        <v>111721</v>
      </c>
      <c r="L490" s="12" t="n">
        <v>112032</v>
      </c>
      <c r="M490" s="13">
        <f>IF(OR(N(H490)=0,L490=""),"",L490/H490-1)</f>
        <v>0.003727064220183429</v>
      </c>
      <c r="N490" s="14" t="n">
        <v>4315</v>
      </c>
      <c r="O490" s="14" t="n">
        <v>380</v>
      </c>
      <c r="P490" s="14" t="n">
        <v>8990</v>
      </c>
      <c r="Q490" s="14" t="n">
        <v>7991</v>
      </c>
      <c r="R490" s="13">
        <f>IF(OR(N(L490)=0,Q490=""),"",Q490/L490)</f>
        <v>0.07132783490431305</v>
      </c>
      <c r="S490" s="14" t="n">
        <v>23299</v>
      </c>
      <c r="T490" s="13">
        <f>IF(OR(N(L490)=0,S490=""),"",S490/L490)</f>
        <v>0.20796736646672379</v>
      </c>
      <c r="U490" s="14" t="n">
        <v>5484</v>
      </c>
      <c r="V490" s="13">
        <f>IF(OR(N(L490)=0,U490=""),"",U490/L490)</f>
        <v>0.0489502999143102</v>
      </c>
      <c r="W490" s="14" t="n">
        <v>447567</v>
      </c>
      <c r="X490" s="14" t="n">
        <v>18964</v>
      </c>
      <c r="Y490" s="13">
        <f>IF(OR(N(W490)=0,X490=""),"",X490/W490)</f>
        <v>0.04237130977038075</v>
      </c>
      <c r="Z490" s="11" t="str">
        <f>IF(AA490="A","四季持續盈利",IF(AA490="B","最新季為正/波動",IF(AA490="C","虧損收窄",IF(AA490="D","虧損擴大或轉虧","數據不足"))))</f>
        <v>四季持續盈利</v>
      </c>
      <c r="AA490" s="9" t="str">
        <f>IF(COUNT(N490:Q490)&lt;4,"—",IF(MIN(N490:Q490)&gt;0,"A",IF(Q490&gt;0,"B",IF(Q490&gt;N490,"C","D"))))</f>
        <v>A</v>
      </c>
      <c r="AB490" s="9" t="inlineStr">
        <is>
          <t>2026-06-30</t>
        </is>
      </c>
    </row>
    <row r="491" ht="15" customHeight="1">
      <c r="A491" s="9" t="n">
        <v>490</v>
      </c>
      <c r="B491" s="10" t="inlineStr">
        <is>
          <t>UNP</t>
        </is>
      </c>
      <c r="C491" s="11" t="inlineStr">
        <is>
          <t>鐵路運輸</t>
        </is>
      </c>
      <c r="D491" s="11" t="inlineStr">
        <is>
          <t>Union Pacific Corporation</t>
        </is>
      </c>
      <c r="E491" s="11" t="inlineStr">
        <is>
          <t>Railroads</t>
        </is>
      </c>
      <c r="F491" s="9" t="inlineStr">
        <is>
          <t>USD</t>
        </is>
      </c>
      <c r="G491" s="11" t="inlineStr">
        <is>
          <t>25Q2 / 25Q3 / 25Q4 / 26Q1 / 26Q2</t>
        </is>
      </c>
      <c r="H491" s="12" t="n">
        <v>6154</v>
      </c>
      <c r="I491" s="12" t="n">
        <v>6244</v>
      </c>
      <c r="J491" s="12" t="n">
        <v>6085</v>
      </c>
      <c r="K491" s="12" t="n">
        <v>6217</v>
      </c>
      <c r="L491" s="12" t="n">
        <v>6864</v>
      </c>
      <c r="M491" s="13">
        <f>IF(OR(N(H491)=0,L491=""),"",L491/H491-1)</f>
        <v>0.11537211569710748</v>
      </c>
      <c r="N491" s="14" t="n">
        <v>2549</v>
      </c>
      <c r="O491" s="14" t="n">
        <v>2401</v>
      </c>
      <c r="P491" s="14" t="n">
        <v>2458</v>
      </c>
      <c r="Q491" s="14" t="n">
        <v>2763</v>
      </c>
      <c r="R491" s="13">
        <f>IF(OR(N(L491)=0,Q491=""),"",Q491/L491)</f>
        <v>0.40253496503496505</v>
      </c>
      <c r="S491" s="14" t="n">
        <v>3125</v>
      </c>
      <c r="T491" s="13">
        <f>IF(OR(N(L491)=0,S491=""),"",S491/L491)</f>
        <v>0.4552738927738928</v>
      </c>
      <c r="U491" s="14" t="n">
        <v>1993</v>
      </c>
      <c r="V491" s="13">
        <f>IF(OR(N(L491)=0,U491=""),"",U491/L491)</f>
        <v>0.29035547785547783</v>
      </c>
      <c r="W491" s="14" t="n">
        <v>24510</v>
      </c>
      <c r="X491" s="14" t="n">
        <v>9846</v>
      </c>
      <c r="Y491" s="13">
        <f>IF(OR(N(W491)=0,X491=""),"",X491/W491)</f>
        <v>0.40171358629130965</v>
      </c>
      <c r="Z491" s="11" t="str">
        <f>IF(AA491="A","四季持續盈利",IF(AA491="B","最新季為正/波動",IF(AA491="C","虧損收窄",IF(AA491="D","虧損擴大或轉虧","數據不足"))))</f>
        <v>四季持續盈利</v>
      </c>
      <c r="AA491" s="9" t="str">
        <f>IF(COUNT(N491:Q491)&lt;4,"—",IF(MIN(N491:Q491)&gt;0,"A",IF(Q491&gt;0,"B",IF(Q491&gt;N491,"C","D"))))</f>
        <v>A</v>
      </c>
      <c r="AB491" s="9" t="inlineStr">
        <is>
          <t>2026-06-30</t>
        </is>
      </c>
    </row>
    <row r="492" ht="15" customHeight="1">
      <c r="A492" s="9" t="n">
        <v>491</v>
      </c>
      <c r="B492" s="10" t="inlineStr">
        <is>
          <t>UPS</t>
        </is>
      </c>
      <c r="C492" s="11" t="inlineStr">
        <is>
          <t>貨運與物流</t>
        </is>
      </c>
      <c r="D492" s="11" t="inlineStr">
        <is>
          <t>United Parcel Service, Inc.</t>
        </is>
      </c>
      <c r="E492" s="11" t="inlineStr">
        <is>
          <t>Integrated Freight &amp; Logistics</t>
        </is>
      </c>
      <c r="F492" s="9" t="inlineStr">
        <is>
          <t>USD</t>
        </is>
      </c>
      <c r="G492" s="11" t="inlineStr">
        <is>
          <t>25Q2 / 25Q3 / 25Q4 / 26Q1 / 26Q2</t>
        </is>
      </c>
      <c r="H492" s="12" t="n">
        <v>21221</v>
      </c>
      <c r="I492" s="12" t="n">
        <v>21415</v>
      </c>
      <c r="J492" s="12" t="n">
        <v>24479</v>
      </c>
      <c r="K492" s="12" t="n">
        <v>21202</v>
      </c>
      <c r="L492" s="12" t="n">
        <v>22834</v>
      </c>
      <c r="M492" s="13">
        <f>IF(OR(N(H492)=0,L492=""),"",L492/H492-1)</f>
        <v>0.07600961311908017</v>
      </c>
      <c r="N492" s="14" t="n">
        <v>1804</v>
      </c>
      <c r="O492" s="14" t="n">
        <v>2575</v>
      </c>
      <c r="P492" s="14" t="n">
        <v>1267</v>
      </c>
      <c r="Q492" s="14" t="n">
        <v>930</v>
      </c>
      <c r="R492" s="13">
        <f>IF(OR(N(L492)=0,Q492=""),"",Q492/L492)</f>
        <v>0.04072873784707016</v>
      </c>
      <c r="S492" s="14" t="n">
        <v>2970</v>
      </c>
      <c r="T492" s="13">
        <f>IF(OR(N(L492)=0,S492=""),"",S492/L492)</f>
        <v>0.13006919505999825</v>
      </c>
      <c r="U492" s="14" t="n">
        <v>604</v>
      </c>
      <c r="V492" s="13">
        <f>IF(OR(N(L492)=0,U492=""),"",U492/L492)</f>
        <v>0.02645178242971008</v>
      </c>
      <c r="W492" s="14" t="n">
        <v>88661</v>
      </c>
      <c r="X492" s="14" t="n">
        <v>7867</v>
      </c>
      <c r="Y492" s="13">
        <f>IF(OR(N(W492)=0,X492=""),"",X492/W492)</f>
        <v>0.08873123470296974</v>
      </c>
      <c r="Z492" s="11" t="str">
        <f>IF(AA492="A","四季持續盈利",IF(AA492="B","最新季為正/波動",IF(AA492="C","虧損收窄",IF(AA492="D","虧損擴大或轉虧","數據不足"))))</f>
        <v>四季持續盈利</v>
      </c>
      <c r="AA492" s="9" t="str">
        <f>IF(COUNT(N492:Q492)&lt;4,"—",IF(MIN(N492:Q492)&gt;0,"A",IF(Q492&gt;0,"B",IF(Q492&gt;N492,"C","D"))))</f>
        <v>A</v>
      </c>
      <c r="AB492" s="9" t="inlineStr">
        <is>
          <t>2026-06-30</t>
        </is>
      </c>
    </row>
    <row r="493" ht="15" customHeight="1">
      <c r="A493" s="9" t="n">
        <v>492</v>
      </c>
      <c r="B493" s="10" t="inlineStr">
        <is>
          <t>UPST</t>
        </is>
      </c>
      <c r="C493" s="11" t="inlineStr">
        <is>
          <t>—</t>
        </is>
      </c>
      <c r="D493" s="11" t="inlineStr">
        <is>
          <t>Upstart Holdings, Inc.</t>
        </is>
      </c>
      <c r="E493" s="11" t="inlineStr">
        <is>
          <t>G3 AI</t>
        </is>
      </c>
      <c r="F493" s="9" t="inlineStr">
        <is>
          <t>USD</t>
        </is>
      </c>
      <c r="G493" s="11" t="inlineStr">
        <is>
          <t>25Q2 / 25Q3 / 25Q4 / 26Q1 / 26Q2</t>
        </is>
      </c>
      <c r="H493" s="12" t="n">
        <v>257.291</v>
      </c>
      <c r="I493" s="12" t="n">
        <v>277.105</v>
      </c>
      <c r="J493" s="12" t="n">
        <v>276.218</v>
      </c>
      <c r="K493" s="12" t="n">
        <v>308.214</v>
      </c>
      <c r="L493" s="12" t="n">
        <v>364.708</v>
      </c>
      <c r="M493" s="13">
        <f>IF(OR(N(H493)=0,L493=""),"",L493/H493-1)</f>
        <v>0.41749225585037975</v>
      </c>
      <c r="N493" s="14" t="n"/>
      <c r="O493" s="14" t="n"/>
      <c r="P493" s="14" t="n"/>
      <c r="Q493" s="14" t="n"/>
      <c r="R493" s="13" t="str">
        <f>IF(OR(N(L493)=0,Q493=""),"",Q493/L493)</f>
        <v/>
      </c>
      <c r="S493" s="14" t="n"/>
      <c r="T493" s="13" t="str">
        <f>IF(OR(N(L493)=0,S493=""),"",S493/L493)</f>
        <v/>
      </c>
      <c r="U493" s="14" t="n">
        <v>16.539</v>
      </c>
      <c r="V493" s="13">
        <f>IF(OR(N(L493)=0,U493=""),"",U493/L493)</f>
        <v>0.04534860765324589</v>
      </c>
      <c r="W493" s="14" t="n">
        <v>1023.985</v>
      </c>
      <c r="X493" s="14" t="n"/>
      <c r="Y493" s="13" t="str">
        <f>IF(OR(N(W493)=0,X493=""),"",X493/W493)</f>
        <v/>
      </c>
      <c r="Z493" s="11" t="str">
        <f>IF(AA493="A","四季持續盈利",IF(AA493="B","最新季為正/波動",IF(AA493="C","虧損收窄",IF(AA493="D","虧損擴大或轉虧","數據不足"))))</f>
        <v>數據不足</v>
      </c>
      <c r="AA493" s="9" t="str">
        <f>IF(COUNT(N493:Q493)&lt;4,"—",IF(MIN(N493:Q493)&gt;0,"A",IF(Q493&gt;0,"B",IF(Q493&gt;N493,"C","D"))))</f>
        <v>—</v>
      </c>
      <c r="AB493" s="9" t="inlineStr">
        <is>
          <t>2026-06-30</t>
        </is>
      </c>
    </row>
    <row r="494" ht="15" customHeight="1">
      <c r="A494" s="9" t="n">
        <v>493</v>
      </c>
      <c r="B494" s="10" t="inlineStr">
        <is>
          <t>USAR</t>
        </is>
      </c>
      <c r="C494" s="11" t="inlineStr">
        <is>
          <t>稀土與關鍵礦產</t>
        </is>
      </c>
      <c r="D494" s="11" t="inlineStr">
        <is>
          <t>USA Rare Earth, Inc.</t>
        </is>
      </c>
      <c r="E494" s="11" t="inlineStr">
        <is>
          <t>Other Industrial Metals &amp; Mining</t>
        </is>
      </c>
      <c r="F494" s="9" t="inlineStr">
        <is>
          <t>USD</t>
        </is>
      </c>
      <c r="G494" s="11" t="inlineStr">
        <is>
          <t>25Q2 / 25Q3 / 25Q4 / 26Q1 / 26Q2</t>
        </is>
      </c>
      <c r="H494" s="12" t="n">
        <v>0</v>
      </c>
      <c r="I494" s="12" t="n">
        <v>0</v>
      </c>
      <c r="J494" s="12" t="n">
        <v>1.643</v>
      </c>
      <c r="K494" s="12" t="n">
        <v>5.698</v>
      </c>
      <c r="L494" s="12" t="n">
        <v>5.821</v>
      </c>
      <c r="M494" s="13" t="str">
        <f>IF(OR(N(H494)=0,L494=""),"",L494/H494-1)</f>
        <v/>
      </c>
      <c r="N494" s="14" t="n">
        <v>-15.861</v>
      </c>
      <c r="O494" s="14" t="n">
        <v>-26.12</v>
      </c>
      <c r="P494" s="14" t="n">
        <v>-36.469</v>
      </c>
      <c r="Q494" s="14" t="n">
        <v>-46.074</v>
      </c>
      <c r="R494" s="13">
        <f>IF(OR(N(L494)=0,Q494=""),"",Q494/L494)</f>
        <v>-7.915134856553856</v>
      </c>
      <c r="S494" s="14" t="n">
        <v>-1.583</v>
      </c>
      <c r="T494" s="13">
        <f>IF(OR(N(L494)=0,S494=""),"",S494/L494)</f>
        <v>-0.27194640096203404</v>
      </c>
      <c r="U494" s="14" t="n">
        <v>-10.333</v>
      </c>
      <c r="V494" s="13">
        <f>IF(OR(N(L494)=0,U494=""),"",U494/L494)</f>
        <v>-1.7751245490465557</v>
      </c>
      <c r="W494" s="14" t="n">
        <v>1.643</v>
      </c>
      <c r="X494" s="14" t="n">
        <v>-59.503</v>
      </c>
      <c r="Y494" s="13">
        <f>IF(OR(N(W494)=0,X494=""),"",X494/W494)</f>
        <v>-36.21606816798539</v>
      </c>
      <c r="Z494" s="11" t="str">
        <f>IF(AA494="A","四季持續盈利",IF(AA494="B","最新季為正/波動",IF(AA494="C","虧損收窄",IF(AA494="D","虧損擴大或轉虧","數據不足"))))</f>
        <v>虧損擴大或轉虧</v>
      </c>
      <c r="AA494" s="9" t="str">
        <f>IF(COUNT(N494:Q494)&lt;4,"—",IF(MIN(N494:Q494)&gt;0,"A",IF(Q494&gt;0,"B",IF(Q494&gt;N494,"C","D"))))</f>
        <v>D</v>
      </c>
      <c r="AB494" s="9" t="inlineStr">
        <is>
          <t>2026-06-30</t>
        </is>
      </c>
    </row>
    <row r="495" ht="15" customHeight="1">
      <c r="A495" s="9" t="n">
        <v>494</v>
      </c>
      <c r="B495" s="10" t="inlineStr">
        <is>
          <t>USB</t>
        </is>
      </c>
      <c r="C495" s="11" t="inlineStr">
        <is>
          <t>區域與社區銀行</t>
        </is>
      </c>
      <c r="D495" s="11" t="inlineStr">
        <is>
          <t>U.S. Bancorp</t>
        </is>
      </c>
      <c r="E495" s="11" t="inlineStr">
        <is>
          <t>Banks - Regional</t>
        </is>
      </c>
      <c r="F495" s="9" t="inlineStr">
        <is>
          <t>USD</t>
        </is>
      </c>
      <c r="G495" s="11" t="inlineStr">
        <is>
          <t>25Q2 / 25Q3 / 25Q4 / 26Q1 / 26Q2</t>
        </is>
      </c>
      <c r="H495" s="12" t="n">
        <v>6975</v>
      </c>
      <c r="I495" s="12" t="n">
        <v>7300</v>
      </c>
      <c r="J495" s="12" t="n">
        <v>7337</v>
      </c>
      <c r="K495" s="12" t="n">
        <v>7260</v>
      </c>
      <c r="L495" s="12" t="n">
        <v>7686</v>
      </c>
      <c r="M495" s="13">
        <f>IF(OR(N(H495)=0,L495=""),"",L495/H495-1)</f>
        <v>0.10193548387096785</v>
      </c>
      <c r="N495" s="14" t="n"/>
      <c r="O495" s="14" t="n"/>
      <c r="P495" s="14" t="n"/>
      <c r="Q495" s="14" t="n"/>
      <c r="R495" s="13" t="str">
        <f>IF(OR(N(L495)=0,Q495=""),"",Q495/L495)</f>
        <v/>
      </c>
      <c r="S495" s="14" t="n"/>
      <c r="T495" s="13" t="str">
        <f>IF(OR(N(L495)=0,S495=""),"",S495/L495)</f>
        <v/>
      </c>
      <c r="U495" s="14" t="n">
        <v>2177</v>
      </c>
      <c r="V495" s="13">
        <f>IF(OR(N(L495)=0,U495=""),"",U495/L495)</f>
        <v>0.28324225865209474</v>
      </c>
      <c r="W495" s="14" t="n">
        <v>28540</v>
      </c>
      <c r="X495" s="14" t="n"/>
      <c r="Y495" s="13" t="str">
        <f>IF(OR(N(W495)=0,X495=""),"",X495/W495)</f>
        <v/>
      </c>
      <c r="Z495" s="11" t="str">
        <f>IF(AA495="A","四季持續盈利",IF(AA495="B","最新季為正/波動",IF(AA495="C","虧損收窄",IF(AA495="D","虧損擴大或轉虧","數據不足"))))</f>
        <v>數據不足</v>
      </c>
      <c r="AA495" s="9" t="str">
        <f>IF(COUNT(N495:Q495)&lt;4,"—",IF(MIN(N495:Q495)&gt;0,"A",IF(Q495&gt;0,"B",IF(Q495&gt;N495,"C","D"))))</f>
        <v>—</v>
      </c>
      <c r="AB495" s="9" t="inlineStr">
        <is>
          <t>2026-06-30</t>
        </is>
      </c>
    </row>
    <row r="496" ht="15" customHeight="1">
      <c r="A496" s="9" t="n">
        <v>495</v>
      </c>
      <c r="B496" s="10" t="inlineStr">
        <is>
          <t>USFD</t>
        </is>
      </c>
      <c r="C496" s="11" t="inlineStr">
        <is>
          <t>必需品分銷</t>
        </is>
      </c>
      <c r="D496" s="11" t="inlineStr">
        <is>
          <t>US Foods Holding Corp.</t>
        </is>
      </c>
      <c r="E496" s="11" t="inlineStr">
        <is>
          <t>Food Distribution</t>
        </is>
      </c>
      <c r="F496" s="9" t="inlineStr">
        <is>
          <t>USD</t>
        </is>
      </c>
      <c r="G496" s="11" t="inlineStr">
        <is>
          <t>25Q2 / 25Q3 / 25Q4 / 26Q1 / 26Q2</t>
        </is>
      </c>
      <c r="H496" s="12" t="n">
        <v>10082</v>
      </c>
      <c r="I496" s="12" t="n">
        <v>10191</v>
      </c>
      <c r="J496" s="12" t="n">
        <v>9800</v>
      </c>
      <c r="K496" s="12" t="n">
        <v>9610</v>
      </c>
      <c r="L496" s="12" t="n">
        <v>10532</v>
      </c>
      <c r="M496" s="13">
        <f>IF(OR(N(H496)=0,L496=""),"",L496/H496-1)</f>
        <v>0.04463400119023997</v>
      </c>
      <c r="N496" s="14" t="n">
        <v>295</v>
      </c>
      <c r="O496" s="14" t="n">
        <v>334</v>
      </c>
      <c r="P496" s="14" t="n">
        <v>224</v>
      </c>
      <c r="Q496" s="14" t="n">
        <v>442</v>
      </c>
      <c r="R496" s="13">
        <f>IF(OR(N(L496)=0,Q496=""),"",Q496/L496)</f>
        <v>0.041967337637675656</v>
      </c>
      <c r="S496" s="14" t="n">
        <v>1919</v>
      </c>
      <c r="T496" s="13">
        <f>IF(OR(N(L496)=0,S496=""),"",S496/L496)</f>
        <v>0.182206608431447</v>
      </c>
      <c r="U496" s="14" t="n">
        <v>275</v>
      </c>
      <c r="V496" s="13">
        <f>IF(OR(N(L496)=0,U496=""),"",U496/L496)</f>
        <v>0.026110900113938473</v>
      </c>
      <c r="W496" s="14" t="n">
        <v>39424</v>
      </c>
      <c r="X496" s="14" t="n">
        <v>1232</v>
      </c>
      <c r="Y496" s="13">
        <f>IF(OR(N(W496)=0,X496=""),"",X496/W496)</f>
        <v>0.03125</v>
      </c>
      <c r="Z496" s="11" t="str">
        <f>IF(AA496="A","四季持續盈利",IF(AA496="B","最新季為正/波動",IF(AA496="C","虧損收窄",IF(AA496="D","虧損擴大或轉虧","數據不足"))))</f>
        <v>四季持續盈利</v>
      </c>
      <c r="AA496" s="9" t="str">
        <f>IF(COUNT(N496:Q496)&lt;4,"—",IF(MIN(N496:Q496)&gt;0,"A",IF(Q496&gt;0,"B",IF(Q496&gt;N496,"C","D"))))</f>
        <v>A</v>
      </c>
      <c r="AB496" s="9" t="inlineStr">
        <is>
          <t>2026-06-30</t>
        </is>
      </c>
    </row>
    <row r="497" ht="15" customHeight="1">
      <c r="A497" s="9" t="n">
        <v>496</v>
      </c>
      <c r="B497" s="10" t="inlineStr">
        <is>
          <t>UUUU</t>
        </is>
      </c>
      <c r="C497" s="11" t="inlineStr">
        <is>
          <t>鈾與核燃料、稀土與關鍵礦產</t>
        </is>
      </c>
      <c r="D497" s="11" t="inlineStr">
        <is>
          <t>Energy Fuels Inc.</t>
        </is>
      </c>
      <c r="E497" s="11" t="inlineStr">
        <is>
          <t>Uranium</t>
        </is>
      </c>
      <c r="F497" s="9" t="inlineStr">
        <is>
          <t>USD</t>
        </is>
      </c>
      <c r="G497" s="11" t="inlineStr">
        <is>
          <t>25Q2 / 25Q3 / 25Q4 / 26Q1 / 26Q2</t>
        </is>
      </c>
      <c r="H497" s="12" t="n">
        <v>4.212</v>
      </c>
      <c r="I497" s="12" t="n">
        <v>17.71</v>
      </c>
      <c r="J497" s="12" t="n">
        <v>27.102</v>
      </c>
      <c r="K497" s="12" t="n">
        <v>35.838</v>
      </c>
      <c r="L497" s="12" t="n">
        <v>25.108</v>
      </c>
      <c r="M497" s="13">
        <f>IF(OR(N(H497)=0,L497=""),"",L497/H497-1)</f>
        <v>4.961063627730295</v>
      </c>
      <c r="N497" s="14" t="n">
        <v>-26.666</v>
      </c>
      <c r="O497" s="14" t="n">
        <v>-22.121</v>
      </c>
      <c r="P497" s="14" t="n">
        <v>-14.545</v>
      </c>
      <c r="Q497" s="14" t="n">
        <v>-19.843</v>
      </c>
      <c r="R497" s="13">
        <f>IF(OR(N(L497)=0,Q497=""),"",Q497/L497)</f>
        <v>-0.7903058786044288</v>
      </c>
      <c r="S497" s="14" t="n">
        <v>14.418</v>
      </c>
      <c r="T497" s="13">
        <f>IF(OR(N(L497)=0,S497=""),"",S497/L497)</f>
        <v>0.5742392862832563</v>
      </c>
      <c r="U497" s="14" t="n">
        <v>-33.378</v>
      </c>
      <c r="V497" s="13">
        <f>IF(OR(N(L497)=0,U497=""),"",U497/L497)</f>
        <v>-1.3293770909670224</v>
      </c>
      <c r="W497" s="14" t="n">
        <v>65.922</v>
      </c>
      <c r="X497" s="14" t="n">
        <v>-101.155</v>
      </c>
      <c r="Y497" s="13">
        <f>IF(OR(N(W497)=0,X497=""),"",X497/W497)</f>
        <v>-1.5344649737568643</v>
      </c>
      <c r="Z497" s="11" t="str">
        <f>IF(AA497="A","四季持續盈利",IF(AA497="B","最新季為正/波動",IF(AA497="C","虧損收窄",IF(AA497="D","虧損擴大或轉虧","數據不足"))))</f>
        <v>虧損收窄</v>
      </c>
      <c r="AA497" s="9" t="str">
        <f>IF(COUNT(N497:Q497)&lt;4,"—",IF(MIN(N497:Q497)&gt;0,"A",IF(Q497&gt;0,"B",IF(Q497&gt;N497,"C","D"))))</f>
        <v>C</v>
      </c>
      <c r="AB497" s="9" t="inlineStr">
        <is>
          <t>2026-06-30</t>
        </is>
      </c>
    </row>
    <row r="498" ht="15" customHeight="1">
      <c r="A498" s="9" t="n">
        <v>497</v>
      </c>
      <c r="B498" s="10" t="inlineStr">
        <is>
          <t>V</t>
        </is>
      </c>
      <c r="C498" s="11" t="inlineStr">
        <is>
          <t>支付與收單</t>
        </is>
      </c>
      <c r="D498" s="11" t="inlineStr">
        <is>
          <t>Visa Inc.</t>
        </is>
      </c>
      <c r="E498" s="11" t="inlineStr">
        <is>
          <t>Credit Services</t>
        </is>
      </c>
      <c r="F498" s="9" t="inlineStr">
        <is>
          <t>USD</t>
        </is>
      </c>
      <c r="G498" s="11" t="inlineStr">
        <is>
          <t>25Q2 / 25Q3 / 25Q4 / 26Q1 / 26Q2</t>
        </is>
      </c>
      <c r="H498" s="12" t="n">
        <v>10172</v>
      </c>
      <c r="I498" s="12" t="n">
        <v>10724</v>
      </c>
      <c r="J498" s="12" t="n">
        <v>10901</v>
      </c>
      <c r="K498" s="12" t="n">
        <v>11230</v>
      </c>
      <c r="L498" s="12" t="n">
        <v>11633</v>
      </c>
      <c r="M498" s="13">
        <f>IF(OR(N(H498)=0,L498=""),"",L498/H498-1)</f>
        <v>0.14362957137239474</v>
      </c>
      <c r="N498" s="14" t="n">
        <v>7051</v>
      </c>
      <c r="O498" s="14" t="n">
        <v>7445</v>
      </c>
      <c r="P498" s="14" t="n">
        <v>7563</v>
      </c>
      <c r="Q498" s="14" t="n">
        <v>7130</v>
      </c>
      <c r="R498" s="13">
        <f>IF(OR(N(L498)=0,Q498=""),"",Q498/L498)</f>
        <v>0.6129115447434024</v>
      </c>
      <c r="S498" s="14" t="n">
        <v>8895</v>
      </c>
      <c r="T498" s="13">
        <f>IF(OR(N(L498)=0,S498=""),"",S498/L498)</f>
        <v>0.7646350898306542</v>
      </c>
      <c r="U498" s="14" t="n">
        <v>5628</v>
      </c>
      <c r="V498" s="13">
        <f>IF(OR(N(L498)=0,U498=""),"",U498/L498)</f>
        <v>0.4837960973093785</v>
      </c>
      <c r="W498" s="14" t="n">
        <v>40000</v>
      </c>
      <c r="X498" s="14" t="n">
        <v>26556</v>
      </c>
      <c r="Y498" s="13">
        <f>IF(OR(N(W498)=0,X498=""),"",X498/W498)</f>
        <v>0.6639</v>
      </c>
      <c r="Z498" s="11" t="str">
        <f>IF(AA498="A","四季持續盈利",IF(AA498="B","最新季為正/波動",IF(AA498="C","虧損收窄",IF(AA498="D","虧損擴大或轉虧","數據不足"))))</f>
        <v>四季持續盈利</v>
      </c>
      <c r="AA498" s="9" t="str">
        <f>IF(COUNT(N498:Q498)&lt;4,"—",IF(MIN(N498:Q498)&gt;0,"A",IF(Q498&gt;0,"B",IF(Q498&gt;N498,"C","D"))))</f>
        <v>A</v>
      </c>
      <c r="AB498" s="9" t="inlineStr">
        <is>
          <t>2026-06-30</t>
        </is>
      </c>
    </row>
    <row r="499" ht="15" customHeight="1">
      <c r="A499" s="9" t="n">
        <v>498</v>
      </c>
      <c r="B499" s="10" t="inlineStr">
        <is>
          <t>VAL</t>
        </is>
      </c>
      <c r="C499" s="11" t="inlineStr">
        <is>
          <t>海上鑽井與設備</t>
        </is>
      </c>
      <c r="D499" s="11" t="inlineStr">
        <is>
          <t>Valaris Limited</t>
        </is>
      </c>
      <c r="E499" s="11" t="inlineStr">
        <is>
          <t>Oil &amp; Gas Drilling</t>
        </is>
      </c>
      <c r="F499" s="9" t="inlineStr">
        <is>
          <t>USD</t>
        </is>
      </c>
      <c r="G499" s="11" t="inlineStr">
        <is>
          <t>25Q2 / 25Q3 / 25Q4 / 26Q1 / 26Q2</t>
        </is>
      </c>
      <c r="H499" s="12" t="n">
        <v>615.2</v>
      </c>
      <c r="I499" s="12" t="n">
        <v>595.7</v>
      </c>
      <c r="J499" s="12" t="n">
        <v>537.4</v>
      </c>
      <c r="K499" s="12" t="n">
        <v>465.4</v>
      </c>
      <c r="L499" s="12" t="n">
        <v>539.2</v>
      </c>
      <c r="M499" s="13">
        <f>IF(OR(N(H499)=0,L499=""),"",L499/H499-1)</f>
        <v>-0.12353706111833551</v>
      </c>
      <c r="N499" s="14" t="n">
        <v>126.1</v>
      </c>
      <c r="O499" s="14" t="n">
        <v>56.4</v>
      </c>
      <c r="P499" s="14" t="n">
        <v>26.8</v>
      </c>
      <c r="Q499" s="14" t="n">
        <v>51.9</v>
      </c>
      <c r="R499" s="13">
        <f>IF(OR(N(L499)=0,Q499=""),"",Q499/L499)</f>
        <v>0.09625370919881304</v>
      </c>
      <c r="S499" s="14" t="n">
        <v>79.09999999999999</v>
      </c>
      <c r="T499" s="13">
        <f>IF(OR(N(L499)=0,S499=""),"",S499/L499)</f>
        <v>0.1466988130563798</v>
      </c>
      <c r="U499" s="14" t="n">
        <v>50.4</v>
      </c>
      <c r="V499" s="13">
        <f>IF(OR(N(L499)=0,U499=""),"",U499/L499)</f>
        <v>0.09347181008902077</v>
      </c>
      <c r="W499" s="14" t="n">
        <v>2369</v>
      </c>
      <c r="X499" s="14" t="n">
        <v>495.9</v>
      </c>
      <c r="Y499" s="13">
        <f>IF(OR(N(W499)=0,X499=""),"",X499/W499)</f>
        <v>0.20932883073026592</v>
      </c>
      <c r="Z499" s="11" t="str">
        <f>IF(AA499="A","四季持續盈利",IF(AA499="B","最新季為正/波動",IF(AA499="C","虧損收窄",IF(AA499="D","虧損擴大或轉虧","數據不足"))))</f>
        <v>四季持續盈利</v>
      </c>
      <c r="AA499" s="9" t="str">
        <f>IF(COUNT(N499:Q499)&lt;4,"—",IF(MIN(N499:Q499)&gt;0,"A",IF(Q499&gt;0,"B",IF(Q499&gt;N499,"C","D"))))</f>
        <v>A</v>
      </c>
      <c r="AB499" s="9" t="inlineStr">
        <is>
          <t>2026-06-30</t>
        </is>
      </c>
    </row>
    <row r="500" ht="15" customHeight="1">
      <c r="A500" s="9" t="n">
        <v>499</v>
      </c>
      <c r="B500" s="10" t="inlineStr">
        <is>
          <t>VECO</t>
        </is>
      </c>
      <c r="C500" s="11" t="inlineStr">
        <is>
          <t>—</t>
        </is>
      </c>
      <c r="D500" s="11" t="inlineStr">
        <is>
          <t>Veeco Instruments Inc.</t>
        </is>
      </c>
      <c r="E500" s="11" t="inlineStr">
        <is>
          <t>B4 光模塊/化合物半導體設備</t>
        </is>
      </c>
      <c r="F500" s="9" t="inlineStr">
        <is>
          <t>USD</t>
        </is>
      </c>
      <c r="G500" s="11" t="inlineStr">
        <is>
          <t>25Q1 / 25Q2 / 25Q3 / 25Q4 / 26Q1</t>
        </is>
      </c>
      <c r="H500" s="12" t="n">
        <v>167.292</v>
      </c>
      <c r="I500" s="12" t="n">
        <v>166.104</v>
      </c>
      <c r="J500" s="12" t="n">
        <v>165.881</v>
      </c>
      <c r="K500" s="12" t="n">
        <v>165.017</v>
      </c>
      <c r="L500" s="12" t="n">
        <v>158.341</v>
      </c>
      <c r="M500" s="13">
        <f>IF(OR(N(H500)=0,L500=""),"",L500/H500-1)</f>
        <v>-0.05350524830834702</v>
      </c>
      <c r="N500" s="14" t="n">
        <v>12.37</v>
      </c>
      <c r="O500" s="14" t="n">
        <v>10.554</v>
      </c>
      <c r="P500" s="14" t="n">
        <v>7.543</v>
      </c>
      <c r="Q500" s="14" t="n">
        <v>-0.646</v>
      </c>
      <c r="R500" s="13">
        <f>IF(OR(N(L500)=0,Q500=""),"",Q500/L500)</f>
        <v>-0.004079802451670761</v>
      </c>
      <c r="S500" s="14" t="n">
        <v>55.828</v>
      </c>
      <c r="T500" s="13">
        <f>IF(OR(N(L500)=0,S500=""),"",S500/L500)</f>
        <v>0.35258082240228367</v>
      </c>
      <c r="U500" s="14" t="n">
        <v>-0.324</v>
      </c>
      <c r="V500" s="13">
        <f>IF(OR(N(L500)=0,U500=""),"",U500/L500)</f>
        <v>-0.0020462167095066973</v>
      </c>
      <c r="W500" s="14" t="n">
        <v>664.294</v>
      </c>
      <c r="X500" s="14" t="n">
        <v>44.615</v>
      </c>
      <c r="Y500" s="13">
        <f>IF(OR(N(W500)=0,X500=""),"",X500/W500)</f>
        <v>0.0671615278777168</v>
      </c>
      <c r="Z500" s="11" t="str">
        <f>IF(AA500="A","四季持續盈利",IF(AA500="B","最新季為正/波動",IF(AA500="C","虧損收窄",IF(AA500="D","虧損擴大或轉虧","數據不足"))))</f>
        <v>虧損擴大或轉虧</v>
      </c>
      <c r="AA500" s="9" t="str">
        <f>IF(COUNT(N500:Q500)&lt;4,"—",IF(MIN(N500:Q500)&gt;0,"A",IF(Q500&gt;0,"B",IF(Q500&gt;N500,"C","D"))))</f>
        <v>D</v>
      </c>
      <c r="AB500" s="9" t="inlineStr">
        <is>
          <t>2026-03-31</t>
        </is>
      </c>
    </row>
    <row r="501" ht="15" customHeight="1">
      <c r="A501" s="9" t="n">
        <v>500</v>
      </c>
      <c r="B501" s="10" t="inlineStr">
        <is>
          <t>VG</t>
        </is>
      </c>
      <c r="C501" s="11" t="inlineStr">
        <is>
          <t>LNG液化天然氣</t>
        </is>
      </c>
      <c r="D501" s="11" t="inlineStr">
        <is>
          <t>Venture Global, Inc.</t>
        </is>
      </c>
      <c r="E501" s="11" t="inlineStr">
        <is>
          <t>Oil &amp; Gas Midstream</t>
        </is>
      </c>
      <c r="F501" s="9" t="inlineStr">
        <is>
          <t>USD</t>
        </is>
      </c>
      <c r="G501" s="11" t="inlineStr">
        <is>
          <t>25Q2 / 25Q3 / 25Q4 / 26Q1 / 26Q2</t>
        </is>
      </c>
      <c r="H501" s="12" t="n">
        <v>3101</v>
      </c>
      <c r="I501" s="12" t="n">
        <v>3329</v>
      </c>
      <c r="J501" s="12" t="n">
        <v>4445</v>
      </c>
      <c r="K501" s="12" t="n">
        <v>4599</v>
      </c>
      <c r="L501" s="12" t="n">
        <v>4578</v>
      </c>
      <c r="M501" s="13">
        <f>IF(OR(N(H501)=0,L501=""),"",L501/H501-1)</f>
        <v>0.4762979683972912</v>
      </c>
      <c r="N501" s="14" t="n">
        <v>1320</v>
      </c>
      <c r="O501" s="14" t="n">
        <v>1718</v>
      </c>
      <c r="P501" s="14" t="n">
        <v>1151</v>
      </c>
      <c r="Q501" s="14" t="n">
        <v>2188</v>
      </c>
      <c r="R501" s="13">
        <f>IF(OR(N(L501)=0,Q501=""),"",Q501/L501)</f>
        <v>0.4779379641764963</v>
      </c>
      <c r="S501" s="14" t="n">
        <v>2658</v>
      </c>
      <c r="T501" s="13">
        <f>IF(OR(N(L501)=0,S501=""),"",S501/L501)</f>
        <v>0.580602883355177</v>
      </c>
      <c r="U501" s="14" t="n">
        <v>1414</v>
      </c>
      <c r="V501" s="13">
        <f>IF(OR(N(L501)=0,U501=""),"",U501/L501)</f>
        <v>0.308868501529052</v>
      </c>
      <c r="W501" s="14" t="n">
        <v>13769</v>
      </c>
      <c r="X501" s="14" t="n">
        <v>5156</v>
      </c>
      <c r="Y501" s="13">
        <f>IF(OR(N(W501)=0,X501=""),"",X501/W501)</f>
        <v>0.37446437649793013</v>
      </c>
      <c r="Z501" s="11" t="str">
        <f>IF(AA501="A","四季持續盈利",IF(AA501="B","最新季為正/波動",IF(AA501="C","虧損收窄",IF(AA501="D","虧損擴大或轉虧","數據不足"))))</f>
        <v>四季持續盈利</v>
      </c>
      <c r="AA501" s="9" t="str">
        <f>IF(COUNT(N501:Q501)&lt;4,"—",IF(MIN(N501:Q501)&gt;0,"A",IF(Q501&gt;0,"B",IF(Q501&gt;N501,"C","D"))))</f>
        <v>A</v>
      </c>
      <c r="AB501" s="9" t="inlineStr">
        <is>
          <t>2026-06-30</t>
        </is>
      </c>
    </row>
    <row r="502" ht="15" customHeight="1">
      <c r="A502" s="9" t="n">
        <v>501</v>
      </c>
      <c r="B502" s="10" t="inlineStr">
        <is>
          <t>VIAV</t>
        </is>
      </c>
      <c r="C502" s="11" t="inlineStr">
        <is>
          <t>—</t>
        </is>
      </c>
      <c r="D502" s="11" t="inlineStr">
        <is>
          <t>Viavi Solutions Inc.</t>
        </is>
      </c>
      <c r="E502" s="11" t="inlineStr">
        <is>
          <t>D9 光模塊上游</t>
        </is>
      </c>
      <c r="F502" s="9" t="inlineStr">
        <is>
          <t>USD</t>
        </is>
      </c>
      <c r="G502" s="11" t="inlineStr">
        <is>
          <t>25Q2 / 25Q3 / 25Q4 / 26Q1 / 26Q2</t>
        </is>
      </c>
      <c r="H502" s="12" t="n">
        <v>290.5</v>
      </c>
      <c r="I502" s="12" t="n">
        <v>299.1</v>
      </c>
      <c r="J502" s="12" t="n">
        <v>369.3</v>
      </c>
      <c r="K502" s="12" t="n">
        <v>406.8</v>
      </c>
      <c r="L502" s="12" t="n">
        <v>443.1</v>
      </c>
      <c r="M502" s="13">
        <f>IF(OR(N(H502)=0,L502=""),"",L502/H502-1)</f>
        <v>0.5253012048192771</v>
      </c>
      <c r="N502" s="14" t="n">
        <v>7.3</v>
      </c>
      <c r="O502" s="14" t="n">
        <v>11.3</v>
      </c>
      <c r="P502" s="14" t="n">
        <v>42.1</v>
      </c>
      <c r="Q502" s="14" t="n">
        <v>60.3</v>
      </c>
      <c r="R502" s="13">
        <f>IF(OR(N(L502)=0,Q502=""),"",Q502/L502)</f>
        <v>0.13608666215301285</v>
      </c>
      <c r="S502" s="14" t="n">
        <v>261.7</v>
      </c>
      <c r="T502" s="13">
        <f>IF(OR(N(L502)=0,S502=""),"",S502/L502)</f>
        <v>0.590611600090273</v>
      </c>
      <c r="U502" s="14" t="n">
        <v>32.7</v>
      </c>
      <c r="V502" s="13">
        <f>IF(OR(N(L502)=0,U502=""),"",U502/L502)</f>
        <v>0.07379823967501693</v>
      </c>
      <c r="W502" s="14" t="n">
        <v>1518.3</v>
      </c>
      <c r="X502" s="14" t="n">
        <v>121</v>
      </c>
      <c r="Y502" s="13">
        <f>IF(OR(N(W502)=0,X502=""),"",X502/W502)</f>
        <v>0.07969439504709215</v>
      </c>
      <c r="Z502" s="11" t="str">
        <f>IF(AA502="A","四季持續盈利",IF(AA502="B","最新季為正/波動",IF(AA502="C","虧損收窄",IF(AA502="D","虧損擴大或轉虧","數據不足"))))</f>
        <v>四季持續盈利</v>
      </c>
      <c r="AA502" s="9" t="str">
        <f>IF(COUNT(N502:Q502)&lt;4,"—",IF(MIN(N502:Q502)&gt;0,"A",IF(Q502&gt;0,"B",IF(Q502&gt;N502,"C","D"))))</f>
        <v>A</v>
      </c>
      <c r="AB502" s="9" t="inlineStr">
        <is>
          <t>2026-06-30</t>
        </is>
      </c>
    </row>
    <row r="503" ht="15" customHeight="1">
      <c r="A503" s="9" t="n">
        <v>502</v>
      </c>
      <c r="B503" s="10" t="inlineStr">
        <is>
          <t>VICI</t>
        </is>
      </c>
      <c r="C503" s="11" t="inlineStr">
        <is>
          <t>特殊型REIT（自存倉/賭場/廣告牌）</t>
        </is>
      </c>
      <c r="D503" s="11" t="inlineStr">
        <is>
          <t>VICI Properties Inc.</t>
        </is>
      </c>
      <c r="E503" s="11" t="inlineStr">
        <is>
          <t>REIT - Diversified</t>
        </is>
      </c>
      <c r="F503" s="9" t="inlineStr">
        <is>
          <t>USD</t>
        </is>
      </c>
      <c r="G503" s="11" t="inlineStr">
        <is>
          <t>25Q2 / 25Q3 / 25Q4 / 26Q1 / 26Q2</t>
        </is>
      </c>
      <c r="H503" s="12" t="n">
        <v>1001.334</v>
      </c>
      <c r="I503" s="12" t="n">
        <v>1007.488</v>
      </c>
      <c r="J503" s="12" t="n">
        <v>1013.09</v>
      </c>
      <c r="K503" s="12" t="n">
        <v>1018.521</v>
      </c>
      <c r="L503" s="12" t="n">
        <v>1058.505</v>
      </c>
      <c r="M503" s="13">
        <f>IF(OR(N(H503)=0,L503=""),"",L503/H503-1)</f>
        <v>0.05709483548945715</v>
      </c>
      <c r="N503" s="14" t="n">
        <v>984.048</v>
      </c>
      <c r="O503" s="14" t="n">
        <v>813.849</v>
      </c>
      <c r="P503" s="14" t="n">
        <v>1094.985</v>
      </c>
      <c r="Q503" s="14" t="n">
        <v>744.7089999999999</v>
      </c>
      <c r="R503" s="13">
        <f>IF(OR(N(L503)=0,Q503=""),"",Q503/L503)</f>
        <v>0.7035479284462519</v>
      </c>
      <c r="S503" s="14" t="n">
        <v>1051.11</v>
      </c>
      <c r="T503" s="13">
        <f>IF(OR(N(L503)=0,S503=""),"",S503/L503)</f>
        <v>0.9930137316309321</v>
      </c>
      <c r="U503" s="14" t="n">
        <v>526.521</v>
      </c>
      <c r="V503" s="13">
        <f>IF(OR(N(L503)=0,U503=""),"",U503/L503)</f>
        <v>0.49741947369166883</v>
      </c>
      <c r="W503" s="14" t="n">
        <v>4006.116</v>
      </c>
      <c r="X503" s="14" t="n">
        <v>3655.301</v>
      </c>
      <c r="Y503" s="13">
        <f>IF(OR(N(W503)=0,X503=""),"",X503/W503)</f>
        <v>0.912430144309351</v>
      </c>
      <c r="Z503" s="11" t="str">
        <f>IF(AA503="A","四季持續盈利",IF(AA503="B","最新季為正/波動",IF(AA503="C","虧損收窄",IF(AA503="D","虧損擴大或轉虧","數據不足"))))</f>
        <v>四季持續盈利</v>
      </c>
      <c r="AA503" s="9" t="str">
        <f>IF(COUNT(N503:Q503)&lt;4,"—",IF(MIN(N503:Q503)&gt;0,"A",IF(Q503&gt;0,"B",IF(Q503&gt;N503,"C","D"))))</f>
        <v>A</v>
      </c>
      <c r="AB503" s="9" t="inlineStr">
        <is>
          <t>2026-06-30</t>
        </is>
      </c>
    </row>
    <row r="504" ht="15" customHeight="1">
      <c r="A504" s="9" t="n">
        <v>503</v>
      </c>
      <c r="B504" s="10" t="inlineStr">
        <is>
          <t>VKTX</t>
        </is>
      </c>
      <c r="C504" s="11" t="inlineStr">
        <is>
          <t>GLP-1減重與代謝、臨床期中小型生技</t>
        </is>
      </c>
      <c r="D504" s="11" t="inlineStr">
        <is>
          <t>Viking Therapeutics, Inc.</t>
        </is>
      </c>
      <c r="E504" s="11" t="inlineStr">
        <is>
          <t>Biotechnology</t>
        </is>
      </c>
      <c r="F504" s="9" t="inlineStr">
        <is>
          <t>USD</t>
        </is>
      </c>
      <c r="G504" s="11" t="inlineStr">
        <is>
          <t>25Q2 / 25Q3 / 25Q4 / 26Q1 / 26Q2</t>
        </is>
      </c>
      <c r="H504" s="12" t="n">
        <v>0</v>
      </c>
      <c r="I504" s="12" t="n">
        <v>0</v>
      </c>
      <c r="J504" s="12" t="n">
        <v>0</v>
      </c>
      <c r="K504" s="12" t="n">
        <v>0</v>
      </c>
      <c r="L504" s="12" t="n">
        <v>0</v>
      </c>
      <c r="M504" s="13" t="str">
        <f>IF(OR(N(H504)=0,L504=""),"",L504/H504-1)</f>
        <v/>
      </c>
      <c r="N504" s="14" t="n">
        <v>-98.56100000000001</v>
      </c>
      <c r="O504" s="14" t="n">
        <v>-164.738</v>
      </c>
      <c r="P504" s="14" t="n">
        <v>-164.125</v>
      </c>
      <c r="Q504" s="14" t="n">
        <v>-132.597</v>
      </c>
      <c r="R504" s="13" t="str">
        <f>IF(OR(N(L504)=0,Q504=""),"",Q504/L504)</f>
        <v/>
      </c>
      <c r="S504" s="14" t="n"/>
      <c r="T504" s="13" t="str">
        <f>IF(OR(N(L504)=0,S504=""),"",S504/L504)</f>
        <v/>
      </c>
      <c r="U504" s="14" t="n">
        <v>-128.022</v>
      </c>
      <c r="V504" s="13" t="str">
        <f>IF(OR(N(L504)=0,U504=""),"",U504/L504)</f>
        <v/>
      </c>
      <c r="W504" s="14" t="n">
        <v>0</v>
      </c>
      <c r="X504" s="14" t="n">
        <v>-393.342</v>
      </c>
      <c r="Y504" s="13" t="str">
        <f>IF(OR(N(W504)=0,X504=""),"",X504/W504)</f>
        <v/>
      </c>
      <c r="Z504" s="11" t="str">
        <f>IF(AA504="A","四季持續盈利",IF(AA504="B","最新季為正/波動",IF(AA504="C","虧損收窄",IF(AA504="D","虧損擴大或轉虧","數據不足"))))</f>
        <v>虧損擴大或轉虧</v>
      </c>
      <c r="AA504" s="9" t="str">
        <f>IF(COUNT(N504:Q504)&lt;4,"—",IF(MIN(N504:Q504)&gt;0,"A",IF(Q504&gt;0,"B",IF(Q504&gt;N504,"C","D"))))</f>
        <v>D</v>
      </c>
      <c r="AB504" s="9" t="inlineStr">
        <is>
          <t>2026-06-30</t>
        </is>
      </c>
    </row>
    <row r="505" ht="15" customHeight="1">
      <c r="A505" s="9" t="n">
        <v>504</v>
      </c>
      <c r="B505" s="10" t="inlineStr">
        <is>
          <t>VLO</t>
        </is>
      </c>
      <c r="C505" s="11" t="inlineStr">
        <is>
          <t>煉油與成品油</t>
        </is>
      </c>
      <c r="D505" s="11" t="inlineStr">
        <is>
          <t>Valero Energy Corporation</t>
        </is>
      </c>
      <c r="E505" s="11" t="inlineStr">
        <is>
          <t>Oil &amp; Gas Refining &amp; Marketing</t>
        </is>
      </c>
      <c r="F505" s="9" t="inlineStr">
        <is>
          <t>USD</t>
        </is>
      </c>
      <c r="G505" s="11" t="inlineStr">
        <is>
          <t>25Q2 / 25Q3 / 25Q4 / 26Q1 / 26Q2</t>
        </is>
      </c>
      <c r="H505" s="12" t="n">
        <v>29889</v>
      </c>
      <c r="I505" s="12" t="n">
        <v>32168</v>
      </c>
      <c r="J505" s="12" t="n">
        <v>30372</v>
      </c>
      <c r="K505" s="12" t="n">
        <v>32381</v>
      </c>
      <c r="L505" s="12" t="n">
        <v>44476</v>
      </c>
      <c r="M505" s="13">
        <f>IF(OR(N(H505)=0,L505=""),"",L505/H505-1)</f>
        <v>0.48803907792164347</v>
      </c>
      <c r="N505" s="14" t="n">
        <v>1509</v>
      </c>
      <c r="O505" s="14" t="n">
        <v>1575</v>
      </c>
      <c r="P505" s="14" t="n">
        <v>1731</v>
      </c>
      <c r="Q505" s="14" t="n">
        <v>5196</v>
      </c>
      <c r="R505" s="13">
        <f>IF(OR(N(L505)=0,Q505=""),"",Q505/L505)</f>
        <v>0.11682705279251732</v>
      </c>
      <c r="S505" s="14" t="n">
        <v>5455</v>
      </c>
      <c r="T505" s="13">
        <f>IF(OR(N(L505)=0,S505=""),"",S505/L505)</f>
        <v>0.12265041820307582</v>
      </c>
      <c r="U505" s="14" t="n">
        <v>3720</v>
      </c>
      <c r="V505" s="13">
        <f>IF(OR(N(L505)=0,U505=""),"",U505/L505)</f>
        <v>0.08364061516323411</v>
      </c>
      <c r="W505" s="14" t="n">
        <v>122687</v>
      </c>
      <c r="X505" s="14" t="n">
        <v>4312</v>
      </c>
      <c r="Y505" s="13">
        <f>IF(OR(N(W505)=0,X505=""),"",X505/W505)</f>
        <v>0.035146348023833006</v>
      </c>
      <c r="Z505" s="11" t="str">
        <f>IF(AA505="A","四季持續盈利",IF(AA505="B","最新季為正/波動",IF(AA505="C","虧損收窄",IF(AA505="D","虧損擴大或轉虧","數據不足"))))</f>
        <v>四季持續盈利</v>
      </c>
      <c r="AA505" s="9" t="str">
        <f>IF(COUNT(N505:Q505)&lt;4,"—",IF(MIN(N505:Q505)&gt;0,"A",IF(Q505&gt;0,"B",IF(Q505&gt;N505,"C","D"))))</f>
        <v>A</v>
      </c>
      <c r="AB505" s="9" t="inlineStr">
        <is>
          <t>2026-06-30</t>
        </is>
      </c>
    </row>
    <row r="506" ht="15" customHeight="1">
      <c r="A506" s="9" t="n">
        <v>505</v>
      </c>
      <c r="B506" s="10" t="inlineStr">
        <is>
          <t>VMC</t>
        </is>
      </c>
      <c r="C506" s="11" t="inlineStr">
        <is>
          <t>包裝與建材</t>
        </is>
      </c>
      <c r="D506" s="11" t="inlineStr">
        <is>
          <t>Vulcan Materials Company</t>
        </is>
      </c>
      <c r="E506" s="11" t="inlineStr">
        <is>
          <t>Building Materials</t>
        </is>
      </c>
      <c r="F506" s="9" t="inlineStr">
        <is>
          <t>USD</t>
        </is>
      </c>
      <c r="G506" s="11" t="inlineStr">
        <is>
          <t>25Q2 / 25Q3 / 25Q4 / 26Q1 / 26Q2</t>
        </is>
      </c>
      <c r="H506" s="12" t="n">
        <v>2102.4</v>
      </c>
      <c r="I506" s="12" t="n">
        <v>2291.5</v>
      </c>
      <c r="J506" s="12" t="n">
        <v>1912.6</v>
      </c>
      <c r="K506" s="12" t="n">
        <v>1755.9</v>
      </c>
      <c r="L506" s="12" t="n">
        <v>2155.8</v>
      </c>
      <c r="M506" s="13">
        <f>IF(OR(N(H506)=0,L506=""),"",L506/H506-1)</f>
        <v>0.025399543378995526</v>
      </c>
      <c r="N506" s="14" t="n">
        <v>542.6</v>
      </c>
      <c r="O506" s="14" t="n">
        <v>335.7</v>
      </c>
      <c r="P506" s="14" t="n">
        <v>265.7</v>
      </c>
      <c r="Q506" s="14" t="n">
        <v>466.8</v>
      </c>
      <c r="R506" s="13">
        <f>IF(OR(N(L506)=0,Q506=""),"",Q506/L506)</f>
        <v>0.21653214583913163</v>
      </c>
      <c r="S506" s="14" t="n">
        <v>625.5</v>
      </c>
      <c r="T506" s="13">
        <f>IF(OR(N(L506)=0,S506=""),"",S506/L506)</f>
        <v>0.29014750904536596</v>
      </c>
      <c r="U506" s="14" t="n">
        <v>323.4</v>
      </c>
      <c r="V506" s="13">
        <f>IF(OR(N(L506)=0,U506=""),"",U506/L506)</f>
        <v>0.15001391594767602</v>
      </c>
      <c r="W506" s="14" t="n">
        <v>7941.1</v>
      </c>
      <c r="X506" s="14" t="n">
        <v>1567.2</v>
      </c>
      <c r="Y506" s="13">
        <f>IF(OR(N(W506)=0,X506=""),"",X506/W506)</f>
        <v>0.1973530115475186</v>
      </c>
      <c r="Z506" s="11" t="str">
        <f>IF(AA506="A","四季持續盈利",IF(AA506="B","最新季為正/波動",IF(AA506="C","虧損收窄",IF(AA506="D","虧損擴大或轉虧","數據不足"))))</f>
        <v>四季持續盈利</v>
      </c>
      <c r="AA506" s="9" t="str">
        <f>IF(COUNT(N506:Q506)&lt;4,"—",IF(MIN(N506:Q506)&gt;0,"A",IF(Q506&gt;0,"B",IF(Q506&gt;N506,"C","D"))))</f>
        <v>A</v>
      </c>
      <c r="AB506" s="9" t="inlineStr">
        <is>
          <t>2026-06-30</t>
        </is>
      </c>
    </row>
    <row r="507" ht="15" customHeight="1">
      <c r="A507" s="9" t="n">
        <v>506</v>
      </c>
      <c r="B507" s="10" t="inlineStr">
        <is>
          <t>VNO</t>
        </is>
      </c>
      <c r="C507" s="11" t="inlineStr">
        <is>
          <t>辦公樓REIT</t>
        </is>
      </c>
      <c r="D507" s="11" t="inlineStr">
        <is>
          <t>Vornado Realty Trust</t>
        </is>
      </c>
      <c r="E507" s="11" t="inlineStr">
        <is>
          <t>REIT - Office</t>
        </is>
      </c>
      <c r="F507" s="9" t="inlineStr">
        <is>
          <t>USD</t>
        </is>
      </c>
      <c r="G507" s="11" t="inlineStr">
        <is>
          <t>25Q2 / 25Q3 / 25Q4 / 26Q1 / 26Q2</t>
        </is>
      </c>
      <c r="H507" s="12" t="n">
        <v>441.437</v>
      </c>
      <c r="I507" s="12" t="n">
        <v>453.7</v>
      </c>
      <c r="J507" s="12" t="n">
        <v>453.709</v>
      </c>
      <c r="K507" s="12" t="n">
        <v>459.105</v>
      </c>
      <c r="L507" s="12" t="n">
        <v>462.242</v>
      </c>
      <c r="M507" s="13">
        <f>IF(OR(N(H507)=0,L507=""),"",L507/H507-1)</f>
        <v>0.04713016806475223</v>
      </c>
      <c r="N507" s="14" t="n">
        <v>57.319</v>
      </c>
      <c r="O507" s="14" t="n">
        <v>66.20699999999999</v>
      </c>
      <c r="P507" s="14" t="n">
        <v>51.701</v>
      </c>
      <c r="Q507" s="14" t="n">
        <v>28.265</v>
      </c>
      <c r="R507" s="13">
        <f>IF(OR(N(L507)=0,Q507=""),"",Q507/L507)</f>
        <v>0.0611476239718589</v>
      </c>
      <c r="S507" s="14" t="n"/>
      <c r="T507" s="13" t="str">
        <f>IF(OR(N(L507)=0,S507=""),"",S507/L507)</f>
        <v/>
      </c>
      <c r="U507" s="14" t="n">
        <v>31.959</v>
      </c>
      <c r="V507" s="13">
        <f>IF(OR(N(L507)=0,U507=""),"",U507/L507)</f>
        <v>0.06913910895158813</v>
      </c>
      <c r="W507" s="14" t="n">
        <v>1810.425</v>
      </c>
      <c r="X507" s="14" t="n">
        <v>272.15</v>
      </c>
      <c r="Y507" s="13">
        <f>IF(OR(N(W507)=0,X507=""),"",X507/W507)</f>
        <v>0.15032381899277794</v>
      </c>
      <c r="Z507" s="11" t="str">
        <f>IF(AA507="A","四季持續盈利",IF(AA507="B","最新季為正/波動",IF(AA507="C","虧損收窄",IF(AA507="D","虧損擴大或轉虧","數據不足"))))</f>
        <v>四季持續盈利</v>
      </c>
      <c r="AA507" s="9" t="str">
        <f>IF(COUNT(N507:Q507)&lt;4,"—",IF(MIN(N507:Q507)&gt;0,"A",IF(Q507&gt;0,"B",IF(Q507&gt;N507,"C","D"))))</f>
        <v>A</v>
      </c>
      <c r="AB507" s="9" t="inlineStr">
        <is>
          <t>2026-06-30</t>
        </is>
      </c>
    </row>
    <row r="508" ht="15" customHeight="1">
      <c r="A508" s="9" t="n">
        <v>507</v>
      </c>
      <c r="B508" s="10" t="inlineStr">
        <is>
          <t>VRT</t>
        </is>
      </c>
      <c r="C508" s="11" t="inlineStr">
        <is>
          <t>AI資料中心建設</t>
        </is>
      </c>
      <c r="D508" s="11" t="inlineStr">
        <is>
          <t>Vertiv Holdings Co</t>
        </is>
      </c>
      <c r="E508" s="11" t="inlineStr">
        <is>
          <t>F1 電源</t>
        </is>
      </c>
      <c r="F508" s="9" t="inlineStr">
        <is>
          <t>USD</t>
        </is>
      </c>
      <c r="G508" s="11" t="inlineStr">
        <is>
          <t>25Q2 / 25Q3 / 25Q4 / 26Q1 / 26Q2</t>
        </is>
      </c>
      <c r="H508" s="12" t="n">
        <v>2638.1</v>
      </c>
      <c r="I508" s="12" t="n">
        <v>2675.8</v>
      </c>
      <c r="J508" s="12" t="n">
        <v>2880</v>
      </c>
      <c r="K508" s="12" t="n">
        <v>2649.5</v>
      </c>
      <c r="L508" s="12" t="n">
        <v>3274.3</v>
      </c>
      <c r="M508" s="13">
        <f>IF(OR(N(H508)=0,L508=""),"",L508/H508-1)</f>
        <v>0.2411584094613548</v>
      </c>
      <c r="N508" s="14" t="n">
        <v>548.3</v>
      </c>
      <c r="O508" s="14" t="n">
        <v>606.9</v>
      </c>
      <c r="P508" s="14" t="n">
        <v>433.6</v>
      </c>
      <c r="Q508" s="14" t="n">
        <v>637.9</v>
      </c>
      <c r="R508" s="13">
        <f>IF(OR(N(L508)=0,Q508=""),"",Q508/L508)</f>
        <v>0.19482026692728216</v>
      </c>
      <c r="S508" s="14" t="n">
        <v>1234.9</v>
      </c>
      <c r="T508" s="13">
        <f>IF(OR(N(L508)=0,S508=""),"",S508/L508)</f>
        <v>0.37714931435726723</v>
      </c>
      <c r="U508" s="14" t="n">
        <v>497.8</v>
      </c>
      <c r="V508" s="13">
        <f>IF(OR(N(L508)=0,U508=""),"",U508/L508)</f>
        <v>0.15203249549522035</v>
      </c>
      <c r="W508" s="14" t="n">
        <v>10229.9</v>
      </c>
      <c r="X508" s="14" t="n">
        <v>1896.2</v>
      </c>
      <c r="Y508" s="13">
        <f>IF(OR(N(W508)=0,X508=""),"",X508/W508)</f>
        <v>0.1853586056559693</v>
      </c>
      <c r="Z508" s="11" t="str">
        <f>IF(AA508="A","四季持續盈利",IF(AA508="B","最新季為正/波動",IF(AA508="C","虧損收窄",IF(AA508="D","虧損擴大或轉虧","數據不足"))))</f>
        <v>四季持續盈利</v>
      </c>
      <c r="AA508" s="9" t="str">
        <f>IF(COUNT(N508:Q508)&lt;4,"—",IF(MIN(N508:Q508)&gt;0,"A",IF(Q508&gt;0,"B",IF(Q508&gt;N508,"C","D"))))</f>
        <v>A</v>
      </c>
      <c r="AB508" s="9" t="inlineStr">
        <is>
          <t>2026-06-30</t>
        </is>
      </c>
    </row>
    <row r="509" ht="15" customHeight="1">
      <c r="A509" s="9" t="n">
        <v>508</v>
      </c>
      <c r="B509" s="10" t="inlineStr">
        <is>
          <t>VRTX</t>
        </is>
      </c>
      <c r="C509" s="11" t="inlineStr">
        <is>
          <t>大型生物科技</t>
        </is>
      </c>
      <c r="D509" s="11" t="inlineStr">
        <is>
          <t>Vertex Pharmaceuticals Incorporated</t>
        </is>
      </c>
      <c r="E509" s="11" t="inlineStr">
        <is>
          <t>Biotechnology</t>
        </is>
      </c>
      <c r="F509" s="9" t="inlineStr">
        <is>
          <t>USD</t>
        </is>
      </c>
      <c r="G509" s="11" t="inlineStr">
        <is>
          <t>25Q2 / 25Q3 / 25Q4 / 26Q1 / 26Q2</t>
        </is>
      </c>
      <c r="H509" s="12" t="n">
        <v>2964.7</v>
      </c>
      <c r="I509" s="12" t="n">
        <v>3076.4</v>
      </c>
      <c r="J509" s="12" t="n">
        <v>3190</v>
      </c>
      <c r="K509" s="12" t="n">
        <v>2986.9</v>
      </c>
      <c r="L509" s="12" t="n">
        <v>3333.9</v>
      </c>
      <c r="M509" s="13">
        <f>IF(OR(N(H509)=0,L509=""),"",L509/H509-1)</f>
        <v>0.12453199311903407</v>
      </c>
      <c r="N509" s="14" t="n">
        <v>1238.8</v>
      </c>
      <c r="O509" s="14" t="n">
        <v>1130.3</v>
      </c>
      <c r="P509" s="14" t="n">
        <v>1138.8</v>
      </c>
      <c r="Q509" s="14" t="n">
        <v>1268.7</v>
      </c>
      <c r="R509" s="13">
        <f>IF(OR(N(L509)=0,Q509=""),"",Q509/L509)</f>
        <v>0.38054530729775937</v>
      </c>
      <c r="S509" s="14" t="n">
        <v>2844.7</v>
      </c>
      <c r="T509" s="13">
        <f>IF(OR(N(L509)=0,S509=""),"",S509/L509)</f>
        <v>0.8532649449593568</v>
      </c>
      <c r="U509" s="14" t="n">
        <v>1099.8</v>
      </c>
      <c r="V509" s="13">
        <f>IF(OR(N(L509)=0,U509=""),"",U509/L509)</f>
        <v>0.3298839197336453</v>
      </c>
      <c r="W509" s="14" t="n">
        <v>12001.3</v>
      </c>
      <c r="X509" s="14" t="n">
        <v>4554.4</v>
      </c>
      <c r="Y509" s="13">
        <f>IF(OR(N(W509)=0,X509=""),"",X509/W509)</f>
        <v>0.3794922216759851</v>
      </c>
      <c r="Z509" s="11" t="str">
        <f>IF(AA509="A","四季持續盈利",IF(AA509="B","最新季為正/波動",IF(AA509="C","虧損收窄",IF(AA509="D","虧損擴大或轉虧","數據不足"))))</f>
        <v>四季持續盈利</v>
      </c>
      <c r="AA509" s="9" t="str">
        <f>IF(COUNT(N509:Q509)&lt;4,"—",IF(MIN(N509:Q509)&gt;0,"A",IF(Q509&gt;0,"B",IF(Q509&gt;N509,"C","D"))))</f>
        <v>A</v>
      </c>
      <c r="AB509" s="9" t="inlineStr">
        <is>
          <t>2026-06-30</t>
        </is>
      </c>
    </row>
    <row r="510" ht="15" customHeight="1">
      <c r="A510" s="9" t="n">
        <v>509</v>
      </c>
      <c r="B510" s="10" t="inlineStr">
        <is>
          <t>VST</t>
        </is>
      </c>
      <c r="C510" s="11" t="inlineStr">
        <is>
          <t>IPP與電力交易商</t>
        </is>
      </c>
      <c r="D510" s="11" t="inlineStr">
        <is>
          <t>Vistra Corp.</t>
        </is>
      </c>
      <c r="E510" s="11" t="inlineStr">
        <is>
          <t>F3 能源</t>
        </is>
      </c>
      <c r="F510" s="9" t="inlineStr">
        <is>
          <t>USD</t>
        </is>
      </c>
      <c r="G510" s="11" t="inlineStr">
        <is>
          <t>25Q2 / 25Q3 / 25Q4 / 26Q1 / 26Q2</t>
        </is>
      </c>
      <c r="H510" s="12" t="n">
        <v>4250</v>
      </c>
      <c r="I510" s="12" t="n">
        <v>4971</v>
      </c>
      <c r="J510" s="12" t="n">
        <v>4584</v>
      </c>
      <c r="K510" s="12" t="n">
        <v>5640</v>
      </c>
      <c r="L510" s="12" t="n">
        <v>4017</v>
      </c>
      <c r="M510" s="13">
        <f>IF(OR(N(H510)=0,L510=""),"",L510/H510-1)</f>
        <v>-0.054823529411764715</v>
      </c>
      <c r="N510" s="14" t="n">
        <v>1042</v>
      </c>
      <c r="O510" s="14" t="n">
        <v>629</v>
      </c>
      <c r="P510" s="14" t="n">
        <v>1499</v>
      </c>
      <c r="Q510" s="14" t="n">
        <v>553</v>
      </c>
      <c r="R510" s="13">
        <f>IF(OR(N(L510)=0,Q510=""),"",Q510/L510)</f>
        <v>0.13766492407269107</v>
      </c>
      <c r="S510" s="14" t="n">
        <v>1390</v>
      </c>
      <c r="T510" s="13">
        <f>IF(OR(N(L510)=0,S510=""),"",S510/L510)</f>
        <v>0.34602937515558874</v>
      </c>
      <c r="U510" s="14" t="n">
        <v>305</v>
      </c>
      <c r="V510" s="13">
        <f>IF(OR(N(L510)=0,U510=""),"",U510/L510)</f>
        <v>0.07592730893701767</v>
      </c>
      <c r="W510" s="14" t="n">
        <v>17738</v>
      </c>
      <c r="X510" s="14" t="n">
        <v>2134</v>
      </c>
      <c r="Y510" s="13">
        <f>IF(OR(N(W510)=0,X510=""),"",X510/W510)</f>
        <v>0.12030668621039577</v>
      </c>
      <c r="Z510" s="11" t="str">
        <f>IF(AA510="A","四季持續盈利",IF(AA510="B","最新季為正/波動",IF(AA510="C","虧損收窄",IF(AA510="D","虧損擴大或轉虧","數據不足"))))</f>
        <v>四季持續盈利</v>
      </c>
      <c r="AA510" s="9" t="str">
        <f>IF(COUNT(N510:Q510)&lt;4,"—",IF(MIN(N510:Q510)&gt;0,"A",IF(Q510&gt;0,"B",IF(Q510&gt;N510,"C","D"))))</f>
        <v>A</v>
      </c>
      <c r="AB510" s="9" t="inlineStr">
        <is>
          <t>2026-06-30</t>
        </is>
      </c>
    </row>
    <row r="511" ht="15" customHeight="1">
      <c r="A511" s="9" t="n">
        <v>510</v>
      </c>
      <c r="B511" s="10" t="inlineStr">
        <is>
          <t>VTR</t>
        </is>
      </c>
      <c r="C511" s="11" t="inlineStr">
        <is>
          <t>醫療與長者住宅REIT</t>
        </is>
      </c>
      <c r="D511" s="11" t="inlineStr">
        <is>
          <t>Ventas, Inc.</t>
        </is>
      </c>
      <c r="E511" s="11" t="inlineStr">
        <is>
          <t>REIT - Healthcare Facilities</t>
        </is>
      </c>
      <c r="F511" s="9" t="inlineStr">
        <is>
          <t>USD</t>
        </is>
      </c>
      <c r="G511" s="11" t="inlineStr">
        <is>
          <t>25Q2 / 25Q3 / 25Q4 / 26Q1 / 26Q2</t>
        </is>
      </c>
      <c r="H511" s="12" t="n">
        <v>1420.893</v>
      </c>
      <c r="I511" s="12" t="n">
        <v>1488.996</v>
      </c>
      <c r="J511" s="12" t="n">
        <v>1566.017</v>
      </c>
      <c r="K511" s="12" t="n">
        <v>1656.944</v>
      </c>
      <c r="L511" s="12" t="n">
        <v>1729.614</v>
      </c>
      <c r="M511" s="13">
        <f>IF(OR(N(H511)=0,L511=""),"",L511/H511-1)</f>
        <v>0.2172725180573063</v>
      </c>
      <c r="N511" s="14" t="n">
        <v>221.521</v>
      </c>
      <c r="O511" s="14" t="n">
        <v>234.89</v>
      </c>
      <c r="P511" s="14" t="n">
        <v>208.363</v>
      </c>
      <c r="Q511" s="14" t="n">
        <v>232.289</v>
      </c>
      <c r="R511" s="13">
        <f>IF(OR(N(L511)=0,Q511=""),"",Q511/L511)</f>
        <v>0.13430106370554354</v>
      </c>
      <c r="S511" s="14" t="n">
        <v>686.986</v>
      </c>
      <c r="T511" s="13">
        <f>IF(OR(N(L511)=0,S511=""),"",S511/L511)</f>
        <v>0.39719035576724054</v>
      </c>
      <c r="U511" s="14" t="n">
        <v>70.56999999999999</v>
      </c>
      <c r="V511" s="13">
        <f>IF(OR(N(L511)=0,U511=""),"",U511/L511)</f>
        <v>0.040801011092648415</v>
      </c>
      <c r="W511" s="14" t="n">
        <v>5833.98</v>
      </c>
      <c r="X511" s="14" t="n">
        <v>857.524</v>
      </c>
      <c r="Y511" s="13">
        <f>IF(OR(N(W511)=0,X511=""),"",X511/W511)</f>
        <v>0.14698781963599464</v>
      </c>
      <c r="Z511" s="11" t="str">
        <f>IF(AA511="A","四季持續盈利",IF(AA511="B","最新季為正/波動",IF(AA511="C","虧損收窄",IF(AA511="D","虧損擴大或轉虧","數據不足"))))</f>
        <v>四季持續盈利</v>
      </c>
      <c r="AA511" s="9" t="str">
        <f>IF(COUNT(N511:Q511)&lt;4,"—",IF(MIN(N511:Q511)&gt;0,"A",IF(Q511&gt;0,"B",IF(Q511&gt;N511,"C","D"))))</f>
        <v>A</v>
      </c>
      <c r="AB511" s="9" t="inlineStr">
        <is>
          <t>2026-06-30</t>
        </is>
      </c>
    </row>
    <row r="512" ht="15" customHeight="1">
      <c r="A512" s="9" t="n">
        <v>511</v>
      </c>
      <c r="B512" s="10" t="inlineStr">
        <is>
          <t>VZ</t>
        </is>
      </c>
      <c r="C512" s="11" t="inlineStr">
        <is>
          <t>電信營運商</t>
        </is>
      </c>
      <c r="D512" s="11" t="inlineStr">
        <is>
          <t>Verizon Communications Inc.</t>
        </is>
      </c>
      <c r="E512" s="11" t="inlineStr">
        <is>
          <t>Telecom Services</t>
        </is>
      </c>
      <c r="F512" s="9" t="inlineStr">
        <is>
          <t>USD</t>
        </is>
      </c>
      <c r="G512" s="11" t="inlineStr">
        <is>
          <t>25Q2 / 25Q3 / 25Q4 / 26Q1 / 26Q2</t>
        </is>
      </c>
      <c r="H512" s="12" t="n">
        <v>34504</v>
      </c>
      <c r="I512" s="12" t="n">
        <v>33821</v>
      </c>
      <c r="J512" s="12" t="n">
        <v>36381</v>
      </c>
      <c r="K512" s="12" t="n">
        <v>34440</v>
      </c>
      <c r="L512" s="12" t="n">
        <v>34253</v>
      </c>
      <c r="M512" s="13">
        <f>IF(OR(N(H512)=0,L512=""),"",L512/H512-1)</f>
        <v>-0.007274518896359883</v>
      </c>
      <c r="N512" s="14" t="n">
        <v>8105</v>
      </c>
      <c r="O512" s="14" t="n">
        <v>5004</v>
      </c>
      <c r="P512" s="14" t="n">
        <v>8242</v>
      </c>
      <c r="Q512" s="14" t="n">
        <v>7179</v>
      </c>
      <c r="R512" s="13">
        <f>IF(OR(N(L512)=0,Q512=""),"",Q512/L512)</f>
        <v>0.2095874813884915</v>
      </c>
      <c r="S512" s="14" t="n">
        <v>21169</v>
      </c>
      <c r="T512" s="13">
        <f>IF(OR(N(L512)=0,S512=""),"",S512/L512)</f>
        <v>0.6180188596619274</v>
      </c>
      <c r="U512" s="14" t="n">
        <v>3835</v>
      </c>
      <c r="V512" s="13">
        <f>IF(OR(N(L512)=0,U512=""),"",U512/L512)</f>
        <v>0.11196099611712843</v>
      </c>
      <c r="W512" s="14" t="n">
        <v>138191</v>
      </c>
      <c r="X512" s="14" t="n">
        <v>29259</v>
      </c>
      <c r="Y512" s="13">
        <f>IF(OR(N(W512)=0,X512=""),"",X512/W512)</f>
        <v>0.2117286943433364</v>
      </c>
      <c r="Z512" s="11" t="str">
        <f>IF(AA512="A","四季持續盈利",IF(AA512="B","最新季為正/波動",IF(AA512="C","虧損收窄",IF(AA512="D","虧損擴大或轉虧","數據不足"))))</f>
        <v>四季持續盈利</v>
      </c>
      <c r="AA512" s="9" t="str">
        <f>IF(COUNT(N512:Q512)&lt;4,"—",IF(MIN(N512:Q512)&gt;0,"A",IF(Q512&gt;0,"B",IF(Q512&gt;N512,"C","D"))))</f>
        <v>A</v>
      </c>
      <c r="AB512" s="9" t="inlineStr">
        <is>
          <t>2026-06-30</t>
        </is>
      </c>
    </row>
    <row r="513" ht="15" customHeight="1">
      <c r="A513" s="9" t="n">
        <v>512</v>
      </c>
      <c r="B513" s="10" t="inlineStr">
        <is>
          <t>W</t>
        </is>
      </c>
      <c r="C513" s="11" t="inlineStr">
        <is>
          <t>電商平台</t>
        </is>
      </c>
      <c r="D513" s="11" t="inlineStr">
        <is>
          <t>Wayfair Inc.</t>
        </is>
      </c>
      <c r="E513" s="11" t="inlineStr">
        <is>
          <t>Internet Retail</t>
        </is>
      </c>
      <c r="F513" s="9" t="inlineStr">
        <is>
          <t>USD</t>
        </is>
      </c>
      <c r="G513" s="11" t="inlineStr">
        <is>
          <t>25Q2 / 25Q3 / 25Q4 / 26Q1 / 26Q2</t>
        </is>
      </c>
      <c r="H513" s="12" t="n">
        <v>3273</v>
      </c>
      <c r="I513" s="12" t="n">
        <v>3117</v>
      </c>
      <c r="J513" s="12" t="n">
        <v>3337</v>
      </c>
      <c r="K513" s="12" t="n">
        <v>2931</v>
      </c>
      <c r="L513" s="12" t="n">
        <v>3519</v>
      </c>
      <c r="M513" s="13">
        <f>IF(OR(N(H513)=0,L513=""),"",L513/H513-1)</f>
        <v>0.07516040329972506</v>
      </c>
      <c r="N513" s="14" t="n">
        <v>41</v>
      </c>
      <c r="O513" s="14" t="n">
        <v>69</v>
      </c>
      <c r="P513" s="14" t="n">
        <v>13</v>
      </c>
      <c r="Q513" s="14" t="n">
        <v>106</v>
      </c>
      <c r="R513" s="13">
        <f>IF(OR(N(L513)=0,Q513=""),"",Q513/L513)</f>
        <v>0.030122193805058255</v>
      </c>
      <c r="S513" s="14" t="n">
        <v>1054</v>
      </c>
      <c r="T513" s="13">
        <f>IF(OR(N(L513)=0,S513=""),"",S513/L513)</f>
        <v>0.2995169082125604</v>
      </c>
      <c r="U513" s="14" t="n">
        <v>-1</v>
      </c>
      <c r="V513" s="13">
        <f>IF(OR(N(L513)=0,U513=""),"",U513/L513)</f>
        <v>-0.0002841716396703609</v>
      </c>
      <c r="W513" s="14" t="n">
        <v>12457</v>
      </c>
      <c r="X513" s="14" t="n">
        <v>93</v>
      </c>
      <c r="Y513" s="13">
        <f>IF(OR(N(W513)=0,X513=""),"",X513/W513)</f>
        <v>0.0074656819458938746</v>
      </c>
      <c r="Z513" s="11" t="str">
        <f>IF(AA513="A","四季持續盈利",IF(AA513="B","最新季為正/波動",IF(AA513="C","虧損收窄",IF(AA513="D","虧損擴大或轉虧","數據不足"))))</f>
        <v>四季持續盈利</v>
      </c>
      <c r="AA513" s="9" t="str">
        <f>IF(COUNT(N513:Q513)&lt;4,"—",IF(MIN(N513:Q513)&gt;0,"A",IF(Q513&gt;0,"B",IF(Q513&gt;N513,"C","D"))))</f>
        <v>A</v>
      </c>
      <c r="AB513" s="9" t="inlineStr">
        <is>
          <t>2026-06-30</t>
        </is>
      </c>
    </row>
    <row r="514" ht="15" customHeight="1">
      <c r="A514" s="9" t="n">
        <v>513</v>
      </c>
      <c r="B514" s="10" t="inlineStr">
        <is>
          <t>WBD</t>
        </is>
      </c>
      <c r="C514" s="11" t="inlineStr">
        <is>
          <t>串流影音</t>
        </is>
      </c>
      <c r="D514" s="11" t="inlineStr">
        <is>
          <t>Warner Bros. Discovery, Inc.</t>
        </is>
      </c>
      <c r="E514" s="11" t="inlineStr">
        <is>
          <t>Entertainment</t>
        </is>
      </c>
      <c r="F514" s="9" t="inlineStr">
        <is>
          <t>USD</t>
        </is>
      </c>
      <c r="G514" s="11" t="inlineStr">
        <is>
          <t>25Q2 / 25Q3 / 25Q4 / 26Q1 / 26Q2</t>
        </is>
      </c>
      <c r="H514" s="12" t="n">
        <v>9812</v>
      </c>
      <c r="I514" s="12" t="n">
        <v>9045</v>
      </c>
      <c r="J514" s="12" t="n">
        <v>9460</v>
      </c>
      <c r="K514" s="12" t="n">
        <v>8893</v>
      </c>
      <c r="L514" s="12" t="n">
        <v>8717</v>
      </c>
      <c r="M514" s="13">
        <f>IF(OR(N(H514)=0,L514=""),"",L514/H514-1)</f>
        <v>-0.11159804321239297</v>
      </c>
      <c r="N514" s="14" t="n">
        <v>745</v>
      </c>
      <c r="O514" s="14" t="n">
        <v>536</v>
      </c>
      <c r="P514" s="14" t="n">
        <v>549</v>
      </c>
      <c r="Q514" s="14" t="n">
        <v>373</v>
      </c>
      <c r="R514" s="13">
        <f>IF(OR(N(L514)=0,Q514=""),"",Q514/L514)</f>
        <v>0.042789950671102445</v>
      </c>
      <c r="S514" s="14" t="n">
        <v>4096</v>
      </c>
      <c r="T514" s="13">
        <f>IF(OR(N(L514)=0,S514=""),"",S514/L514)</f>
        <v>0.4698864288172536</v>
      </c>
      <c r="U514" s="14" t="n">
        <v>149</v>
      </c>
      <c r="V514" s="13">
        <f>IF(OR(N(L514)=0,U514=""),"",U514/L514)</f>
        <v>0.017093036595158886</v>
      </c>
      <c r="W514" s="14" t="n">
        <v>37296</v>
      </c>
      <c r="X514" s="14" t="n">
        <v>1309</v>
      </c>
      <c r="Y514" s="13">
        <f>IF(OR(N(W514)=0,X514=""),"",X514/W514)</f>
        <v>0.0350975975975976</v>
      </c>
      <c r="Z514" s="11" t="str">
        <f>IF(AA514="A","四季持續盈利",IF(AA514="B","最新季為正/波動",IF(AA514="C","虧損收窄",IF(AA514="D","虧損擴大或轉虧","數據不足"))))</f>
        <v>四季持續盈利</v>
      </c>
      <c r="AA514" s="9" t="str">
        <f>IF(COUNT(N514:Q514)&lt;4,"—",IF(MIN(N514:Q514)&gt;0,"A",IF(Q514&gt;0,"B",IF(Q514&gt;N514,"C","D"))))</f>
        <v>A</v>
      </c>
      <c r="AB514" s="9" t="inlineStr">
        <is>
          <t>2026-06-30</t>
        </is>
      </c>
    </row>
    <row r="515" ht="15" customHeight="1">
      <c r="A515" s="9" t="n">
        <v>514</v>
      </c>
      <c r="B515" s="10" t="inlineStr">
        <is>
          <t>WCN</t>
        </is>
      </c>
      <c r="C515" s="11" t="inlineStr">
        <is>
          <t>廢物管理與環境服務</t>
        </is>
      </c>
      <c r="D515" s="11" t="inlineStr">
        <is>
          <t>Waste Connections, Inc.</t>
        </is>
      </c>
      <c r="E515" s="11" t="inlineStr">
        <is>
          <t>Waste Management</t>
        </is>
      </c>
      <c r="F515" s="9" t="inlineStr">
        <is>
          <t>USD</t>
        </is>
      </c>
      <c r="G515" s="11" t="inlineStr">
        <is>
          <t>25Q2 / 25Q3 / 25Q4 / 26Q1 / 26Q2</t>
        </is>
      </c>
      <c r="H515" s="12" t="n">
        <v>2407.055</v>
      </c>
      <c r="I515" s="12" t="n">
        <v>2458.378</v>
      </c>
      <c r="J515" s="12" t="n">
        <v>2373.306</v>
      </c>
      <c r="K515" s="12" t="n">
        <v>2370.631</v>
      </c>
      <c r="L515" s="12" t="n">
        <v>2561.607</v>
      </c>
      <c r="M515" s="13">
        <f>IF(OR(N(H515)=0,L515=""),"",L515/H515-1)</f>
        <v>0.06420792212890869</v>
      </c>
      <c r="N515" s="14" t="n">
        <v>499.718</v>
      </c>
      <c r="O515" s="14" t="n">
        <v>459.939</v>
      </c>
      <c r="P515" s="14" t="n">
        <v>443.664</v>
      </c>
      <c r="Q515" s="14" t="n">
        <v>496.02</v>
      </c>
      <c r="R515" s="13">
        <f>IF(OR(N(L515)=0,Q515=""),"",Q515/L515)</f>
        <v>0.19363626036312362</v>
      </c>
      <c r="S515" s="14" t="n">
        <v>1082.39</v>
      </c>
      <c r="T515" s="13">
        <f>IF(OR(N(L515)=0,S515=""),"",S515/L515)</f>
        <v>0.4225433487650526</v>
      </c>
      <c r="U515" s="14" t="n">
        <v>296.399</v>
      </c>
      <c r="V515" s="13">
        <f>IF(OR(N(L515)=0,U515=""),"",U515/L515)</f>
        <v>0.11570822534448102</v>
      </c>
      <c r="W515" s="14" t="n">
        <v>9466.915000000001</v>
      </c>
      <c r="X515" s="14" t="n">
        <v>1819.883</v>
      </c>
      <c r="Y515" s="13">
        <f>IF(OR(N(W515)=0,X515=""),"",X515/W515)</f>
        <v>0.1922361191581418</v>
      </c>
      <c r="Z515" s="11" t="str">
        <f>IF(AA515="A","四季持續盈利",IF(AA515="B","最新季為正/波動",IF(AA515="C","虧損收窄",IF(AA515="D","虧損擴大或轉虧","數據不足"))))</f>
        <v>四季持續盈利</v>
      </c>
      <c r="AA515" s="9" t="str">
        <f>IF(COUNT(N515:Q515)&lt;4,"—",IF(MIN(N515:Q515)&gt;0,"A",IF(Q515&gt;0,"B",IF(Q515&gt;N515,"C","D"))))</f>
        <v>A</v>
      </c>
      <c r="AB515" s="9" t="inlineStr">
        <is>
          <t>2026-06-30</t>
        </is>
      </c>
    </row>
    <row r="516" ht="15" customHeight="1">
      <c r="A516" s="9" t="n">
        <v>515</v>
      </c>
      <c r="B516" s="10" t="inlineStr">
        <is>
          <t>WDAY</t>
        </is>
      </c>
      <c r="C516" s="11" t="inlineStr">
        <is>
          <t>企業軟體/SaaS</t>
        </is>
      </c>
      <c r="D516" s="11" t="inlineStr">
        <is>
          <t>Workday, Inc.</t>
        </is>
      </c>
      <c r="E516" s="11" t="inlineStr">
        <is>
          <t>Software - Application</t>
        </is>
      </c>
      <c r="F516" s="9" t="inlineStr">
        <is>
          <t>USD</t>
        </is>
      </c>
      <c r="G516" s="11" t="inlineStr">
        <is>
          <t>25Q3 / 25Q4 / 26Q1 / 26Q2 / 26Q3</t>
        </is>
      </c>
      <c r="H516" s="12" t="n">
        <v>2348</v>
      </c>
      <c r="I516" s="12" t="n">
        <v>2432</v>
      </c>
      <c r="J516" s="12" t="n">
        <v>2532</v>
      </c>
      <c r="K516" s="12" t="n">
        <v>2542</v>
      </c>
      <c r="L516" s="12" t="n">
        <v>2649</v>
      </c>
      <c r="M516" s="13">
        <f>IF(OR(N(H516)=0,L516=""),"",L516/H516-1)</f>
        <v>0.12819420783645663</v>
      </c>
      <c r="N516" s="14" t="n">
        <v>264</v>
      </c>
      <c r="O516" s="14" t="n">
        <v>305</v>
      </c>
      <c r="P516" s="14" t="n">
        <v>338</v>
      </c>
      <c r="Q516" s="14" t="n">
        <v>313</v>
      </c>
      <c r="R516" s="13">
        <f>IF(OR(N(L516)=0,Q516=""),"",Q516/L516)</f>
        <v>0.11815779539448848</v>
      </c>
      <c r="S516" s="14" t="n">
        <v>1997</v>
      </c>
      <c r="T516" s="13">
        <f>IF(OR(N(L516)=0,S516=""),"",S516/L516)</f>
        <v>0.7538693846734617</v>
      </c>
      <c r="U516" s="14" t="n">
        <v>632</v>
      </c>
      <c r="V516" s="13">
        <f>IF(OR(N(L516)=0,U516=""),"",U516/L516)</f>
        <v>0.23858059645149113</v>
      </c>
      <c r="W516" s="14" t="n">
        <v>9552</v>
      </c>
      <c r="X516" s="14" t="n">
        <v>1024</v>
      </c>
      <c r="Y516" s="13">
        <f>IF(OR(N(W516)=0,X516=""),"",X516/W516)</f>
        <v>0.10720268006700168</v>
      </c>
      <c r="Z516" s="11" t="str">
        <f>IF(AA516="A","四季持續盈利",IF(AA516="B","最新季為正/波動",IF(AA516="C","虧損收窄",IF(AA516="D","虧損擴大或轉虧","數據不足"))))</f>
        <v>四季持續盈利</v>
      </c>
      <c r="AA516" s="9" t="str">
        <f>IF(COUNT(N516:Q516)&lt;4,"—",IF(MIN(N516:Q516)&gt;0,"A",IF(Q516&gt;0,"B",IF(Q516&gt;N516,"C","D"))))</f>
        <v>A</v>
      </c>
      <c r="AB516" s="9" t="inlineStr">
        <is>
          <t>2026-07-31</t>
        </is>
      </c>
    </row>
    <row r="517" ht="15" customHeight="1">
      <c r="A517" s="9" t="n">
        <v>516</v>
      </c>
      <c r="B517" s="10" t="inlineStr">
        <is>
          <t>WDC</t>
        </is>
      </c>
      <c r="C517" s="11" t="inlineStr">
        <is>
          <t>記憶體/HBM</t>
        </is>
      </c>
      <c r="D517" s="11" t="inlineStr">
        <is>
          <t>Western Digital Corporation</t>
        </is>
      </c>
      <c r="E517" s="11" t="inlineStr">
        <is>
          <t>C2 NAND</t>
        </is>
      </c>
      <c r="F517" s="9" t="inlineStr">
        <is>
          <t>USD</t>
        </is>
      </c>
      <c r="G517" s="11" t="inlineStr">
        <is>
          <t>25Q2 / 25Q3 / 25Q4 / 26Q1 / 26Q2</t>
        </is>
      </c>
      <c r="H517" s="12" t="n">
        <v>2605</v>
      </c>
      <c r="I517" s="12" t="n">
        <v>2818</v>
      </c>
      <c r="J517" s="12" t="n">
        <v>3017</v>
      </c>
      <c r="K517" s="12" t="n">
        <v>3337</v>
      </c>
      <c r="L517" s="12" t="n">
        <v>3747</v>
      </c>
      <c r="M517" s="13">
        <f>IF(OR(N(H517)=0,L517=""),"",L517/H517-1)</f>
        <v>0.4383877159309022</v>
      </c>
      <c r="N517" s="14" t="n">
        <v>795</v>
      </c>
      <c r="O517" s="14" t="n">
        <v>963</v>
      </c>
      <c r="P517" s="14" t="n">
        <v>1235</v>
      </c>
      <c r="Q517" s="14" t="n">
        <v>1606</v>
      </c>
      <c r="R517" s="13">
        <f>IF(OR(N(L517)=0,Q517=""),"",Q517/L517)</f>
        <v>0.42860955431011477</v>
      </c>
      <c r="S517" s="14" t="n">
        <v>2028</v>
      </c>
      <c r="T517" s="13">
        <f>IF(OR(N(L517)=0,S517=""),"",S517/L517)</f>
        <v>0.5412329863891113</v>
      </c>
      <c r="U517" s="14" t="n">
        <v>3069</v>
      </c>
      <c r="V517" s="13">
        <f>IF(OR(N(L517)=0,U517=""),"",U517/L517)</f>
        <v>0.8190552441953562</v>
      </c>
      <c r="W517" s="14" t="n">
        <v>12919</v>
      </c>
      <c r="X517" s="14" t="n">
        <v>4599</v>
      </c>
      <c r="Y517" s="13">
        <f>IF(OR(N(W517)=0,X517=""),"",X517/W517)</f>
        <v>0.35598730551900304</v>
      </c>
      <c r="Z517" s="11" t="str">
        <f>IF(AA517="A","四季持續盈利",IF(AA517="B","最新季為正/波動",IF(AA517="C","虧損收窄",IF(AA517="D","虧損擴大或轉虧","數據不足"))))</f>
        <v>四季持續盈利</v>
      </c>
      <c r="AA517" s="9" t="str">
        <f>IF(COUNT(N517:Q517)&lt;4,"—",IF(MIN(N517:Q517)&gt;0,"A",IF(Q517&gt;0,"B",IF(Q517&gt;N517,"C","D"))))</f>
        <v>A</v>
      </c>
      <c r="AB517" s="9" t="inlineStr">
        <is>
          <t>2026-06-30</t>
        </is>
      </c>
    </row>
    <row r="518" ht="15" customHeight="1">
      <c r="A518" s="9" t="n">
        <v>517</v>
      </c>
      <c r="B518" s="10" t="inlineStr">
        <is>
          <t>WELL</t>
        </is>
      </c>
      <c r="C518" s="11" t="inlineStr">
        <is>
          <t>醫療與長者住宅REIT</t>
        </is>
      </c>
      <c r="D518" s="11" t="inlineStr">
        <is>
          <t>Welltower Inc.</t>
        </is>
      </c>
      <c r="E518" s="11" t="inlineStr">
        <is>
          <t>REIT - Healthcare Facilities</t>
        </is>
      </c>
      <c r="F518" s="9" t="inlineStr">
        <is>
          <t>USD</t>
        </is>
      </c>
      <c r="G518" s="11" t="inlineStr">
        <is>
          <t>25Q2 / 25Q3 / 25Q4 / 26Q1 / 26Q2</t>
        </is>
      </c>
      <c r="H518" s="12" t="n">
        <v>2516.141</v>
      </c>
      <c r="I518" s="12" t="n">
        <v>2628.061</v>
      </c>
      <c r="J518" s="12" t="n">
        <v>3134.347</v>
      </c>
      <c r="K518" s="12" t="n">
        <v>3305.702</v>
      </c>
      <c r="L518" s="12" t="n"/>
      <c r="M518" s="13" t="str">
        <f>IF(OR(N(H518)=0,L518=""),"",L518/H518-1)</f>
        <v/>
      </c>
      <c r="N518" s="14" t="n">
        <v>476.989</v>
      </c>
      <c r="O518" s="14" t="n">
        <v>-943.73</v>
      </c>
      <c r="P518" s="14" t="n">
        <v>558.424</v>
      </c>
      <c r="Q518" s="14" t="n"/>
      <c r="R518" s="13" t="str">
        <f>IF(OR(N(L518)=0,Q518=""),"",Q518/L518)</f>
        <v/>
      </c>
      <c r="S518" s="14" t="n"/>
      <c r="T518" s="13" t="str">
        <f>IF(OR(N(L518)=0,S518=""),"",S518/L518)</f>
        <v/>
      </c>
      <c r="U518" s="14" t="n"/>
      <c r="V518" s="13" t="str">
        <f>IF(OR(N(L518)=0,U518=""),"",U518/L518)</f>
        <v/>
      </c>
      <c r="W518" s="14" t="n">
        <v>10667.136</v>
      </c>
      <c r="X518" s="14" t="n">
        <v>355.168</v>
      </c>
      <c r="Y518" s="13">
        <f>IF(OR(N(W518)=0,X518=""),"",X518/W518)</f>
        <v>0.03329553499646015</v>
      </c>
      <c r="Z518" s="11" t="str">
        <f>IF(AA518="A","四季持續盈利",IF(AA518="B","最新季為正/波動",IF(AA518="C","虧損收窄",IF(AA518="D","虧損擴大或轉虧","數據不足"))))</f>
        <v>數據不足</v>
      </c>
      <c r="AA518" s="9" t="str">
        <f>IF(COUNT(N518:Q518)&lt;4,"—",IF(MIN(N518:Q518)&gt;0,"A",IF(Q518&gt;0,"B",IF(Q518&gt;N518,"C","D"))))</f>
        <v>—</v>
      </c>
      <c r="AB518" s="9" t="inlineStr">
        <is>
          <t>2026-06-30</t>
        </is>
      </c>
    </row>
    <row r="519" ht="15" customHeight="1">
      <c r="A519" s="9" t="n">
        <v>518</v>
      </c>
      <c r="B519" s="10" t="inlineStr">
        <is>
          <t>WFC</t>
        </is>
      </c>
      <c r="C519" s="11" t="inlineStr">
        <is>
          <t>大型全能銀行</t>
        </is>
      </c>
      <c r="D519" s="11" t="inlineStr">
        <is>
          <t>Wells Fargo &amp; Company</t>
        </is>
      </c>
      <c r="E519" s="11" t="inlineStr">
        <is>
          <t>Banks - Diversified</t>
        </is>
      </c>
      <c r="F519" s="9" t="inlineStr">
        <is>
          <t>USD</t>
        </is>
      </c>
      <c r="G519" s="11" t="inlineStr">
        <is>
          <t>25Q2 / 25Q3 / 25Q4 / 26Q1 / 26Q2</t>
        </is>
      </c>
      <c r="H519" s="12" t="n">
        <v>20569</v>
      </c>
      <c r="I519" s="12" t="n">
        <v>21436</v>
      </c>
      <c r="J519" s="12" t="n">
        <v>21292</v>
      </c>
      <c r="K519" s="12" t="n">
        <v>21446</v>
      </c>
      <c r="L519" s="12" t="n">
        <v>22622</v>
      </c>
      <c r="M519" s="13">
        <f>IF(OR(N(H519)=0,L519=""),"",L519/H519-1)</f>
        <v>0.09981039428265848</v>
      </c>
      <c r="N519" s="14" t="n"/>
      <c r="O519" s="14" t="n"/>
      <c r="P519" s="14" t="n"/>
      <c r="Q519" s="14" t="n"/>
      <c r="R519" s="13" t="str">
        <f>IF(OR(N(L519)=0,Q519=""),"",Q519/L519)</f>
        <v/>
      </c>
      <c r="S519" s="14" t="n"/>
      <c r="T519" s="13" t="str">
        <f>IF(OR(N(L519)=0,S519=""),"",S519/L519)</f>
        <v/>
      </c>
      <c r="U519" s="14" t="n">
        <v>6407</v>
      </c>
      <c r="V519" s="13">
        <f>IF(OR(N(L519)=0,U519=""),"",U519/L519)</f>
        <v>0.2832198744584917</v>
      </c>
      <c r="W519" s="14" t="n">
        <v>83699</v>
      </c>
      <c r="X519" s="14" t="n"/>
      <c r="Y519" s="13" t="str">
        <f>IF(OR(N(W519)=0,X519=""),"",X519/W519)</f>
        <v/>
      </c>
      <c r="Z519" s="11" t="str">
        <f>IF(AA519="A","四季持續盈利",IF(AA519="B","最新季為正/波動",IF(AA519="C","虧損收窄",IF(AA519="D","虧損擴大或轉虧","數據不足"))))</f>
        <v>數據不足</v>
      </c>
      <c r="AA519" s="9" t="str">
        <f>IF(COUNT(N519:Q519)&lt;4,"—",IF(MIN(N519:Q519)&gt;0,"A",IF(Q519&gt;0,"B",IF(Q519&gt;N519,"C","D"))))</f>
        <v>—</v>
      </c>
      <c r="AB519" s="9" t="inlineStr">
        <is>
          <t>2026-06-30</t>
        </is>
      </c>
    </row>
    <row r="520" ht="15" customHeight="1">
      <c r="A520" s="9" t="n">
        <v>519</v>
      </c>
      <c r="B520" s="10" t="inlineStr">
        <is>
          <t>WFRD</t>
        </is>
      </c>
      <c r="C520" s="11" t="inlineStr">
        <is>
          <t>油田服務</t>
        </is>
      </c>
      <c r="D520" s="11" t="inlineStr">
        <is>
          <t>Weatherford International plc</t>
        </is>
      </c>
      <c r="E520" s="11" t="inlineStr">
        <is>
          <t>Oil &amp; Gas Equipment &amp; Services</t>
        </is>
      </c>
      <c r="F520" s="9" t="inlineStr">
        <is>
          <t>USD</t>
        </is>
      </c>
      <c r="G520" s="11" t="inlineStr">
        <is>
          <t>25Q2 / 25Q3 / 25Q4 / 26Q1 / 26Q2</t>
        </is>
      </c>
      <c r="H520" s="12" t="n">
        <v>1204</v>
      </c>
      <c r="I520" s="12" t="n">
        <v>1232</v>
      </c>
      <c r="J520" s="12" t="n">
        <v>1289</v>
      </c>
      <c r="K520" s="12" t="n">
        <v>1152</v>
      </c>
      <c r="L520" s="12" t="n">
        <v>1105</v>
      </c>
      <c r="M520" s="13">
        <f>IF(OR(N(H520)=0,L520=""),"",L520/H520-1)</f>
        <v>-0.08222591362126241</v>
      </c>
      <c r="N520" s="14" t="n">
        <v>178</v>
      </c>
      <c r="O520" s="14" t="n">
        <v>187</v>
      </c>
      <c r="P520" s="14" t="n">
        <v>136</v>
      </c>
      <c r="Q520" s="14" t="n">
        <v>116</v>
      </c>
      <c r="R520" s="13">
        <f>IF(OR(N(L520)=0,Q520=""),"",Q520/L520)</f>
        <v>0.10497737556561086</v>
      </c>
      <c r="S520" s="14" t="n">
        <v>333</v>
      </c>
      <c r="T520" s="13">
        <f>IF(OR(N(L520)=0,S520=""),"",S520/L520)</f>
        <v>0.3013574660633484</v>
      </c>
      <c r="U520" s="14" t="n">
        <v>39</v>
      </c>
      <c r="V520" s="13">
        <f>IF(OR(N(L520)=0,U520=""),"",U520/L520)</f>
        <v>0.03529411764705882</v>
      </c>
      <c r="W520" s="14" t="n">
        <v>4918</v>
      </c>
      <c r="X520" s="14" t="n">
        <v>744</v>
      </c>
      <c r="Y520" s="13">
        <f>IF(OR(N(W520)=0,X520=""),"",X520/W520)</f>
        <v>0.15128100854005694</v>
      </c>
      <c r="Z520" s="11" t="str">
        <f>IF(AA520="A","四季持續盈利",IF(AA520="B","最新季為正/波動",IF(AA520="C","虧損收窄",IF(AA520="D","虧損擴大或轉虧","數據不足"))))</f>
        <v>四季持續盈利</v>
      </c>
      <c r="AA520" s="9" t="str">
        <f>IF(COUNT(N520:Q520)&lt;4,"—",IF(MIN(N520:Q520)&gt;0,"A",IF(Q520&gt;0,"B",IF(Q520&gt;N520,"C","D"))))</f>
        <v>A</v>
      </c>
      <c r="AB520" s="9" t="inlineStr">
        <is>
          <t>2026-06-30</t>
        </is>
      </c>
    </row>
    <row r="521" ht="15" customHeight="1">
      <c r="A521" s="9" t="n">
        <v>520</v>
      </c>
      <c r="B521" s="10" t="inlineStr">
        <is>
          <t>WHR</t>
        </is>
      </c>
      <c r="C521" s="11" t="inlineStr">
        <is>
          <t>家居耐用與休閒用品</t>
        </is>
      </c>
      <c r="D521" s="11" t="inlineStr">
        <is>
          <t>Whirlpool Corporation</t>
        </is>
      </c>
      <c r="E521" s="11" t="inlineStr">
        <is>
          <t>Furnishings, Fixtures &amp; Appliances</t>
        </is>
      </c>
      <c r="F521" s="9" t="inlineStr">
        <is>
          <t>USD</t>
        </is>
      </c>
      <c r="G521" s="11" t="inlineStr">
        <is>
          <t>25Q2 / 25Q3 / 25Q4 / 26Q1 / 26Q2</t>
        </is>
      </c>
      <c r="H521" s="12" t="n">
        <v>3773</v>
      </c>
      <c r="I521" s="12" t="n">
        <v>4033</v>
      </c>
      <c r="J521" s="12" t="n">
        <v>4098</v>
      </c>
      <c r="K521" s="12" t="n">
        <v>3273</v>
      </c>
      <c r="L521" s="12" t="n">
        <v>3517</v>
      </c>
      <c r="M521" s="13">
        <f>IF(OR(N(H521)=0,L521=""),"",L521/H521-1)</f>
        <v>-0.06785051683010868</v>
      </c>
      <c r="N521" s="14" t="n">
        <v>182</v>
      </c>
      <c r="O521" s="14" t="n">
        <v>145</v>
      </c>
      <c r="P521" s="14" t="n">
        <v>50</v>
      </c>
      <c r="Q521" s="14" t="n">
        <v>65</v>
      </c>
      <c r="R521" s="13">
        <f>IF(OR(N(L521)=0,Q521=""),"",Q521/L521)</f>
        <v>0.018481660506113166</v>
      </c>
      <c r="S521" s="14" t="n">
        <v>442</v>
      </c>
      <c r="T521" s="13">
        <f>IF(OR(N(L521)=0,S521=""),"",S521/L521)</f>
        <v>0.12567529144156953</v>
      </c>
      <c r="U521" s="14" t="n">
        <v>88</v>
      </c>
      <c r="V521" s="13">
        <f>IF(OR(N(L521)=0,U521=""),"",U521/L521)</f>
        <v>0.02502132499289167</v>
      </c>
      <c r="W521" s="14" t="n">
        <v>15524</v>
      </c>
      <c r="X521" s="14" t="n">
        <v>727</v>
      </c>
      <c r="Y521" s="13">
        <f>IF(OR(N(W521)=0,X521=""),"",X521/W521)</f>
        <v>0.04683071373357382</v>
      </c>
      <c r="Z521" s="11" t="str">
        <f>IF(AA521="A","四季持續盈利",IF(AA521="B","最新季為正/波動",IF(AA521="C","虧損收窄",IF(AA521="D","虧損擴大或轉虧","數據不足"))))</f>
        <v>四季持續盈利</v>
      </c>
      <c r="AA521" s="9" t="str">
        <f>IF(COUNT(N521:Q521)&lt;4,"—",IF(MIN(N521:Q521)&gt;0,"A",IF(Q521&gt;0,"B",IF(Q521&gt;N521,"C","D"))))</f>
        <v>A</v>
      </c>
      <c r="AB521" s="9" t="inlineStr">
        <is>
          <t>2026-06-30</t>
        </is>
      </c>
    </row>
    <row r="522" ht="15" customHeight="1">
      <c r="A522" s="9" t="n">
        <v>521</v>
      </c>
      <c r="B522" s="10" t="inlineStr">
        <is>
          <t>WM</t>
        </is>
      </c>
      <c r="C522" s="11" t="inlineStr">
        <is>
          <t>廢物管理與環境服務</t>
        </is>
      </c>
      <c r="D522" s="11" t="inlineStr">
        <is>
          <t>Waste Management, Inc.</t>
        </is>
      </c>
      <c r="E522" s="11" t="inlineStr">
        <is>
          <t>Waste Management</t>
        </is>
      </c>
      <c r="F522" s="9" t="inlineStr">
        <is>
          <t>USD</t>
        </is>
      </c>
      <c r="G522" s="11" t="inlineStr">
        <is>
          <t>25Q2 / 25Q3 / 25Q4 / 26Q1 / 26Q2</t>
        </is>
      </c>
      <c r="H522" s="12" t="n">
        <v>6430</v>
      </c>
      <c r="I522" s="12" t="n">
        <v>6443</v>
      </c>
      <c r="J522" s="12" t="n">
        <v>6313</v>
      </c>
      <c r="K522" s="12" t="n">
        <v>6227</v>
      </c>
      <c r="L522" s="12" t="n">
        <v>6684</v>
      </c>
      <c r="M522" s="13">
        <f>IF(OR(N(H522)=0,L522=""),"",L522/H522-1)</f>
        <v>0.039502332814929986</v>
      </c>
      <c r="N522" s="14" t="n">
        <v>1216</v>
      </c>
      <c r="O522" s="14" t="n">
        <v>1176</v>
      </c>
      <c r="P522" s="14" t="n">
        <v>1091</v>
      </c>
      <c r="Q522" s="14" t="n">
        <v>1269</v>
      </c>
      <c r="R522" s="13">
        <f>IF(OR(N(L522)=0,Q522=""),"",Q522/L522)</f>
        <v>0.18985637342908437</v>
      </c>
      <c r="S522" s="14" t="n">
        <v>2729</v>
      </c>
      <c r="T522" s="13">
        <f>IF(OR(N(L522)=0,S522=""),"",S522/L522)</f>
        <v>0.4082884500299222</v>
      </c>
      <c r="U522" s="14" t="n">
        <v>785</v>
      </c>
      <c r="V522" s="13">
        <f>IF(OR(N(L522)=0,U522=""),"",U522/L522)</f>
        <v>0.11744464392579294</v>
      </c>
      <c r="W522" s="14" t="n">
        <v>25204</v>
      </c>
      <c r="X522" s="14" t="n">
        <v>4607</v>
      </c>
      <c r="Y522" s="13">
        <f>IF(OR(N(W522)=0,X522=""),"",X522/W522)</f>
        <v>0.18278844627836852</v>
      </c>
      <c r="Z522" s="11" t="str">
        <f>IF(AA522="A","四季持續盈利",IF(AA522="B","最新季為正/波動",IF(AA522="C","虧損收窄",IF(AA522="D","虧損擴大或轉虧","數據不足"))))</f>
        <v>四季持續盈利</v>
      </c>
      <c r="AA522" s="9" t="str">
        <f>IF(COUNT(N522:Q522)&lt;4,"—",IF(MIN(N522:Q522)&gt;0,"A",IF(Q522&gt;0,"B",IF(Q522&gt;N522,"C","D"))))</f>
        <v>A</v>
      </c>
      <c r="AB522" s="9" t="inlineStr">
        <is>
          <t>2026-06-30</t>
        </is>
      </c>
    </row>
    <row r="523" ht="15" customHeight="1">
      <c r="A523" s="9" t="n">
        <v>522</v>
      </c>
      <c r="B523" s="10" t="inlineStr">
        <is>
          <t>WMB</t>
        </is>
      </c>
      <c r="C523" s="11" t="inlineStr">
        <is>
          <t>中游與管道</t>
        </is>
      </c>
      <c r="D523" s="11" t="inlineStr">
        <is>
          <t>The Williams Companies, Inc.</t>
        </is>
      </c>
      <c r="E523" s="11" t="inlineStr">
        <is>
          <t>Oil &amp; Gas Midstream</t>
        </is>
      </c>
      <c r="F523" s="9" t="inlineStr">
        <is>
          <t>USD</t>
        </is>
      </c>
      <c r="G523" s="11" t="inlineStr">
        <is>
          <t>25Q2 / 25Q3 / 25Q4 / 26Q1 / 26Q2</t>
        </is>
      </c>
      <c r="H523" s="12" t="n">
        <v>2781</v>
      </c>
      <c r="I523" s="12" t="n">
        <v>2923</v>
      </c>
      <c r="J523" s="12" t="n">
        <v>3198</v>
      </c>
      <c r="K523" s="12" t="n">
        <v>3030</v>
      </c>
      <c r="L523" s="12" t="n">
        <v>3053</v>
      </c>
      <c r="M523" s="13">
        <f>IF(OR(N(H523)=0,L523=""),"",L523/H523-1)</f>
        <v>0.09780654440848613</v>
      </c>
      <c r="N523" s="14" t="n">
        <v>1109</v>
      </c>
      <c r="O523" s="14" t="n">
        <v>1260</v>
      </c>
      <c r="P523" s="14" t="n">
        <v>1139</v>
      </c>
      <c r="Q523" s="14" t="n">
        <v>1170</v>
      </c>
      <c r="R523" s="13">
        <f>IF(OR(N(L523)=0,Q523=""),"",Q523/L523)</f>
        <v>0.3832296102194563</v>
      </c>
      <c r="S523" s="14" t="n">
        <v>1946</v>
      </c>
      <c r="T523" s="13">
        <f>IF(OR(N(L523)=0,S523=""),"",S523/L523)</f>
        <v>0.6374058303308221</v>
      </c>
      <c r="U523" s="14" t="n">
        <v>827</v>
      </c>
      <c r="V523" s="13">
        <f>IF(OR(N(L523)=0,U523=""),"",U523/L523)</f>
        <v>0.27088110055682935</v>
      </c>
      <c r="W523" s="14" t="n">
        <v>11950</v>
      </c>
      <c r="X523" s="14" t="n">
        <v>4408</v>
      </c>
      <c r="Y523" s="13">
        <f>IF(OR(N(W523)=0,X523=""),"",X523/W523)</f>
        <v>0.36887029288702927</v>
      </c>
      <c r="Z523" s="11" t="str">
        <f>IF(AA523="A","四季持續盈利",IF(AA523="B","最新季為正/波動",IF(AA523="C","虧損收窄",IF(AA523="D","虧損擴大或轉虧","數據不足"))))</f>
        <v>四季持續盈利</v>
      </c>
      <c r="AA523" s="9" t="str">
        <f>IF(COUNT(N523:Q523)&lt;4,"—",IF(MIN(N523:Q523)&gt;0,"A",IF(Q523&gt;0,"B",IF(Q523&gt;N523,"C","D"))))</f>
        <v>A</v>
      </c>
      <c r="AB523" s="9" t="inlineStr">
        <is>
          <t>2026-06-30</t>
        </is>
      </c>
    </row>
    <row r="524" ht="15" customHeight="1">
      <c r="A524" s="9" t="n">
        <v>523</v>
      </c>
      <c r="B524" s="10" t="inlineStr">
        <is>
          <t>WMT</t>
        </is>
      </c>
      <c r="C524" s="11" t="inlineStr">
        <is>
          <t>大賣場與超巿</t>
        </is>
      </c>
      <c r="D524" s="11" t="inlineStr">
        <is>
          <t>Walmart Inc.</t>
        </is>
      </c>
      <c r="E524" s="11" t="inlineStr">
        <is>
          <t>Discount Stores</t>
        </is>
      </c>
      <c r="F524" s="9" t="inlineStr">
        <is>
          <t>USD</t>
        </is>
      </c>
      <c r="G524" s="11" t="inlineStr">
        <is>
          <t>25Q3 / 25Q4 / 26Q1 / 26Q2 / 26Q3</t>
        </is>
      </c>
      <c r="H524" s="12" t="n">
        <v>177402</v>
      </c>
      <c r="I524" s="12" t="n">
        <v>179496</v>
      </c>
      <c r="J524" s="12" t="n">
        <v>190656</v>
      </c>
      <c r="K524" s="12" t="n">
        <v>177751</v>
      </c>
      <c r="L524" s="12" t="n">
        <v>187937</v>
      </c>
      <c r="M524" s="13">
        <f>IF(OR(N(H524)=0,L524=""),"",L524/H524-1)</f>
        <v>0.05938489983201989</v>
      </c>
      <c r="N524" s="14" t="n">
        <v>6696</v>
      </c>
      <c r="O524" s="14" t="n">
        <v>8708</v>
      </c>
      <c r="P524" s="14" t="n">
        <v>7493</v>
      </c>
      <c r="Q524" s="14" t="n">
        <v>9383</v>
      </c>
      <c r="R524" s="13">
        <f>IF(OR(N(L524)=0,Q524=""),"",Q524/L524)</f>
        <v>0.04992630509159984</v>
      </c>
      <c r="S524" s="14" t="n">
        <v>49133</v>
      </c>
      <c r="T524" s="13">
        <f>IF(OR(N(L524)=0,S524=""),"",S524/L524)</f>
        <v>0.261433352666053</v>
      </c>
      <c r="U524" s="14" t="n">
        <v>6366</v>
      </c>
      <c r="V524" s="13">
        <f>IF(OR(N(L524)=0,U524=""),"",U524/L524)</f>
        <v>0.033873053203999214</v>
      </c>
      <c r="W524" s="14" t="n">
        <v>713163</v>
      </c>
      <c r="X524" s="14" t="n">
        <v>29825</v>
      </c>
      <c r="Y524" s="13">
        <f>IF(OR(N(W524)=0,X524=""),"",X524/W524)</f>
        <v>0.041820733829433104</v>
      </c>
      <c r="Z524" s="11" t="str">
        <f>IF(AA524="A","四季持續盈利",IF(AA524="B","最新季為正/波動",IF(AA524="C","虧損收窄",IF(AA524="D","虧損擴大或轉虧","數據不足"))))</f>
        <v>四季持續盈利</v>
      </c>
      <c r="AA524" s="9" t="str">
        <f>IF(COUNT(N524:Q524)&lt;4,"—",IF(MIN(N524:Q524)&gt;0,"A",IF(Q524&gt;0,"B",IF(Q524&gt;N524,"C","D"))))</f>
        <v>A</v>
      </c>
      <c r="AB524" s="9" t="inlineStr">
        <is>
          <t>2026-07-31</t>
        </is>
      </c>
    </row>
    <row r="525" ht="15" customHeight="1">
      <c r="A525" s="9" t="n">
        <v>524</v>
      </c>
      <c r="B525" s="10" t="inlineStr">
        <is>
          <t>WTRG</t>
        </is>
      </c>
      <c r="C525" s="11" t="inlineStr">
        <is>
          <t>水務公用</t>
        </is>
      </c>
      <c r="D525" s="11" t="inlineStr">
        <is>
          <t>Essential Utilities, Inc.</t>
        </is>
      </c>
      <c r="E525" s="11" t="inlineStr">
        <is>
          <t>Utilities - Regulated Water</t>
        </is>
      </c>
      <c r="F525" s="9" t="inlineStr">
        <is>
          <t>USD</t>
        </is>
      </c>
      <c r="G525" s="11" t="inlineStr">
        <is>
          <t>25Q2 / 25Q3 / 25Q4 / 26Q1 / 26Q2</t>
        </is>
      </c>
      <c r="H525" s="12" t="n">
        <v>514.907</v>
      </c>
      <c r="I525" s="12" t="n">
        <v>476.971</v>
      </c>
      <c r="J525" s="12" t="n">
        <v>699.111</v>
      </c>
      <c r="K525" s="12" t="n">
        <v>861.759</v>
      </c>
      <c r="L525" s="12" t="n">
        <v>530.854</v>
      </c>
      <c r="M525" s="13">
        <f>IF(OR(N(H525)=0,L525=""),"",L525/H525-1)</f>
        <v>0.030970641300273716</v>
      </c>
      <c r="N525" s="14" t="n">
        <v>169.771</v>
      </c>
      <c r="O525" s="14" t="n">
        <v>227.004</v>
      </c>
      <c r="P525" s="14" t="n">
        <v>310.64</v>
      </c>
      <c r="Q525" s="14" t="n">
        <v>193.273</v>
      </c>
      <c r="R525" s="13">
        <f>IF(OR(N(L525)=0,Q525=""),"",Q525/L525)</f>
        <v>0.3640793890598921</v>
      </c>
      <c r="S525" s="14" t="n">
        <v>331.018</v>
      </c>
      <c r="T525" s="13">
        <f>IF(OR(N(L525)=0,S525=""),"",S525/L525)</f>
        <v>0.6235575129885053</v>
      </c>
      <c r="U525" s="14" t="n">
        <v>105.725</v>
      </c>
      <c r="V525" s="13">
        <f>IF(OR(N(L525)=0,U525=""),"",U525/L525)</f>
        <v>0.1991602210777351</v>
      </c>
      <c r="W525" s="14" t="n">
        <v>2474.615</v>
      </c>
      <c r="X525" s="14" t="n">
        <v>920.951</v>
      </c>
      <c r="Y525" s="13">
        <f>IF(OR(N(W525)=0,X525=""),"",X525/W525)</f>
        <v>0.3721593055889502</v>
      </c>
      <c r="Z525" s="11" t="str">
        <f>IF(AA525="A","四季持續盈利",IF(AA525="B","最新季為正/波動",IF(AA525="C","虧損收窄",IF(AA525="D","虧損擴大或轉虧","數據不足"))))</f>
        <v>四季持續盈利</v>
      </c>
      <c r="AA525" s="9" t="str">
        <f>IF(COUNT(N525:Q525)&lt;4,"—",IF(MIN(N525:Q525)&gt;0,"A",IF(Q525&gt;0,"B",IF(Q525&gt;N525,"C","D"))))</f>
        <v>A</v>
      </c>
      <c r="AB525" s="9" t="inlineStr">
        <is>
          <t>2026-06-30</t>
        </is>
      </c>
    </row>
    <row r="526" ht="15" customHeight="1">
      <c r="A526" s="9" t="n">
        <v>525</v>
      </c>
      <c r="B526" s="10" t="inlineStr">
        <is>
          <t>WTW</t>
        </is>
      </c>
      <c r="C526" s="11" t="inlineStr">
        <is>
          <t>保險經紀</t>
        </is>
      </c>
      <c r="D526" s="11" t="inlineStr">
        <is>
          <t>Willis Towers Watson Public Limited Company</t>
        </is>
      </c>
      <c r="E526" s="11" t="inlineStr">
        <is>
          <t>Insurance Brokers</t>
        </is>
      </c>
      <c r="F526" s="9" t="inlineStr">
        <is>
          <t>USD</t>
        </is>
      </c>
      <c r="G526" s="11" t="inlineStr">
        <is>
          <t>25Q2 / 25Q3 / 25Q4 / 26Q1 / 26Q2</t>
        </is>
      </c>
      <c r="H526" s="12" t="n">
        <v>2261</v>
      </c>
      <c r="I526" s="12" t="n">
        <v>2288</v>
      </c>
      <c r="J526" s="12" t="n">
        <v>2936</v>
      </c>
      <c r="K526" s="12" t="n">
        <v>2412</v>
      </c>
      <c r="L526" s="12" t="n">
        <v>2466</v>
      </c>
      <c r="M526" s="13">
        <f>IF(OR(N(H526)=0,L526=""),"",L526/H526-1)</f>
        <v>0.0906678460858028</v>
      </c>
      <c r="N526" s="14" t="n">
        <v>420</v>
      </c>
      <c r="O526" s="14" t="n">
        <v>1035</v>
      </c>
      <c r="P526" s="14" t="n">
        <v>489</v>
      </c>
      <c r="Q526" s="14" t="n">
        <v>425</v>
      </c>
      <c r="R526" s="13">
        <f>IF(OR(N(L526)=0,Q526=""),"",Q526/L526)</f>
        <v>0.17234387672343876</v>
      </c>
      <c r="S526" s="14" t="n">
        <v>915</v>
      </c>
      <c r="T526" s="13">
        <f>IF(OR(N(L526)=0,S526=""),"",S526/L526)</f>
        <v>0.3710462287104623</v>
      </c>
      <c r="U526" s="14" t="n">
        <v>229</v>
      </c>
      <c r="V526" s="13">
        <f>IF(OR(N(L526)=0,U526=""),"",U526/L526)</f>
        <v>0.09286293592862936</v>
      </c>
      <c r="W526" s="14" t="n">
        <v>9708</v>
      </c>
      <c r="X526" s="14" t="n">
        <v>2257</v>
      </c>
      <c r="Y526" s="13">
        <f>IF(OR(N(W526)=0,X526=""),"",X526/W526)</f>
        <v>0.23248866913885455</v>
      </c>
      <c r="Z526" s="11" t="str">
        <f>IF(AA526="A","四季持續盈利",IF(AA526="B","最新季為正/波動",IF(AA526="C","虧損收窄",IF(AA526="D","虧損擴大或轉虧","數據不足"))))</f>
        <v>四季持續盈利</v>
      </c>
      <c r="AA526" s="9" t="str">
        <f>IF(COUNT(N526:Q526)&lt;4,"—",IF(MIN(N526:Q526)&gt;0,"A",IF(Q526&gt;0,"B",IF(Q526&gt;N526,"C","D"))))</f>
        <v>A</v>
      </c>
      <c r="AB526" s="9" t="inlineStr">
        <is>
          <t>2026-06-30</t>
        </is>
      </c>
    </row>
    <row r="527" ht="15" customHeight="1">
      <c r="A527" s="9" t="n">
        <v>526</v>
      </c>
      <c r="B527" s="10" t="inlineStr">
        <is>
          <t>XEL</t>
        </is>
      </c>
      <c r="C527" s="11" t="inlineStr">
        <is>
          <t>受監管電力公用</t>
        </is>
      </c>
      <c r="D527" s="11" t="inlineStr">
        <is>
          <t>Xcel Energy Inc.</t>
        </is>
      </c>
      <c r="E527" s="11" t="inlineStr">
        <is>
          <t>Utilities - Regulated Electric</t>
        </is>
      </c>
      <c r="F527" s="9" t="inlineStr">
        <is>
          <t>USD</t>
        </is>
      </c>
      <c r="G527" s="11" t="inlineStr">
        <is>
          <t>25Q2 / 25Q3 / 25Q4 / 26Q1 / 26Q2</t>
        </is>
      </c>
      <c r="H527" s="12" t="n">
        <v>3287</v>
      </c>
      <c r="I527" s="12" t="n">
        <v>3915</v>
      </c>
      <c r="J527" s="12" t="n">
        <v>3561</v>
      </c>
      <c r="K527" s="12" t="n">
        <v>4021</v>
      </c>
      <c r="L527" s="12" t="n">
        <v>3119</v>
      </c>
      <c r="M527" s="13">
        <f>IF(OR(N(H527)=0,L527=""),"",L527/H527-1)</f>
        <v>-0.05111043504715551</v>
      </c>
      <c r="N527" s="14" t="n">
        <v>1036</v>
      </c>
      <c r="O527" s="14" t="n">
        <v>589</v>
      </c>
      <c r="P527" s="14" t="n">
        <v>732</v>
      </c>
      <c r="Q527" s="14" t="n">
        <v>709</v>
      </c>
      <c r="R527" s="13">
        <f>IF(OR(N(L527)=0,Q527=""),"",Q527/L527)</f>
        <v>0.22731644757935235</v>
      </c>
      <c r="S527" s="14" t="n">
        <v>1655</v>
      </c>
      <c r="T527" s="13">
        <f>IF(OR(N(L527)=0,S527=""),"",S527/L527)</f>
        <v>0.5306187880731004</v>
      </c>
      <c r="U527" s="14" t="n">
        <v>586</v>
      </c>
      <c r="V527" s="13">
        <f>IF(OR(N(L527)=0,U527=""),"",U527/L527)</f>
        <v>0.18788073100352679</v>
      </c>
      <c r="W527" s="14" t="n">
        <v>14669</v>
      </c>
      <c r="X527" s="14" t="n">
        <v>2879</v>
      </c>
      <c r="Y527" s="13">
        <f>IF(OR(N(W527)=0,X527=""),"",X527/W527)</f>
        <v>0.19626423069057194</v>
      </c>
      <c r="Z527" s="11" t="str">
        <f>IF(AA527="A","四季持續盈利",IF(AA527="B","最新季為正/波動",IF(AA527="C","虧損收窄",IF(AA527="D","虧損擴大或轉虧","數據不足"))))</f>
        <v>四季持續盈利</v>
      </c>
      <c r="AA527" s="9" t="str">
        <f>IF(COUNT(N527:Q527)&lt;4,"—",IF(MIN(N527:Q527)&gt;0,"A",IF(Q527&gt;0,"B",IF(Q527&gt;N527,"C","D"))))</f>
        <v>A</v>
      </c>
      <c r="AB527" s="9" t="inlineStr">
        <is>
          <t>2026-06-30</t>
        </is>
      </c>
    </row>
    <row r="528" ht="15" customHeight="1">
      <c r="A528" s="9" t="n">
        <v>527</v>
      </c>
      <c r="B528" s="10" t="inlineStr">
        <is>
          <t>XOM</t>
        </is>
      </c>
      <c r="C528" s="11" t="inlineStr">
        <is>
          <t>綜合油氣巨頭</t>
        </is>
      </c>
      <c r="D528" s="11" t="inlineStr">
        <is>
          <t>ExxonMobil Holdings Corporation</t>
        </is>
      </c>
      <c r="E528" s="11" t="inlineStr">
        <is>
          <t>Oil &amp; Gas Integrated</t>
        </is>
      </c>
      <c r="F528" s="9" t="inlineStr">
        <is>
          <t>USD</t>
        </is>
      </c>
      <c r="G528" s="11" t="inlineStr">
        <is>
          <t>25Q2 / 25Q3 / 25Q4 / 26Q1 / 26Q2</t>
        </is>
      </c>
      <c r="H528" s="12" t="n">
        <v>79477</v>
      </c>
      <c r="I528" s="12" t="n">
        <v>83331</v>
      </c>
      <c r="J528" s="12" t="n">
        <v>80039</v>
      </c>
      <c r="K528" s="12" t="n">
        <v>83161</v>
      </c>
      <c r="L528" s="12" t="n">
        <v>114529</v>
      </c>
      <c r="M528" s="13">
        <f>IF(OR(N(H528)=0,L528=""),"",L528/H528-1)</f>
        <v>0.4410332549039344</v>
      </c>
      <c r="N528" s="14" t="n">
        <v>9178</v>
      </c>
      <c r="O528" s="14" t="n">
        <v>6003</v>
      </c>
      <c r="P528" s="14" t="n">
        <v>5347</v>
      </c>
      <c r="Q528" s="14" t="n">
        <v>18195</v>
      </c>
      <c r="R528" s="13">
        <f>IF(OR(N(L528)=0,Q528=""),"",Q528/L528)</f>
        <v>0.158868059618088</v>
      </c>
      <c r="S528" s="14" t="n">
        <v>25789</v>
      </c>
      <c r="T528" s="13">
        <f>IF(OR(N(L528)=0,S528=""),"",S528/L528)</f>
        <v>0.2251744099747662</v>
      </c>
      <c r="U528" s="14" t="n">
        <v>14525</v>
      </c>
      <c r="V528" s="13">
        <f>IF(OR(N(L528)=0,U528=""),"",U528/L528)</f>
        <v>0.12682377389132884</v>
      </c>
      <c r="W528" s="14" t="n">
        <v>323905</v>
      </c>
      <c r="X528" s="14" t="n">
        <v>33938</v>
      </c>
      <c r="Y528" s="13">
        <f>IF(OR(N(W528)=0,X528=""),"",X528/W528)</f>
        <v>0.10477763541779225</v>
      </c>
      <c r="Z528" s="11" t="str">
        <f>IF(AA528="A","四季持續盈利",IF(AA528="B","最新季為正/波動",IF(AA528="C","虧損收窄",IF(AA528="D","虧損擴大或轉虧","數據不足"))))</f>
        <v>四季持續盈利</v>
      </c>
      <c r="AA528" s="9" t="str">
        <f>IF(COUNT(N528:Q528)&lt;4,"—",IF(MIN(N528:Q528)&gt;0,"A",IF(Q528&gt;0,"B",IF(Q528&gt;N528,"C","D"))))</f>
        <v>A</v>
      </c>
      <c r="AB528" s="9" t="inlineStr">
        <is>
          <t>2026-06-30</t>
        </is>
      </c>
    </row>
    <row r="529" ht="15" customHeight="1">
      <c r="A529" s="9" t="n">
        <v>528</v>
      </c>
      <c r="B529" s="10" t="inlineStr">
        <is>
          <t>XPO</t>
        </is>
      </c>
      <c r="C529" s="11" t="inlineStr">
        <is>
          <t>貨運與物流</t>
        </is>
      </c>
      <c r="D529" s="11" t="inlineStr">
        <is>
          <t>XPO, Inc.</t>
        </is>
      </c>
      <c r="E529" s="11" t="inlineStr">
        <is>
          <t>Trucking</t>
        </is>
      </c>
      <c r="F529" s="9" t="inlineStr">
        <is>
          <t>USD</t>
        </is>
      </c>
      <c r="G529" s="11" t="inlineStr">
        <is>
          <t>25Q2 / 25Q3 / 25Q4 / 26Q1 / 26Q2</t>
        </is>
      </c>
      <c r="H529" s="12" t="n">
        <v>2080</v>
      </c>
      <c r="I529" s="12" t="n">
        <v>2111</v>
      </c>
      <c r="J529" s="12" t="n">
        <v>2011</v>
      </c>
      <c r="K529" s="12" t="n">
        <v>2096</v>
      </c>
      <c r="L529" s="12" t="n">
        <v>2355</v>
      </c>
      <c r="M529" s="13">
        <f>IF(OR(N(H529)=0,L529=""),"",L529/H529-1)</f>
        <v>0.13221153846153855</v>
      </c>
      <c r="N529" s="14" t="n">
        <v>207</v>
      </c>
      <c r="O529" s="14" t="n">
        <v>162</v>
      </c>
      <c r="P529" s="14" t="n">
        <v>184</v>
      </c>
      <c r="Q529" s="14" t="n">
        <v>290</v>
      </c>
      <c r="R529" s="13">
        <f>IF(OR(N(L529)=0,Q529=""),"",Q529/L529)</f>
        <v>0.12314225053078556</v>
      </c>
      <c r="S529" s="14" t="n">
        <v>352</v>
      </c>
      <c r="T529" s="13">
        <f>IF(OR(N(L529)=0,S529=""),"",S529/L529)</f>
        <v>0.1494692144373673</v>
      </c>
      <c r="U529" s="14" t="n">
        <v>162</v>
      </c>
      <c r="V529" s="13">
        <f>IF(OR(N(L529)=0,U529=""),"",U529/L529)</f>
        <v>0.06878980891719745</v>
      </c>
      <c r="W529" s="14" t="n">
        <v>8157</v>
      </c>
      <c r="X529" s="14" t="n">
        <v>729</v>
      </c>
      <c r="Y529" s="13">
        <f>IF(OR(N(W529)=0,X529=""),"",X529/W529)</f>
        <v>0.0893710923133505</v>
      </c>
      <c r="Z529" s="11" t="str">
        <f>IF(AA529="A","四季持續盈利",IF(AA529="B","最新季為正/波動",IF(AA529="C","虧損收窄",IF(AA529="D","虧損擴大或轉虧","數據不足"))))</f>
        <v>四季持續盈利</v>
      </c>
      <c r="AA529" s="9" t="str">
        <f>IF(COUNT(N529:Q529)&lt;4,"—",IF(MIN(N529:Q529)&gt;0,"A",IF(Q529&gt;0,"B",IF(Q529&gt;N529,"C","D"))))</f>
        <v>A</v>
      </c>
      <c r="AB529" s="9" t="inlineStr">
        <is>
          <t>2026-06-30</t>
        </is>
      </c>
    </row>
    <row r="530" ht="15" customHeight="1">
      <c r="A530" s="9" t="n">
        <v>529</v>
      </c>
      <c r="B530" s="10" t="inlineStr">
        <is>
          <t>YUM</t>
        </is>
      </c>
      <c r="C530" s="11" t="inlineStr">
        <is>
          <t>餐飲連鎖</t>
        </is>
      </c>
      <c r="D530" s="11" t="inlineStr">
        <is>
          <t>Yum! Brands, Inc.</t>
        </is>
      </c>
      <c r="E530" s="11" t="inlineStr">
        <is>
          <t>Restaurants</t>
        </is>
      </c>
      <c r="F530" s="9" t="inlineStr">
        <is>
          <t>USD</t>
        </is>
      </c>
      <c r="G530" s="11" t="inlineStr">
        <is>
          <t>25Q2 / 25Q3 / 25Q4 / 26Q1 / 26Q2</t>
        </is>
      </c>
      <c r="H530" s="12" t="n">
        <v>1932</v>
      </c>
      <c r="I530" s="12" t="n">
        <v>1980</v>
      </c>
      <c r="J530" s="12" t="n">
        <v>2515</v>
      </c>
      <c r="K530" s="12" t="n">
        <v>2059</v>
      </c>
      <c r="L530" s="12" t="n">
        <v>2170</v>
      </c>
      <c r="M530" s="13">
        <f>IF(OR(N(H530)=0,L530=""),"",L530/H530-1)</f>
        <v>0.12318840579710155</v>
      </c>
      <c r="N530" s="14" t="n">
        <v>649</v>
      </c>
      <c r="O530" s="14" t="n">
        <v>742</v>
      </c>
      <c r="P530" s="14" t="n">
        <v>598</v>
      </c>
      <c r="Q530" s="14" t="n">
        <v>661</v>
      </c>
      <c r="R530" s="13">
        <f>IF(OR(N(L530)=0,Q530=""),"",Q530/L530)</f>
        <v>0.3046082949308756</v>
      </c>
      <c r="S530" s="14" t="n">
        <v>985</v>
      </c>
      <c r="T530" s="13">
        <f>IF(OR(N(L530)=0,S530=""),"",S530/L530)</f>
        <v>0.4539170506912442</v>
      </c>
      <c r="U530" s="14" t="n">
        <v>853</v>
      </c>
      <c r="V530" s="13">
        <f>IF(OR(N(L530)=0,U530=""),"",U530/L530)</f>
        <v>0.39308755760368663</v>
      </c>
      <c r="W530" s="14" t="n">
        <v>8214</v>
      </c>
      <c r="X530" s="14" t="n">
        <v>2530</v>
      </c>
      <c r="Y530" s="13">
        <f>IF(OR(N(W530)=0,X530=""),"",X530/W530)</f>
        <v>0.3080107134161188</v>
      </c>
      <c r="Z530" s="11" t="str">
        <f>IF(AA530="A","四季持續盈利",IF(AA530="B","最新季為正/波動",IF(AA530="C","虧損收窄",IF(AA530="D","虧損擴大或轉虧","數據不足"))))</f>
        <v>四季持續盈利</v>
      </c>
      <c r="AA530" s="9" t="str">
        <f>IF(COUNT(N530:Q530)&lt;4,"—",IF(MIN(N530:Q530)&gt;0,"A",IF(Q530&gt;0,"B",IF(Q530&gt;N530,"C","D"))))</f>
        <v>A</v>
      </c>
      <c r="AB530" s="9" t="inlineStr">
        <is>
          <t>2026-06-30</t>
        </is>
      </c>
    </row>
    <row r="531" ht="15" customHeight="1">
      <c r="A531" s="9" t="n">
        <v>530</v>
      </c>
      <c r="B531" s="10" t="inlineStr">
        <is>
          <t>Z</t>
        </is>
      </c>
      <c r="C531" s="11" t="inlineStr">
        <is>
          <t>地產開發與服務</t>
        </is>
      </c>
      <c r="D531" s="11" t="inlineStr">
        <is>
          <t>Zillow Group, Inc.</t>
        </is>
      </c>
      <c r="E531" s="11" t="inlineStr">
        <is>
          <t>Internet Content &amp; Information</t>
        </is>
      </c>
      <c r="F531" s="9" t="inlineStr">
        <is>
          <t>USD</t>
        </is>
      </c>
      <c r="G531" s="11" t="inlineStr">
        <is>
          <t>25Q2 / 25Q3 / 25Q4 / 26Q1 / 26Q2</t>
        </is>
      </c>
      <c r="H531" s="12" t="n">
        <v>655</v>
      </c>
      <c r="I531" s="12" t="n">
        <v>676</v>
      </c>
      <c r="J531" s="12" t="n">
        <v>654</v>
      </c>
      <c r="K531" s="12" t="n">
        <v>708</v>
      </c>
      <c r="L531" s="12" t="n">
        <v>772</v>
      </c>
      <c r="M531" s="13">
        <f>IF(OR(N(H531)=0,L531=""),"",L531/H531-1)</f>
        <v>0.17862595419847338</v>
      </c>
      <c r="N531" s="14" t="n">
        <v>-1</v>
      </c>
      <c r="O531" s="14" t="n">
        <v>-11</v>
      </c>
      <c r="P531" s="14" t="n">
        <v>36</v>
      </c>
      <c r="Q531" s="14" t="n">
        <v>26</v>
      </c>
      <c r="R531" s="13">
        <f>IF(OR(N(L531)=0,Q531=""),"",Q531/L531)</f>
        <v>0.03367875647668394</v>
      </c>
      <c r="S531" s="14" t="n">
        <v>562</v>
      </c>
      <c r="T531" s="13">
        <f>IF(OR(N(L531)=0,S531=""),"",S531/L531)</f>
        <v>0.727979274611399</v>
      </c>
      <c r="U531" s="14" t="n">
        <v>-4</v>
      </c>
      <c r="V531" s="13">
        <f>IF(OR(N(L531)=0,U531=""),"",U531/L531)</f>
        <v>-0.0051813471502590676</v>
      </c>
      <c r="W531" s="14" t="n">
        <v>2583</v>
      </c>
      <c r="X531" s="14" t="n">
        <v>-32</v>
      </c>
      <c r="Y531" s="13">
        <f>IF(OR(N(W531)=0,X531=""),"",X531/W531)</f>
        <v>-0.012388695315524584</v>
      </c>
      <c r="Z531" s="11" t="str">
        <f>IF(AA531="A","四季持續盈利",IF(AA531="B","最新季為正/波動",IF(AA531="C","虧損收窄",IF(AA531="D","虧損擴大或轉虧","數據不足"))))</f>
        <v>最新季為正/波動</v>
      </c>
      <c r="AA531" s="9" t="str">
        <f>IF(COUNT(N531:Q531)&lt;4,"—",IF(MIN(N531:Q531)&gt;0,"A",IF(Q531&gt;0,"B",IF(Q531&gt;N531,"C","D"))))</f>
        <v>B</v>
      </c>
      <c r="AB531" s="9" t="inlineStr">
        <is>
          <t>2026-06-30</t>
        </is>
      </c>
    </row>
    <row r="532" ht="15" customHeight="1">
      <c r="A532" s="9" t="n">
        <v>531</v>
      </c>
      <c r="B532" s="10" t="inlineStr">
        <is>
          <t>ZION</t>
        </is>
      </c>
      <c r="C532" s="11" t="inlineStr">
        <is>
          <t>區域與社區銀行</t>
        </is>
      </c>
      <c r="D532" s="11" t="inlineStr">
        <is>
          <t>Zions Bancorporation, National Association</t>
        </is>
      </c>
      <c r="E532" s="11" t="inlineStr">
        <is>
          <t>Banks - Regional</t>
        </is>
      </c>
      <c r="F532" s="9" t="inlineStr">
        <is>
          <t>USD</t>
        </is>
      </c>
      <c r="G532" s="11" t="inlineStr">
        <is>
          <t>25Q2 / 25Q3 / 25Q4 / 26Q1 / 26Q2</t>
        </is>
      </c>
      <c r="H532" s="12" t="n">
        <v>838</v>
      </c>
      <c r="I532" s="12" t="n">
        <v>861</v>
      </c>
      <c r="J532" s="12" t="n">
        <v>891</v>
      </c>
      <c r="K532" s="12" t="n">
        <v>849</v>
      </c>
      <c r="L532" s="12" t="n">
        <v>1137</v>
      </c>
      <c r="M532" s="13">
        <f>IF(OR(N(H532)=0,L532=""),"",L532/H532-1)</f>
        <v>0.3568019093078758</v>
      </c>
      <c r="N532" s="14" t="n"/>
      <c r="O532" s="14" t="n"/>
      <c r="P532" s="14" t="n"/>
      <c r="Q532" s="14" t="n"/>
      <c r="R532" s="13" t="str">
        <f>IF(OR(N(L532)=0,Q532=""),"",Q532/L532)</f>
        <v/>
      </c>
      <c r="S532" s="14" t="n"/>
      <c r="T532" s="13" t="str">
        <f>IF(OR(N(L532)=0,S532=""),"",S532/L532)</f>
        <v/>
      </c>
      <c r="U532" s="14" t="n">
        <v>453</v>
      </c>
      <c r="V532" s="13">
        <f>IF(OR(N(L532)=0,U532=""),"",U532/L532)</f>
        <v>0.39841688654353563</v>
      </c>
      <c r="W532" s="14" t="n">
        <v>3385</v>
      </c>
      <c r="X532" s="14" t="n"/>
      <c r="Y532" s="13" t="str">
        <f>IF(OR(N(W532)=0,X532=""),"",X532/W532)</f>
        <v/>
      </c>
      <c r="Z532" s="11" t="str">
        <f>IF(AA532="A","四季持續盈利",IF(AA532="B","最新季為正/波動",IF(AA532="C","虧損收窄",IF(AA532="D","虧損擴大或轉虧","數據不足"))))</f>
        <v>數據不足</v>
      </c>
      <c r="AA532" s="9" t="str">
        <f>IF(COUNT(N532:Q532)&lt;4,"—",IF(MIN(N532:Q532)&gt;0,"A",IF(Q532&gt;0,"B",IF(Q532&gt;N532,"C","D"))))</f>
        <v>—</v>
      </c>
      <c r="AB532" s="9" t="inlineStr">
        <is>
          <t>2026-06-30</t>
        </is>
      </c>
    </row>
    <row r="533" ht="15" customHeight="1">
      <c r="A533" s="9" t="n">
        <v>532</v>
      </c>
      <c r="B533" s="10" t="inlineStr">
        <is>
          <t>ZS</t>
        </is>
      </c>
      <c r="C533" s="11" t="inlineStr">
        <is>
          <t>網絡安全</t>
        </is>
      </c>
      <c r="D533" s="11" t="inlineStr">
        <is>
          <t>Zscaler, Inc.</t>
        </is>
      </c>
      <c r="E533" s="11" t="inlineStr">
        <is>
          <t>Software - Infrastructure</t>
        </is>
      </c>
      <c r="F533" s="9" t="inlineStr">
        <is>
          <t>USD</t>
        </is>
      </c>
      <c r="G533" s="11" t="inlineStr">
        <is>
          <t>25Q2 / 25Q3 / 25Q4 / 26Q1 / 26Q2</t>
        </is>
      </c>
      <c r="H533" s="12" t="n">
        <v>678.034</v>
      </c>
      <c r="I533" s="12" t="n">
        <v>719.226</v>
      </c>
      <c r="J533" s="12" t="n">
        <v>788.112</v>
      </c>
      <c r="K533" s="12" t="n">
        <v>815.751</v>
      </c>
      <c r="L533" s="12" t="n">
        <v>850.475</v>
      </c>
      <c r="M533" s="13">
        <f>IF(OR(N(H533)=0,L533=""),"",L533/H533-1)</f>
        <v>0.2543250043508143</v>
      </c>
      <c r="N533" s="14" t="n">
        <v>-30.926</v>
      </c>
      <c r="O533" s="14" t="n">
        <v>-36.362</v>
      </c>
      <c r="P533" s="14" t="n">
        <v>-51.773</v>
      </c>
      <c r="Q533" s="14" t="n">
        <v>-29.64</v>
      </c>
      <c r="R533" s="13">
        <f>IF(OR(N(L533)=0,Q533=""),"",Q533/L533)</f>
        <v>-0.034851112613539494</v>
      </c>
      <c r="S533" s="14" t="n">
        <v>657.823</v>
      </c>
      <c r="T533" s="13">
        <f>IF(OR(N(L533)=0,S533=""),"",S533/L533)</f>
        <v>0.7734771745201211</v>
      </c>
      <c r="U533" s="14" t="n">
        <v>-13.883</v>
      </c>
      <c r="V533" s="13">
        <f>IF(OR(N(L533)=0,U533=""),"",U533/L533)</f>
        <v>-0.01632381904229989</v>
      </c>
      <c r="W533" s="14" t="n">
        <v>2673.115</v>
      </c>
      <c r="X533" s="14" t="n">
        <v>-127.144</v>
      </c>
      <c r="Y533" s="13">
        <f>IF(OR(N(W533)=0,X533=""),"",X533/W533)</f>
        <v>-0.047563984340366953</v>
      </c>
      <c r="Z533" s="11" t="str">
        <f>IF(AA533="A","四季持續盈利",IF(AA533="B","最新季為正/波動",IF(AA533="C","虧損收窄",IF(AA533="D","虧損擴大或轉虧","數據不足"))))</f>
        <v>虧損收窄</v>
      </c>
      <c r="AA533" s="9" t="str">
        <f>IF(COUNT(N533:Q533)&lt;4,"—",IF(MIN(N533:Q533)&gt;0,"A",IF(Q533&gt;0,"B",IF(Q533&gt;N533,"C","D"))))</f>
        <v>C</v>
      </c>
      <c r="AB533" s="9" t="inlineStr">
        <is>
          <t>2026-04-30</t>
        </is>
      </c>
    </row>
  </sheetData>
  <autoFilter ref="A1:AB533"/>
  <conditionalFormatting sqref="AA2:AA533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  <cfRule type="cellIs" priority="4" operator="equal" dxfId="3">
      <formula>"D"</formula>
    </cfRule>
    <cfRule type="cellIs" priority="5" operator="equal" dxfId="4">
      <formula>"—"</formula>
    </cfRule>
  </conditionalFormatting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7" customWidth="1" min="4" max="4"/>
    <col width="17" customWidth="1" min="5" max="5"/>
    <col width="19" customWidth="1" min="6" max="6"/>
  </cols>
  <sheetData>
    <row r="1">
      <c r="A1" s="5" t="inlineStr">
        <is>
          <t>類別</t>
        </is>
      </c>
      <c r="B1" s="5" t="inlineStr">
        <is>
          <t>群組</t>
        </is>
      </c>
      <c r="C1" s="5" t="inlineStr">
        <is>
          <t>Ticker</t>
        </is>
      </c>
      <c r="D1" s="5" t="inlineStr">
        <is>
          <t>幣別</t>
        </is>
      </c>
      <c r="E1" s="5" t="inlineStr">
        <is>
          <t>營收 Q0
(百萬美元, 只計美元呈報)</t>
        </is>
      </c>
      <c r="F1" s="5" t="inlineStr">
        <is>
          <t>營業利益 Q0
(百萬美元, 只計美元呈報)</t>
        </is>
      </c>
    </row>
    <row r="2">
      <c r="A2" s="15" t="inlineStr">
        <is>
          <t>子板塊</t>
        </is>
      </c>
      <c r="B2" s="15" t="inlineStr">
        <is>
          <t>診斷與生命科學工具</t>
        </is>
      </c>
      <c r="C2" s="15" t="inlineStr">
        <is>
          <t>A</t>
        </is>
      </c>
      <c r="D2" s="15" t="str">
        <f>IFERROR(INDEX(觀察名單!$F$2:$F$533,MATCH($C2,觀察名單!$B$2:$B$533,0)),"")</f>
        <v>USD</v>
      </c>
      <c r="E2" s="16">
        <f>IF($D2&lt;&gt;"USD","",IFERROR(INDEX(觀察名單!$L$2:$L$533,MATCH($C2,觀察名單!$B$2:$B$533,0)),""))</f>
        <v>1878.0</v>
      </c>
      <c r="F2" s="16">
        <f>IF($D2&lt;&gt;"USD","",IFERROR(INDEX(觀察名單!$Q$2:$Q$533,MATCH($C2,觀察名單!$B$2:$B$533,0)),""))</f>
        <v>444.0</v>
      </c>
    </row>
    <row r="3">
      <c r="A3" s="15" t="inlineStr">
        <is>
          <t>子板塊</t>
        </is>
      </c>
      <c r="B3" s="15" t="inlineStr">
        <is>
          <t>鋁業</t>
        </is>
      </c>
      <c r="C3" s="15" t="inlineStr">
        <is>
          <t>AA</t>
        </is>
      </c>
      <c r="D3" s="15" t="str">
        <f>IFERROR(INDEX(觀察名單!$F$2:$F$533,MATCH($C3,觀察名單!$B$2:$B$533,0)),"")</f>
        <v>USD</v>
      </c>
      <c r="E3" s="16">
        <f>IF($D3&lt;&gt;"USD","",IFERROR(INDEX(觀察名單!$L$2:$L$533,MATCH($C3,觀察名單!$B$2:$B$533,0)),""))</f>
        <v>3966.0</v>
      </c>
      <c r="F3" s="16">
        <f>IF($D3&lt;&gt;"USD","",IFERROR(INDEX(觀察名單!$Q$2:$Q$533,MATCH($C3,觀察名單!$B$2:$B$533,0)),""))</f>
        <v>714.0</v>
      </c>
    </row>
    <row r="4">
      <c r="A4" s="15" t="inlineStr">
        <is>
          <t>子板塊</t>
        </is>
      </c>
      <c r="B4" s="15" t="inlineStr">
        <is>
          <t>航空公司</t>
        </is>
      </c>
      <c r="C4" s="15" t="inlineStr">
        <is>
          <t>AAL</t>
        </is>
      </c>
      <c r="D4" s="15" t="str">
        <f>IFERROR(INDEX(觀察名單!$F$2:$F$533,MATCH($C4,觀察名單!$B$2:$B$533,0)),"")</f>
        <v>USD</v>
      </c>
      <c r="E4" s="16">
        <f>IF($D4&lt;&gt;"USD","",IFERROR(INDEX(觀察名單!$L$2:$L$533,MATCH($C4,觀察名單!$B$2:$B$533,0)),""))</f>
        <v>16735.0</v>
      </c>
      <c r="F4" s="16">
        <f>IF($D4&lt;&gt;"USD","",IFERROR(INDEX(觀察名單!$Q$2:$Q$533,MATCH($C4,觀察名單!$B$2:$B$533,0)),""))</f>
        <v>453.0</v>
      </c>
    </row>
    <row r="5">
      <c r="A5" s="15" t="inlineStr">
        <is>
          <t>子板塊</t>
        </is>
      </c>
      <c r="B5" s="15" t="inlineStr">
        <is>
          <t>光通訊/CPO</t>
        </is>
      </c>
      <c r="C5" s="15" t="inlineStr">
        <is>
          <t>AAOI</t>
        </is>
      </c>
      <c r="D5" s="15" t="str">
        <f>IFERROR(INDEX(觀察名單!$F$2:$F$533,MATCH($C5,觀察名單!$B$2:$B$533,0)),"")</f>
        <v>USD</v>
      </c>
      <c r="E5" s="16">
        <f>IF($D5&lt;&gt;"USD","",IFERROR(INDEX(觀察名單!$L$2:$L$533,MATCH($C5,觀察名單!$B$2:$B$533,0)),""))</f>
        <v>191.922</v>
      </c>
      <c r="F5" s="16">
        <f>IF($D5&lt;&gt;"USD","",IFERROR(INDEX(觀察名單!$Q$2:$Q$533,MATCH($C5,觀察名單!$B$2:$B$533,0)),""))</f>
        <v>-23.847</v>
      </c>
    </row>
    <row r="6">
      <c r="A6" s="15" t="inlineStr">
        <is>
          <t>子板塊</t>
        </is>
      </c>
      <c r="B6" s="15" t="inlineStr">
        <is>
          <t>樓宇產品與HVAC</t>
        </is>
      </c>
      <c r="C6" s="15" t="inlineStr">
        <is>
          <t>AAON</t>
        </is>
      </c>
      <c r="D6" s="15" t="str">
        <f>IFERROR(INDEX(觀察名單!$F$2:$F$533,MATCH($C6,觀察名單!$B$2:$B$533,0)),"")</f>
        <v>USD</v>
      </c>
      <c r="E6" s="16">
        <f>IF($D6&lt;&gt;"USD","",IFERROR(INDEX(觀察名單!$L$2:$L$533,MATCH($C6,觀察名單!$B$2:$B$533,0)),""))</f>
        <v>626.976</v>
      </c>
      <c r="F6" s="16">
        <f>IF($D6&lt;&gt;"USD","",IFERROR(INDEX(觀察名單!$Q$2:$Q$533,MATCH($C6,觀察名單!$B$2:$B$533,0)),""))</f>
        <v>70.332</v>
      </c>
    </row>
    <row r="7">
      <c r="A7" s="15" t="inlineStr">
        <is>
          <t>子板塊</t>
        </is>
      </c>
      <c r="B7" s="15" t="inlineStr">
        <is>
          <t>電子硬件與EMS/連接器</t>
        </is>
      </c>
      <c r="C7" s="15" t="inlineStr">
        <is>
          <t>AAPL</t>
        </is>
      </c>
      <c r="D7" s="15" t="str">
        <f>IFERROR(INDEX(觀察名單!$F$2:$F$533,MATCH($C7,觀察名單!$B$2:$B$533,0)),"")</f>
        <v>USD</v>
      </c>
      <c r="E7" s="16">
        <f>IF($D7&lt;&gt;"USD","",IFERROR(INDEX(觀察名單!$L$2:$L$533,MATCH($C7,觀察名單!$B$2:$B$533,0)),""))</f>
        <v>109417.0</v>
      </c>
      <c r="F7" s="16">
        <f>IF($D7&lt;&gt;"USD","",IFERROR(INDEX(觀察名單!$Q$2:$Q$533,MATCH($C7,觀察名單!$B$2:$B$533,0)),""))</f>
        <v>35695.0</v>
      </c>
    </row>
    <row r="8">
      <c r="A8" s="15" t="inlineStr">
        <is>
          <t>子板塊</t>
        </is>
      </c>
      <c r="B8" s="15" t="inlineStr">
        <is>
          <t>大型藥廠</t>
        </is>
      </c>
      <c r="C8" s="15" t="inlineStr">
        <is>
          <t>ABBV</t>
        </is>
      </c>
      <c r="D8" s="15" t="str">
        <f>IFERROR(INDEX(觀察名單!$F$2:$F$533,MATCH($C8,觀察名單!$B$2:$B$533,0)),"")</f>
        <v>USD</v>
      </c>
      <c r="E8" s="16">
        <f>IF($D8&lt;&gt;"USD","",IFERROR(INDEX(觀察名單!$L$2:$L$533,MATCH($C8,觀察名單!$B$2:$B$533,0)),""))</f>
        <v>16990.0</v>
      </c>
      <c r="F8" s="16">
        <f>IF($D8&lt;&gt;"USD","",IFERROR(INDEX(觀察名單!$Q$2:$Q$533,MATCH($C8,觀察名單!$B$2:$B$533,0)),""))</f>
        <v>6723.0</v>
      </c>
    </row>
    <row r="9">
      <c r="A9" s="15" t="inlineStr">
        <is>
          <t>子板塊</t>
        </is>
      </c>
      <c r="B9" s="15" t="inlineStr">
        <is>
          <t>醫療器械</t>
        </is>
      </c>
      <c r="C9" s="15" t="inlineStr">
        <is>
          <t>ABT</t>
        </is>
      </c>
      <c r="D9" s="15" t="str">
        <f>IFERROR(INDEX(觀察名單!$F$2:$F$533,MATCH($C9,觀察名單!$B$2:$B$533,0)),"")</f>
        <v>USD</v>
      </c>
      <c r="E9" s="16" t="str">
        <f>IF($D9&lt;&gt;"USD","",IFERROR(INDEX(觀察名單!$L$2:$L$533,MATCH($C9,觀察名單!$B$2:$B$533,0)),""))</f>
        <v/>
      </c>
      <c r="F9" s="16" t="str">
        <f>IF($D9&lt;&gt;"USD","",IFERROR(INDEX(觀察名單!$Q$2:$Q$533,MATCH($C9,觀察名單!$B$2:$B$533,0)),""))</f>
        <v/>
      </c>
    </row>
    <row r="10">
      <c r="A10" s="15" t="inlineStr">
        <is>
          <t>子板塊</t>
        </is>
      </c>
      <c r="B10" s="15" t="inlineStr">
        <is>
          <t>大賣場與超巿</t>
        </is>
      </c>
      <c r="C10" s="15" t="inlineStr">
        <is>
          <t>ACI</t>
        </is>
      </c>
      <c r="D10" s="15" t="str">
        <f>IFERROR(INDEX(觀察名單!$F$2:$F$533,MATCH($C10,觀察名單!$B$2:$B$533,0)),"")</f>
        <v>USD</v>
      </c>
      <c r="E10" s="16">
        <f>IF($D10&lt;&gt;"USD","",IFERROR(INDEX(觀察名單!$L$2:$L$533,MATCH($C10,觀察名單!$B$2:$B$533,0)),""))</f>
        <v>24941.6</v>
      </c>
      <c r="F10" s="16">
        <f>IF($D10&lt;&gt;"USD","",IFERROR(INDEX(觀察名單!$Q$2:$Q$533,MATCH($C10,觀察名單!$B$2:$B$533,0)),""))</f>
        <v>258.9</v>
      </c>
    </row>
    <row r="11">
      <c r="A11" s="15" t="inlineStr">
        <is>
          <t>子板塊</t>
        </is>
      </c>
      <c r="B11" s="15" t="inlineStr">
        <is>
          <t>工程建設/EPC</t>
        </is>
      </c>
      <c r="C11" s="15" t="inlineStr">
        <is>
          <t>ACM</t>
        </is>
      </c>
      <c r="D11" s="15" t="str">
        <f>IFERROR(INDEX(觀察名單!$F$2:$F$533,MATCH($C11,觀察名單!$B$2:$B$533,0)),"")</f>
        <v>USD</v>
      </c>
      <c r="E11" s="16">
        <f>IF($D11&lt;&gt;"USD","",IFERROR(INDEX(觀察名單!$L$2:$L$533,MATCH($C11,觀察名單!$B$2:$B$533,0)),""))</f>
        <v>3586.067</v>
      </c>
      <c r="F11" s="16">
        <f>IF($D11&lt;&gt;"USD","",IFERROR(INDEX(觀察名單!$Q$2:$Q$533,MATCH($C11,觀察名單!$B$2:$B$533,0)),""))</f>
        <v>-68.41</v>
      </c>
    </row>
    <row r="12">
      <c r="A12" s="15" t="inlineStr">
        <is>
          <t>子板塊</t>
        </is>
      </c>
      <c r="B12" s="15" t="inlineStr">
        <is>
          <t>IT服務與系統整合</t>
        </is>
      </c>
      <c r="C12" s="15" t="inlineStr">
        <is>
          <t>ACN</t>
        </is>
      </c>
      <c r="D12" s="15" t="str">
        <f>IFERROR(INDEX(觀察名單!$F$2:$F$533,MATCH($C12,觀察名單!$B$2:$B$533,0)),"")</f>
        <v>USD</v>
      </c>
      <c r="E12" s="16">
        <f>IF($D12&lt;&gt;"USD","",IFERROR(INDEX(觀察名單!$L$2:$L$533,MATCH($C12,觀察名單!$B$2:$B$533,0)),""))</f>
        <v>18718.144</v>
      </c>
      <c r="F12" s="16">
        <f>IF($D12&lt;&gt;"USD","",IFERROR(INDEX(觀察名單!$Q$2:$Q$533,MATCH($C12,觀察名單!$B$2:$B$533,0)),""))</f>
        <v>3175.298</v>
      </c>
    </row>
    <row r="13">
      <c r="A13" s="15" t="inlineStr">
        <is>
          <t>子板塊</t>
        </is>
      </c>
      <c r="B13" s="15" t="inlineStr">
        <is>
          <t>企業軟體/SaaS</t>
        </is>
      </c>
      <c r="C13" s="15" t="inlineStr">
        <is>
          <t>ADBE</t>
        </is>
      </c>
      <c r="D13" s="15" t="str">
        <f>IFERROR(INDEX(觀察名單!$F$2:$F$533,MATCH($C13,觀察名單!$B$2:$B$533,0)),"")</f>
        <v>USD</v>
      </c>
      <c r="E13" s="16">
        <f>IF($D13&lt;&gt;"USD","",IFERROR(INDEX(觀察名單!$L$2:$L$533,MATCH($C13,觀察名單!$B$2:$B$533,0)),""))</f>
        <v>6618.0</v>
      </c>
      <c r="F13" s="16">
        <f>IF($D13&lt;&gt;"USD","",IFERROR(INDEX(觀察名單!$Q$2:$Q$533,MATCH($C13,觀察名單!$B$2:$B$533,0)),""))</f>
        <v>2238.0</v>
      </c>
    </row>
    <row r="14">
      <c r="A14" s="15" t="inlineStr">
        <is>
          <t>子板塊</t>
        </is>
      </c>
      <c r="B14" s="15" t="inlineStr">
        <is>
          <t>類比/功率半導體</t>
        </is>
      </c>
      <c r="C14" s="15" t="inlineStr">
        <is>
          <t>ADI</t>
        </is>
      </c>
      <c r="D14" s="15" t="str">
        <f>IFERROR(INDEX(觀察名單!$F$2:$F$533,MATCH($C14,觀察名單!$B$2:$B$533,0)),"")</f>
        <v>USD</v>
      </c>
      <c r="E14" s="16">
        <f>IF($D14&lt;&gt;"USD","",IFERROR(INDEX(觀察名單!$L$2:$L$533,MATCH($C14,觀察名單!$B$2:$B$533,0)),""))</f>
        <v>4021.899</v>
      </c>
      <c r="F14" s="16">
        <f>IF($D14&lt;&gt;"USD","",IFERROR(INDEX(觀察名單!$Q$2:$Q$533,MATCH($C14,觀察名單!$B$2:$B$533,0)),""))</f>
        <v>1588.753</v>
      </c>
    </row>
    <row r="15">
      <c r="A15" s="15" t="inlineStr">
        <is>
          <t>子板塊</t>
        </is>
      </c>
      <c r="B15" s="15" t="inlineStr">
        <is>
          <t>農產品與農業投入</t>
        </is>
      </c>
      <c r="C15" s="15" t="inlineStr">
        <is>
          <t>ADM</t>
        </is>
      </c>
      <c r="D15" s="15" t="str">
        <f>IFERROR(INDEX(觀察名單!$F$2:$F$533,MATCH($C15,觀察名單!$B$2:$B$533,0)),"")</f>
        <v>USD</v>
      </c>
      <c r="E15" s="16">
        <f>IF($D15&lt;&gt;"USD","",IFERROR(INDEX(觀察名單!$L$2:$L$533,MATCH($C15,觀察名單!$B$2:$B$533,0)),""))</f>
        <v>22681.0</v>
      </c>
      <c r="F15" s="16">
        <f>IF($D15&lt;&gt;"USD","",IFERROR(INDEX(觀察名單!$Q$2:$Q$533,MATCH($C15,觀察名單!$B$2:$B$533,0)),""))</f>
        <v>909.0</v>
      </c>
    </row>
    <row r="16">
      <c r="A16" s="15" t="inlineStr">
        <is>
          <t>子板塊</t>
        </is>
      </c>
      <c r="B16" s="15" t="inlineStr">
        <is>
          <t>人力與商業服務</t>
        </is>
      </c>
      <c r="C16" s="15" t="inlineStr">
        <is>
          <t>ADP</t>
        </is>
      </c>
      <c r="D16" s="15" t="str">
        <f>IFERROR(INDEX(觀察名單!$F$2:$F$533,MATCH($C16,觀察名單!$B$2:$B$533,0)),"")</f>
        <v>USD</v>
      </c>
      <c r="E16" s="16">
        <f>IF($D16&lt;&gt;"USD","",IFERROR(INDEX(觀察名單!$L$2:$L$533,MATCH($C16,觀察名單!$B$2:$B$533,0)),""))</f>
        <v>5473.8</v>
      </c>
      <c r="F16" s="16">
        <f>IF($D16&lt;&gt;"USD","",IFERROR(INDEX(觀察名單!$Q$2:$Q$533,MATCH($C16,觀察名單!$B$2:$B$533,0)),""))</f>
        <v>1259.1</v>
      </c>
    </row>
    <row r="17">
      <c r="A17" s="15" t="inlineStr">
        <is>
          <t>子板塊</t>
        </is>
      </c>
      <c r="B17" s="15" t="inlineStr">
        <is>
          <t>黃金與貴金屬礦</t>
        </is>
      </c>
      <c r="C17" s="15" t="inlineStr">
        <is>
          <t>AEM</t>
        </is>
      </c>
      <c r="D17" s="15" t="str">
        <f>IFERROR(INDEX(觀察名單!$F$2:$F$533,MATCH($C17,觀察名單!$B$2:$B$533,0)),"")</f>
        <v>USD</v>
      </c>
      <c r="E17" s="16">
        <f>IF($D17&lt;&gt;"USD","",IFERROR(INDEX(觀察名單!$L$2:$L$533,MATCH($C17,觀察名單!$B$2:$B$533,0)),""))</f>
        <v>3802.818</v>
      </c>
      <c r="F17" s="16">
        <f>IF($D17&lt;&gt;"USD","",IFERROR(INDEX(觀察名單!$Q$2:$Q$533,MATCH($C17,觀察名單!$B$2:$B$533,0)),""))</f>
        <v>2281.946</v>
      </c>
    </row>
    <row r="18">
      <c r="A18" s="15" t="inlineStr">
        <is>
          <t>子板塊</t>
        </is>
      </c>
      <c r="B18" s="15" t="inlineStr">
        <is>
          <t>受監管電力公用</t>
        </is>
      </c>
      <c r="C18" s="15" t="inlineStr">
        <is>
          <t>AEP</t>
        </is>
      </c>
      <c r="D18" s="15" t="str">
        <f>IFERROR(INDEX(觀察名單!$F$2:$F$533,MATCH($C18,觀察名單!$B$2:$B$533,0)),"")</f>
        <v>USD</v>
      </c>
      <c r="E18" s="16">
        <f>IF($D18&lt;&gt;"USD","",IFERROR(INDEX(觀察名單!$L$2:$L$533,MATCH($C18,觀察名單!$B$2:$B$533,0)),""))</f>
        <v>5445.0</v>
      </c>
      <c r="F18" s="16">
        <f>IF($D18&lt;&gt;"USD","",IFERROR(INDEX(觀察名單!$Q$2:$Q$533,MATCH($C18,觀察名單!$B$2:$B$533,0)),""))</f>
        <v>1247.0</v>
      </c>
    </row>
    <row r="19">
      <c r="A19" s="15" t="inlineStr">
        <is>
          <t>子板塊</t>
        </is>
      </c>
      <c r="B19" s="15" t="inlineStr">
        <is>
          <t>壽險與年金</t>
        </is>
      </c>
      <c r="C19" s="15" t="inlineStr">
        <is>
          <t>AFL</t>
        </is>
      </c>
      <c r="D19" s="15" t="str">
        <f>IFERROR(INDEX(觀察名單!$F$2:$F$533,MATCH($C19,觀察名單!$B$2:$B$533,0)),"")</f>
        <v>USD</v>
      </c>
      <c r="E19" s="16">
        <f>IF($D19&lt;&gt;"USD","",IFERROR(INDEX(觀察名單!$L$2:$L$533,MATCH($C19,觀察名單!$B$2:$B$533,0)),""))</f>
        <v>4194.0</v>
      </c>
      <c r="F19" s="16">
        <f>IF($D19&lt;&gt;"USD","",IFERROR(INDEX(觀察名單!$Q$2:$Q$533,MATCH($C19,觀察名單!$B$2:$B$533,0)),""))</f>
        <v>1059.0</v>
      </c>
    </row>
    <row r="20">
      <c r="A20" s="15" t="inlineStr">
        <is>
          <t>子板塊</t>
        </is>
      </c>
      <c r="B20" s="15" t="inlineStr">
        <is>
          <t>消費金融與BNPL</t>
        </is>
      </c>
      <c r="C20" s="15" t="inlineStr">
        <is>
          <t>AFRM</t>
        </is>
      </c>
      <c r="D20" s="15" t="str">
        <f>IFERROR(INDEX(觀察名單!$F$2:$F$533,MATCH($C20,觀察名單!$B$2:$B$533,0)),"")</f>
        <v>USD</v>
      </c>
      <c r="E20" s="16">
        <f>IF($D20&lt;&gt;"USD","",IFERROR(INDEX(觀察名單!$L$2:$L$533,MATCH($C20,觀察名單!$B$2:$B$533,0)),""))</f>
        <v>1165.961</v>
      </c>
      <c r="F20" s="16">
        <f>IF($D20&lt;&gt;"USD","",IFERROR(INDEX(觀察名單!$Q$2:$Q$533,MATCH($C20,觀察名單!$B$2:$B$533,0)),""))</f>
        <v>265.772</v>
      </c>
    </row>
    <row r="21">
      <c r="A21" s="15" t="inlineStr">
        <is>
          <t>子板塊</t>
        </is>
      </c>
      <c r="B21" s="15" t="inlineStr">
        <is>
          <t>白銀礦</t>
        </is>
      </c>
      <c r="C21" s="15" t="inlineStr">
        <is>
          <t>AG</t>
        </is>
      </c>
      <c r="D21" s="15" t="str">
        <f>IFERROR(INDEX(觀察名單!$F$2:$F$533,MATCH($C21,觀察名單!$B$2:$B$533,0)),"")</f>
        <v>USD</v>
      </c>
      <c r="E21" s="16">
        <f>IF($D21&lt;&gt;"USD","",IFERROR(INDEX(觀察名單!$L$2:$L$533,MATCH($C21,觀察名單!$B$2:$B$533,0)),""))</f>
        <v>414.239</v>
      </c>
      <c r="F21" s="16">
        <f>IF($D21&lt;&gt;"USD","",IFERROR(INDEX(觀察名單!$Q$2:$Q$533,MATCH($C21,觀察名單!$B$2:$B$533,0)),""))</f>
        <v>198.576</v>
      </c>
    </row>
    <row r="22">
      <c r="A22" s="15" t="inlineStr">
        <is>
          <t>子板塊</t>
        </is>
      </c>
      <c r="B22" s="15" t="inlineStr">
        <is>
          <t>產險與再保</t>
        </is>
      </c>
      <c r="C22" s="15" t="inlineStr">
        <is>
          <t>AIG</t>
        </is>
      </c>
      <c r="D22" s="15" t="str">
        <f>IFERROR(INDEX(觀察名單!$F$2:$F$533,MATCH($C22,觀察名單!$B$2:$B$533,0)),"")</f>
        <v>USD</v>
      </c>
      <c r="E22" s="16">
        <f>IF($D22&lt;&gt;"USD","",IFERROR(INDEX(觀察名單!$L$2:$L$533,MATCH($C22,觀察名單!$B$2:$B$533,0)),""))</f>
        <v>7086.0</v>
      </c>
      <c r="F22" s="16">
        <f>IF($D22&lt;&gt;"USD","",IFERROR(INDEX(觀察名單!$Q$2:$Q$533,MATCH($C22,觀察名單!$B$2:$B$533,0)),""))</f>
        <v>1364.0</v>
      </c>
    </row>
    <row r="23">
      <c r="A23" s="15" t="inlineStr">
        <is>
          <t>子板塊</t>
        </is>
      </c>
      <c r="B23" s="15" t="inlineStr">
        <is>
          <t>保險經紀</t>
        </is>
      </c>
      <c r="C23" s="15" t="inlineStr">
        <is>
          <t>AJG</t>
        </is>
      </c>
      <c r="D23" s="15" t="str">
        <f>IFERROR(INDEX(觀察名單!$F$2:$F$533,MATCH($C23,觀察名單!$B$2:$B$533,0)),"")</f>
        <v>USD</v>
      </c>
      <c r="E23" s="16">
        <f>IF($D23&lt;&gt;"USD","",IFERROR(INDEX(觀察名單!$L$2:$L$533,MATCH($C23,觀察名單!$B$2:$B$533,0)),""))</f>
        <v>4003.0</v>
      </c>
      <c r="F23" s="16">
        <f>IF($D23&lt;&gt;"USD","",IFERROR(INDEX(觀察名單!$Q$2:$Q$533,MATCH($C23,觀察名單!$B$2:$B$533,0)),""))</f>
        <v>588.0</v>
      </c>
    </row>
    <row r="24">
      <c r="A24" s="15" t="inlineStr">
        <is>
          <t>子板塊</t>
        </is>
      </c>
      <c r="B24" s="15" t="inlineStr">
        <is>
          <t>特種化工</t>
        </is>
      </c>
      <c r="C24" s="15" t="inlineStr">
        <is>
          <t>ALB</t>
        </is>
      </c>
      <c r="D24" s="15" t="str">
        <f>IFERROR(INDEX(觀察名單!$F$2:$F$533,MATCH($C24,觀察名單!$B$2:$B$533,0)),"")</f>
        <v>USD</v>
      </c>
      <c r="E24" s="16">
        <f>IF($D24&lt;&gt;"USD","",IFERROR(INDEX(觀察名單!$L$2:$L$533,MATCH($C24,觀察名單!$B$2:$B$533,0)),""))</f>
        <v>1743.313</v>
      </c>
      <c r="F24" s="16">
        <f>IF($D24&lt;&gt;"USD","",IFERROR(INDEX(觀察名單!$Q$2:$Q$533,MATCH($C24,觀察名單!$B$2:$B$533,0)),""))</f>
        <v>460.281</v>
      </c>
    </row>
    <row r="25">
      <c r="A25" s="15" t="inlineStr">
        <is>
          <t>子板塊</t>
        </is>
      </c>
      <c r="B25" s="15" t="inlineStr">
        <is>
          <t>臨床期中小型生技</t>
        </is>
      </c>
      <c r="C25" s="15" t="inlineStr">
        <is>
          <t>ALEC</t>
        </is>
      </c>
      <c r="D25" s="15" t="str">
        <f>IFERROR(INDEX(觀察名單!$F$2:$F$533,MATCH($C25,觀察名單!$B$2:$B$533,0)),"")</f>
        <v>USD</v>
      </c>
      <c r="E25" s="16">
        <f>IF($D25&lt;&gt;"USD","",IFERROR(INDEX(觀察名單!$L$2:$L$533,MATCH($C25,觀察名單!$B$2:$B$533,0)),""))</f>
        <v>3.32</v>
      </c>
      <c r="F25" s="16">
        <f>IF($D25&lt;&gt;"USD","",IFERROR(INDEX(觀察名單!$Q$2:$Q$533,MATCH($C25,觀察名單!$B$2:$B$533,0)),""))</f>
        <v>-24.393</v>
      </c>
    </row>
    <row r="26">
      <c r="A26" s="15" t="inlineStr">
        <is>
          <t>子板塊</t>
        </is>
      </c>
      <c r="B26" s="15" t="inlineStr">
        <is>
          <t>腫瘤與細胞治療</t>
        </is>
      </c>
      <c r="C26" s="15" t="inlineStr">
        <is>
          <t>ALLO</t>
        </is>
      </c>
      <c r="D26" s="15" t="str">
        <f>IFERROR(INDEX(觀察名單!$F$2:$F$533,MATCH($C26,觀察名單!$B$2:$B$533,0)),"")</f>
        <v>USD</v>
      </c>
      <c r="E26" s="16">
        <f>IF($D26&lt;&gt;"USD","",IFERROR(INDEX(觀察名單!$L$2:$L$533,MATCH($C26,觀察名單!$B$2:$B$533,0)),""))</f>
        <v>4.64</v>
      </c>
      <c r="F26" s="16">
        <f>IF($D26&lt;&gt;"USD","",IFERROR(INDEX(觀察名單!$Q$2:$Q$533,MATCH($C26,觀察名單!$B$2:$B$533,0)),""))</f>
        <v>-46.92</v>
      </c>
    </row>
    <row r="27">
      <c r="A27" s="15" t="inlineStr">
        <is>
          <t>子板塊</t>
        </is>
      </c>
      <c r="B27" s="15" t="inlineStr">
        <is>
          <t>稀土與關鍵礦產</t>
        </is>
      </c>
      <c r="C27" s="15" t="inlineStr">
        <is>
          <t>ALOY</t>
        </is>
      </c>
      <c r="D27" s="15" t="str">
        <f>IFERROR(INDEX(觀察名單!$F$2:$F$533,MATCH($C27,觀察名單!$B$2:$B$533,0)),"")</f>
        <v>USD</v>
      </c>
      <c r="E27" s="16">
        <f>IF($D27&lt;&gt;"USD","",IFERROR(INDEX(觀察名單!$L$2:$L$533,MATCH($C27,觀察名單!$B$2:$B$533,0)),""))</f>
        <v>0.804</v>
      </c>
      <c r="F27" s="16">
        <f>IF($D27&lt;&gt;"USD","",IFERROR(INDEX(觀察名單!$Q$2:$Q$533,MATCH($C27,觀察名單!$B$2:$B$533,0)),""))</f>
        <v>-36.804</v>
      </c>
    </row>
    <row r="28">
      <c r="A28" s="15" t="inlineStr">
        <is>
          <t>子板塊</t>
        </is>
      </c>
      <c r="B28" s="15" t="inlineStr">
        <is>
          <t>GLP-1減重與代謝</t>
        </is>
      </c>
      <c r="C28" s="15" t="inlineStr">
        <is>
          <t>ALT</t>
        </is>
      </c>
      <c r="D28" s="15" t="str">
        <f>IFERROR(INDEX(觀察名單!$F$2:$F$533,MATCH($C28,觀察名單!$B$2:$B$533,0)),"")</f>
        <v>USD</v>
      </c>
      <c r="E28" s="16">
        <f>IF($D28&lt;&gt;"USD","",IFERROR(INDEX(觀察名單!$L$2:$L$533,MATCH($C28,觀察名單!$B$2:$B$533,0)),""))</f>
        <v>0.0</v>
      </c>
      <c r="F28" s="16">
        <f>IF($D28&lt;&gt;"USD","",IFERROR(INDEX(觀察名單!$Q$2:$Q$533,MATCH($C28,觀察名單!$B$2:$B$533,0)),""))</f>
        <v>-26.229</v>
      </c>
    </row>
    <row r="29">
      <c r="A29" s="15" t="inlineStr">
        <is>
          <t>子板塊</t>
        </is>
      </c>
      <c r="B29" s="15" t="inlineStr">
        <is>
          <t>半導體設備</t>
        </is>
      </c>
      <c r="C29" s="15" t="inlineStr">
        <is>
          <t>AMAT</t>
        </is>
      </c>
      <c r="D29" s="15" t="str">
        <f>IFERROR(INDEX(觀察名單!$F$2:$F$533,MATCH($C29,觀察名單!$B$2:$B$533,0)),"")</f>
        <v>USD</v>
      </c>
      <c r="E29" s="16">
        <f>IF($D29&lt;&gt;"USD","",IFERROR(INDEX(觀察名單!$L$2:$L$533,MATCH($C29,觀察名單!$B$2:$B$533,0)),""))</f>
        <v>9115.0</v>
      </c>
      <c r="F29" s="16">
        <f>IF($D29&lt;&gt;"USD","",IFERROR(INDEX(觀察名單!$Q$2:$Q$533,MATCH($C29,觀察名單!$B$2:$B$533,0)),""))</f>
        <v>3075.0</v>
      </c>
    </row>
    <row r="30">
      <c r="A30" s="15" t="inlineStr">
        <is>
          <t>子板塊</t>
        </is>
      </c>
      <c r="B30" s="15" t="inlineStr">
        <is>
          <t>AI加速晶片/GPU</t>
        </is>
      </c>
      <c r="C30" s="15" t="inlineStr">
        <is>
          <t>AMD</t>
        </is>
      </c>
      <c r="D30" s="15" t="str">
        <f>IFERROR(INDEX(觀察名單!$F$2:$F$533,MATCH($C30,觀察名單!$B$2:$B$533,0)),"")</f>
        <v>USD</v>
      </c>
      <c r="E30" s="16">
        <f>IF($D30&lt;&gt;"USD","",IFERROR(INDEX(觀察名單!$L$2:$L$533,MATCH($C30,觀察名單!$B$2:$B$533,0)),""))</f>
        <v>11536.0</v>
      </c>
      <c r="F30" s="16">
        <f>IF($D30&lt;&gt;"USD","",IFERROR(INDEX(觀察名單!$Q$2:$Q$533,MATCH($C30,觀察名單!$B$2:$B$533,0)),""))</f>
        <v>1990.0</v>
      </c>
    </row>
    <row r="31">
      <c r="A31" s="15" t="inlineStr">
        <is>
          <t>子板塊</t>
        </is>
      </c>
      <c r="B31" s="15" t="inlineStr">
        <is>
          <t>資產管理</t>
        </is>
      </c>
      <c r="C31" s="15" t="inlineStr">
        <is>
          <t>AMG</t>
        </is>
      </c>
      <c r="D31" s="15" t="str">
        <f>IFERROR(INDEX(觀察名單!$F$2:$F$533,MATCH($C31,觀察名單!$B$2:$B$533,0)),"")</f>
        <v>USD</v>
      </c>
      <c r="E31" s="16">
        <f>IF($D31&lt;&gt;"USD","",IFERROR(INDEX(觀察名單!$L$2:$L$533,MATCH($C31,觀察名單!$B$2:$B$533,0)),""))</f>
        <v>640.7</v>
      </c>
      <c r="F31" s="16">
        <f>IF($D31&lt;&gt;"USD","",IFERROR(INDEX(觀察名單!$Q$2:$Q$533,MATCH($C31,觀察名單!$B$2:$B$533,0)),""))</f>
        <v>207.8</v>
      </c>
    </row>
    <row r="32">
      <c r="A32" s="15" t="inlineStr">
        <is>
          <t>子板塊</t>
        </is>
      </c>
      <c r="B32" s="15" t="inlineStr">
        <is>
          <t>大型生物科技</t>
        </is>
      </c>
      <c r="C32" s="15" t="inlineStr">
        <is>
          <t>AMGN</t>
        </is>
      </c>
      <c r="D32" s="15" t="str">
        <f>IFERROR(INDEX(觀察名單!$F$2:$F$533,MATCH($C32,觀察名單!$B$2:$B$533,0)),"")</f>
        <v>USD</v>
      </c>
      <c r="E32" s="16">
        <f>IF($D32&lt;&gt;"USD","",IFERROR(INDEX(觀察名單!$L$2:$L$533,MATCH($C32,觀察名單!$B$2:$B$533,0)),""))</f>
        <v>10054.0</v>
      </c>
      <c r="F32" s="16">
        <f>IF($D32&lt;&gt;"USD","",IFERROR(INDEX(觀察名單!$Q$2:$Q$533,MATCH($C32,觀察名單!$B$2:$B$533,0)),""))</f>
        <v>3514.0</v>
      </c>
    </row>
    <row r="33">
      <c r="A33" s="15" t="inlineStr">
        <is>
          <t>子板塊</t>
        </is>
      </c>
      <c r="B33" s="15" t="inlineStr">
        <is>
          <t>住宅公寓REIT</t>
        </is>
      </c>
      <c r="C33" s="15" t="inlineStr">
        <is>
          <t>AMH</t>
        </is>
      </c>
      <c r="D33" s="15" t="str">
        <f>IFERROR(INDEX(觀察名單!$F$2:$F$533,MATCH($C33,觀察名單!$B$2:$B$533,0)),"")</f>
        <v>USD</v>
      </c>
      <c r="E33" s="16">
        <f>IF($D33&lt;&gt;"USD","",IFERROR(INDEX(觀察名單!$L$2:$L$533,MATCH($C33,觀察名單!$B$2:$B$533,0)),""))</f>
        <v>470.104</v>
      </c>
      <c r="F33" s="16">
        <f>IF($D33&lt;&gt;"USD","",IFERROR(INDEX(觀察名單!$Q$2:$Q$533,MATCH($C33,觀察名單!$B$2:$B$533,0)),""))</f>
        <v>125.052</v>
      </c>
    </row>
    <row r="34">
      <c r="A34" s="15" t="inlineStr">
        <is>
          <t>子板塊</t>
        </is>
      </c>
      <c r="B34" s="15" t="inlineStr">
        <is>
          <t>煤炭</t>
        </is>
      </c>
      <c r="C34" s="15" t="inlineStr">
        <is>
          <t>AMR</t>
        </is>
      </c>
      <c r="D34" s="15" t="str">
        <f>IFERROR(INDEX(觀察名單!$F$2:$F$533,MATCH($C34,觀察名單!$B$2:$B$533,0)),"")</f>
        <v>USD</v>
      </c>
      <c r="E34" s="16">
        <f>IF($D34&lt;&gt;"USD","",IFERROR(INDEX(觀察名單!$L$2:$L$533,MATCH($C34,觀察名單!$B$2:$B$533,0)),""))</f>
        <v>492.856</v>
      </c>
      <c r="F34" s="16">
        <f>IF($D34&lt;&gt;"USD","",IFERROR(INDEX(觀察名單!$Q$2:$Q$533,MATCH($C34,觀察名單!$B$2:$B$533,0)),""))</f>
        <v>-10.5</v>
      </c>
    </row>
    <row r="35">
      <c r="A35" s="15" t="inlineStr">
        <is>
          <t>子板塊</t>
        </is>
      </c>
      <c r="B35" s="15" t="inlineStr">
        <is>
          <t>通訊塔REIT</t>
        </is>
      </c>
      <c r="C35" s="15" t="inlineStr">
        <is>
          <t>AMT</t>
        </is>
      </c>
      <c r="D35" s="15" t="str">
        <f>IFERROR(INDEX(觀察名單!$F$2:$F$533,MATCH($C35,觀察名單!$B$2:$B$533,0)),"")</f>
        <v>USD</v>
      </c>
      <c r="E35" s="16">
        <f>IF($D35&lt;&gt;"USD","",IFERROR(INDEX(觀察名單!$L$2:$L$533,MATCH($C35,觀察名單!$B$2:$B$533,0)),""))</f>
        <v>2749.1</v>
      </c>
      <c r="F35" s="16">
        <f>IF($D35&lt;&gt;"USD","",IFERROR(INDEX(觀察名單!$Q$2:$Q$533,MATCH($C35,觀察名單!$B$2:$B$533,0)),""))</f>
        <v>1268.8</v>
      </c>
    </row>
    <row r="36">
      <c r="A36" s="15" t="inlineStr">
        <is>
          <t>子板塊</t>
        </is>
      </c>
      <c r="B36" s="15" t="inlineStr">
        <is>
          <t>雲端基建/IaaS/Neocloud</t>
        </is>
      </c>
      <c r="C36" s="15" t="inlineStr">
        <is>
          <t>AMZN</t>
        </is>
      </c>
      <c r="D36" s="15" t="str">
        <f>IFERROR(INDEX(觀察名單!$F$2:$F$533,MATCH($C36,觀察名單!$B$2:$B$533,0)),"")</f>
        <v>USD</v>
      </c>
      <c r="E36" s="16" t="str">
        <f>IF($D36&lt;&gt;"USD","",IFERROR(INDEX(觀察名單!$L$2:$L$533,MATCH($C36,觀察名單!$B$2:$B$533,0)),""))</f>
        <v/>
      </c>
      <c r="F36" s="16" t="str">
        <f>IF($D36&lt;&gt;"USD","",IFERROR(INDEX(觀察名單!$Q$2:$Q$533,MATCH($C36,觀察名單!$B$2:$B$533,0)),""))</f>
        <v/>
      </c>
    </row>
    <row r="37">
      <c r="A37" s="15" t="inlineStr">
        <is>
          <t>子板塊</t>
        </is>
      </c>
      <c r="B37" s="15" t="inlineStr">
        <is>
          <t>電商平台</t>
        </is>
      </c>
      <c r="C37" s="15" t="inlineStr">
        <is>
          <t>AMZN</t>
        </is>
      </c>
      <c r="D37" s="15" t="str">
        <f>IFERROR(INDEX(觀察名單!$F$2:$F$533,MATCH($C37,觀察名單!$B$2:$B$533,0)),"")</f>
        <v>USD</v>
      </c>
      <c r="E37" s="16" t="str">
        <f>IF($D37&lt;&gt;"USD","",IFERROR(INDEX(觀察名單!$L$2:$L$533,MATCH($C37,觀察名單!$B$2:$B$533,0)),""))</f>
        <v/>
      </c>
      <c r="F37" s="16" t="str">
        <f>IF($D37&lt;&gt;"USD","",IFERROR(INDEX(觀察名單!$Q$2:$Q$533,MATCH($C37,觀察名單!$B$2:$B$533,0)),""))</f>
        <v/>
      </c>
    </row>
    <row r="38">
      <c r="A38" s="15" t="inlineStr">
        <is>
          <t>子板塊</t>
        </is>
      </c>
      <c r="B38" s="15" t="inlineStr">
        <is>
          <t>AI資料中心建設</t>
        </is>
      </c>
      <c r="C38" s="15" t="inlineStr">
        <is>
          <t>ANET</t>
        </is>
      </c>
      <c r="D38" s="15" t="str">
        <f>IFERROR(INDEX(觀察名單!$F$2:$F$533,MATCH($C38,觀察名單!$B$2:$B$533,0)),"")</f>
        <v>USD</v>
      </c>
      <c r="E38" s="16">
        <f>IF($D38&lt;&gt;"USD","",IFERROR(INDEX(觀察名單!$L$2:$L$533,MATCH($C38,觀察名單!$B$2:$B$533,0)),""))</f>
        <v>3035.7</v>
      </c>
      <c r="F38" s="16">
        <f>IF($D38&lt;&gt;"USD","",IFERROR(INDEX(觀察名單!$Q$2:$Q$533,MATCH($C38,觀察名單!$B$2:$B$533,0)),""))</f>
        <v>1378.0</v>
      </c>
    </row>
    <row r="39">
      <c r="A39" s="15" t="inlineStr">
        <is>
          <t>子板塊</t>
        </is>
      </c>
      <c r="B39" s="15" t="inlineStr">
        <is>
          <t>保險經紀</t>
        </is>
      </c>
      <c r="C39" s="15" t="inlineStr">
        <is>
          <t>AON</t>
        </is>
      </c>
      <c r="D39" s="15" t="str">
        <f>IFERROR(INDEX(觀察名單!$F$2:$F$533,MATCH($C39,觀察名單!$B$2:$B$533,0)),"")</f>
        <v>USD</v>
      </c>
      <c r="E39" s="16">
        <f>IF($D39&lt;&gt;"USD","",IFERROR(INDEX(觀察名單!$L$2:$L$533,MATCH($C39,觀察名單!$B$2:$B$533,0)),""))</f>
        <v>4246.0</v>
      </c>
      <c r="F39" s="16">
        <f>IF($D39&lt;&gt;"USD","",IFERROR(INDEX(觀察名單!$Q$2:$Q$533,MATCH($C39,觀察名單!$B$2:$B$533,0)),""))</f>
        <v>1011.0</v>
      </c>
    </row>
    <row r="40">
      <c r="A40" s="15" t="inlineStr">
        <is>
          <t>子板塊</t>
        </is>
      </c>
      <c r="B40" s="15" t="inlineStr">
        <is>
          <t>特種化工</t>
        </is>
      </c>
      <c r="C40" s="15" t="inlineStr">
        <is>
          <t>APD</t>
        </is>
      </c>
      <c r="D40" s="15" t="str">
        <f>IFERROR(INDEX(觀察名單!$F$2:$F$533,MATCH($C40,觀察名單!$B$2:$B$533,0)),"")</f>
        <v>USD</v>
      </c>
      <c r="E40" s="16">
        <f>IF($D40&lt;&gt;"USD","",IFERROR(INDEX(觀察名單!$L$2:$L$533,MATCH($C40,觀察名單!$B$2:$B$533,0)),""))</f>
        <v>3161.0</v>
      </c>
      <c r="F40" s="16">
        <f>IF($D40&lt;&gt;"USD","",IFERROR(INDEX(觀察名單!$Q$2:$Q$533,MATCH($C40,觀察名單!$B$2:$B$533,0)),""))</f>
        <v>810.3</v>
      </c>
    </row>
    <row r="41">
      <c r="A41" s="15" t="inlineStr">
        <is>
          <t>子板塊</t>
        </is>
      </c>
      <c r="B41" s="15" t="inlineStr">
        <is>
          <t>電子硬件與EMS/連接器</t>
        </is>
      </c>
      <c r="C41" s="15" t="inlineStr">
        <is>
          <t>APH</t>
        </is>
      </c>
      <c r="D41" s="15" t="str">
        <f>IFERROR(INDEX(觀察名單!$F$2:$F$533,MATCH($C41,觀察名單!$B$2:$B$533,0)),"")</f>
        <v>USD</v>
      </c>
      <c r="E41" s="16" t="str">
        <f>IF($D41&lt;&gt;"USD","",IFERROR(INDEX(觀察名單!$L$2:$L$533,MATCH($C41,觀察名單!$B$2:$B$533,0)),""))</f>
        <v/>
      </c>
      <c r="F41" s="16" t="str">
        <f>IF($D41&lt;&gt;"USD","",IFERROR(INDEX(觀察名單!$Q$2:$Q$533,MATCH($C41,觀察名單!$B$2:$B$533,0)),""))</f>
        <v/>
      </c>
    </row>
    <row r="42">
      <c r="A42" s="15" t="inlineStr">
        <is>
          <t>子板塊</t>
        </is>
      </c>
      <c r="B42" s="15" t="inlineStr">
        <is>
          <t>另類資產與私募信貸</t>
        </is>
      </c>
      <c r="C42" s="15" t="inlineStr">
        <is>
          <t>APO</t>
        </is>
      </c>
      <c r="D42" s="15" t="str">
        <f>IFERROR(INDEX(觀察名單!$F$2:$F$533,MATCH($C42,觀察名單!$B$2:$B$533,0)),"")</f>
        <v>USD</v>
      </c>
      <c r="E42" s="16">
        <f>IF($D42&lt;&gt;"USD","",IFERROR(INDEX(觀察名單!$L$2:$L$533,MATCH($C42,觀察名單!$B$2:$B$533,0)),""))</f>
        <v>11153.0</v>
      </c>
      <c r="F42" s="16">
        <f>IF($D42&lt;&gt;"USD","",IFERROR(INDEX(觀察名單!$Q$2:$Q$533,MATCH($C42,觀察名單!$B$2:$B$533,0)),""))</f>
        <v>2850.0</v>
      </c>
    </row>
    <row r="43">
      <c r="A43" s="15" t="inlineStr">
        <is>
          <t>子板塊</t>
        </is>
      </c>
      <c r="B43" s="15" t="inlineStr">
        <is>
          <t>傳統汽車與零部件</t>
        </is>
      </c>
      <c r="C43" s="15" t="inlineStr">
        <is>
          <t>APTV</t>
        </is>
      </c>
      <c r="D43" s="15" t="str">
        <f>IFERROR(INDEX(觀察名單!$F$2:$F$533,MATCH($C43,觀察名單!$B$2:$B$533,0)),"")</f>
        <v>USD</v>
      </c>
      <c r="E43" s="16">
        <f>IF($D43&lt;&gt;"USD","",IFERROR(INDEX(觀察名單!$L$2:$L$533,MATCH($C43,觀察名單!$B$2:$B$533,0)),""))</f>
        <v>3274.0</v>
      </c>
      <c r="F43" s="16">
        <f>IF($D43&lt;&gt;"USD","",IFERROR(INDEX(觀察名單!$Q$2:$Q$533,MATCH($C43,觀察名單!$B$2:$B$533,0)),""))</f>
        <v>391.0</v>
      </c>
    </row>
    <row r="44">
      <c r="A44" s="15" t="inlineStr">
        <is>
          <t>子板塊</t>
        </is>
      </c>
      <c r="B44" s="15" t="inlineStr">
        <is>
          <t>另類資產與私募信貸</t>
        </is>
      </c>
      <c r="C44" s="15" t="inlineStr">
        <is>
          <t>ARES</t>
        </is>
      </c>
      <c r="D44" s="15" t="str">
        <f>IFERROR(INDEX(觀察名單!$F$2:$F$533,MATCH($C44,觀察名單!$B$2:$B$533,0)),"")</f>
        <v>USD</v>
      </c>
      <c r="E44" s="16">
        <f>IF($D44&lt;&gt;"USD","",IFERROR(INDEX(觀察名單!$L$2:$L$533,MATCH($C44,觀察名單!$B$2:$B$533,0)),""))</f>
        <v>1428.61</v>
      </c>
      <c r="F44" s="16">
        <f>IF($D44&lt;&gt;"USD","",IFERROR(INDEX(觀察名單!$Q$2:$Q$533,MATCH($C44,觀察名單!$B$2:$B$533,0)),""))</f>
        <v>248.633</v>
      </c>
    </row>
    <row r="45">
      <c r="A45" s="15" t="inlineStr">
        <is>
          <t>子板塊</t>
        </is>
      </c>
      <c r="B45" s="15" t="inlineStr">
        <is>
          <t>EDA與半導體IP</t>
        </is>
      </c>
      <c r="C45" s="15" t="inlineStr">
        <is>
          <t>ARM</t>
        </is>
      </c>
      <c r="D45" s="15" t="str">
        <f>IFERROR(INDEX(觀察名單!$F$2:$F$533,MATCH($C45,觀察名單!$B$2:$B$533,0)),"")</f>
        <v>USD</v>
      </c>
      <c r="E45" s="16">
        <f>IF($D45&lt;&gt;"USD","",IFERROR(INDEX(觀察名單!$L$2:$L$533,MATCH($C45,觀察名單!$B$2:$B$533,0)),""))</f>
        <v>1289.0</v>
      </c>
      <c r="F45" s="16">
        <f>IF($D45&lt;&gt;"USD","",IFERROR(INDEX(觀察名單!$Q$2:$Q$533,MATCH($C45,觀察名單!$B$2:$B$533,0)),""))</f>
        <v>98.0</v>
      </c>
    </row>
    <row r="46">
      <c r="A46" s="15" t="inlineStr">
        <is>
          <t>子板塊</t>
        </is>
      </c>
      <c r="B46" s="15" t="inlineStr">
        <is>
          <t>腫瘤與細胞治療</t>
        </is>
      </c>
      <c r="C46" s="15" t="inlineStr">
        <is>
          <t>ARVN</t>
        </is>
      </c>
      <c r="D46" s="15" t="str">
        <f>IFERROR(INDEX(觀察名單!$F$2:$F$533,MATCH($C46,觀察名單!$B$2:$B$533,0)),"")</f>
        <v>USD</v>
      </c>
      <c r="E46" s="16">
        <f>IF($D46&lt;&gt;"USD","",IFERROR(INDEX(觀察名單!$L$2:$L$533,MATCH($C46,觀察名單!$B$2:$B$533,0)),""))</f>
        <v>249.7</v>
      </c>
      <c r="F46" s="16">
        <f>IF($D46&lt;&gt;"USD","",IFERROR(INDEX(觀察名單!$Q$2:$Q$533,MATCH($C46,觀察名單!$B$2:$B$533,0)),""))</f>
        <v>164.1</v>
      </c>
    </row>
    <row r="47">
      <c r="A47" s="15" t="inlineStr">
        <is>
          <t>子板塊</t>
        </is>
      </c>
      <c r="B47" s="15" t="inlineStr">
        <is>
          <t>半導體設備</t>
        </is>
      </c>
      <c r="C47" s="15" t="inlineStr">
        <is>
          <t>ASML</t>
        </is>
      </c>
      <c r="D47" s="15" t="str">
        <f>IFERROR(INDEX(觀察名單!$F$2:$F$533,MATCH($C47,觀察名單!$B$2:$B$533,0)),"")</f>
        <v>EUR</v>
      </c>
      <c r="E47" s="16" t="str">
        <f>IF($D47&lt;&gt;"USD","",IFERROR(INDEX(觀察名單!$L$2:$L$533,MATCH($C47,觀察名單!$B$2:$B$533,0)),""))</f>
        <v/>
      </c>
      <c r="F47" s="16" t="str">
        <f>IF($D47&lt;&gt;"USD","",IFERROR(INDEX(觀察名單!$Q$2:$Q$533,MATCH($C47,觀察名單!$B$2:$B$533,0)),""))</f>
        <v/>
      </c>
    </row>
    <row r="48">
      <c r="A48" s="15" t="inlineStr">
        <is>
          <t>子板塊</t>
        </is>
      </c>
      <c r="B48" s="15" t="inlineStr">
        <is>
          <t>小型模組化核能SMR</t>
        </is>
      </c>
      <c r="C48" s="15" t="inlineStr">
        <is>
          <t>ASPI</t>
        </is>
      </c>
      <c r="D48" s="15" t="str">
        <f>IFERROR(INDEX(觀察名單!$F$2:$F$533,MATCH($C48,觀察名單!$B$2:$B$533,0)),"")</f>
        <v>USD</v>
      </c>
      <c r="E48" s="16">
        <f>IF($D48&lt;&gt;"USD","",IFERROR(INDEX(觀察名單!$L$2:$L$533,MATCH($C48,觀察名單!$B$2:$B$533,0)),""))</f>
        <v>5.123</v>
      </c>
      <c r="F48" s="16">
        <f>IF($D48&lt;&gt;"USD","",IFERROR(INDEX(觀察名單!$Q$2:$Q$533,MATCH($C48,觀察名單!$B$2:$B$533,0)),""))</f>
        <v>-34.195</v>
      </c>
    </row>
    <row r="49">
      <c r="A49" s="15" t="inlineStr">
        <is>
          <t>子板塊</t>
        </is>
      </c>
      <c r="B49" s="15" t="inlineStr">
        <is>
          <t>太空與衛星</t>
        </is>
      </c>
      <c r="C49" s="15" t="inlineStr">
        <is>
          <t>ASTS</t>
        </is>
      </c>
      <c r="D49" s="15" t="str">
        <f>IFERROR(INDEX(觀察名單!$F$2:$F$533,MATCH($C49,觀察名單!$B$2:$B$533,0)),"")</f>
        <v>USD</v>
      </c>
      <c r="E49" s="16">
        <f>IF($D49&lt;&gt;"USD","",IFERROR(INDEX(觀察名單!$L$2:$L$533,MATCH($C49,觀察名單!$B$2:$B$533,0)),""))</f>
        <v>31.52</v>
      </c>
      <c r="F49" s="16">
        <f>IF($D49&lt;&gt;"USD","",IFERROR(INDEX(觀察名單!$Q$2:$Q$533,MATCH($C49,觀察名單!$B$2:$B$533,0)),""))</f>
        <v>-171.666</v>
      </c>
    </row>
    <row r="50">
      <c r="A50" s="15" t="inlineStr">
        <is>
          <t>子板塊</t>
        </is>
      </c>
      <c r="B50" s="15" t="inlineStr">
        <is>
          <t>有線/寬頻/衛星</t>
        </is>
      </c>
      <c r="C50" s="15" t="inlineStr">
        <is>
          <t>ASTS</t>
        </is>
      </c>
      <c r="D50" s="15" t="str">
        <f>IFERROR(INDEX(觀察名單!$F$2:$F$533,MATCH($C50,觀察名單!$B$2:$B$533,0)),"")</f>
        <v>USD</v>
      </c>
      <c r="E50" s="16">
        <f>IF($D50&lt;&gt;"USD","",IFERROR(INDEX(觀察名單!$L$2:$L$533,MATCH($C50,觀察名單!$B$2:$B$533,0)),""))</f>
        <v>31.52</v>
      </c>
      <c r="F50" s="16">
        <f>IF($D50&lt;&gt;"USD","",IFERROR(INDEX(觀察名單!$Q$2:$Q$533,MATCH($C50,觀察名單!$B$2:$B$533,0)),""))</f>
        <v>-171.666</v>
      </c>
    </row>
    <row r="51">
      <c r="A51" s="15" t="inlineStr">
        <is>
          <t>子板塊</t>
        </is>
      </c>
      <c r="B51" s="15" t="inlineStr">
        <is>
          <t>燃氣公用</t>
        </is>
      </c>
      <c r="C51" s="15" t="inlineStr">
        <is>
          <t>ATO</t>
        </is>
      </c>
      <c r="D51" s="15" t="str">
        <f>IFERROR(INDEX(觀察名單!$F$2:$F$533,MATCH($C51,觀察名單!$B$2:$B$533,0)),"")</f>
        <v>USD</v>
      </c>
      <c r="E51" s="16">
        <f>IF($D51&lt;&gt;"USD","",IFERROR(INDEX(觀察名單!$L$2:$L$533,MATCH($C51,觀察名單!$B$2:$B$533,0)),""))</f>
        <v>879.059</v>
      </c>
      <c r="F51" s="16">
        <f>IF($D51&lt;&gt;"USD","",IFERROR(INDEX(觀察名單!$Q$2:$Q$533,MATCH($C51,觀察名單!$B$2:$B$533,0)),""))</f>
        <v>320.414</v>
      </c>
    </row>
    <row r="52">
      <c r="A52" s="15" t="inlineStr">
        <is>
          <t>子板塊</t>
        </is>
      </c>
      <c r="B52" s="15" t="inlineStr">
        <is>
          <t>黃金與貴金屬礦</t>
        </is>
      </c>
      <c r="C52" s="15" t="inlineStr">
        <is>
          <t>AU</t>
        </is>
      </c>
      <c r="D52" s="15" t="str">
        <f>IFERROR(INDEX(觀察名單!$F$2:$F$533,MATCH($C52,觀察名單!$B$2:$B$533,0)),"")</f>
        <v>USD</v>
      </c>
      <c r="E52" s="16">
        <f>IF($D52&lt;&gt;"USD","",IFERROR(INDEX(觀察名單!$L$2:$L$533,MATCH($C52,觀察名單!$B$2:$B$533,0)),""))</f>
        <v>3104.0</v>
      </c>
      <c r="F52" s="16">
        <f>IF($D52&lt;&gt;"USD","",IFERROR(INDEX(觀察名單!$Q$2:$Q$533,MATCH($C52,觀察名單!$B$2:$B$533,0)),""))</f>
        <v>1583.0</v>
      </c>
    </row>
    <row r="53">
      <c r="A53" s="15" t="inlineStr">
        <is>
          <t>子板塊</t>
        </is>
      </c>
      <c r="B53" s="15" t="inlineStr">
        <is>
          <t>國防科技與無人機</t>
        </is>
      </c>
      <c r="C53" s="15" t="inlineStr">
        <is>
          <t>AVAV</t>
        </is>
      </c>
      <c r="D53" s="15" t="str">
        <f>IFERROR(INDEX(觀察名單!$F$2:$F$533,MATCH($C53,觀察名單!$B$2:$B$533,0)),"")</f>
        <v>USD</v>
      </c>
      <c r="E53" s="16">
        <f>IF($D53&lt;&gt;"USD","",IFERROR(INDEX(觀察名單!$L$2:$L$533,MATCH($C53,觀察名單!$B$2:$B$533,0)),""))</f>
        <v>641.616</v>
      </c>
      <c r="F53" s="16">
        <f>IF($D53&lt;&gt;"USD","",IFERROR(INDEX(觀察名單!$Q$2:$Q$533,MATCH($C53,觀察名單!$B$2:$B$533,0)),""))</f>
        <v>56.941</v>
      </c>
    </row>
    <row r="54">
      <c r="A54" s="15" t="inlineStr">
        <is>
          <t>子板塊</t>
        </is>
      </c>
      <c r="B54" s="15" t="inlineStr">
        <is>
          <t>AI加速晶片/GPU</t>
        </is>
      </c>
      <c r="C54" s="15" t="inlineStr">
        <is>
          <t>AVGO</t>
        </is>
      </c>
      <c r="D54" s="15" t="str">
        <f>IFERROR(INDEX(觀察名單!$F$2:$F$533,MATCH($C54,觀察名單!$B$2:$B$533,0)),"")</f>
        <v>USD</v>
      </c>
      <c r="E54" s="16" t="str">
        <f>IF($D54&lt;&gt;"USD","",IFERROR(INDEX(觀察名單!$L$2:$L$533,MATCH($C54,觀察名單!$B$2:$B$533,0)),""))</f>
        <v/>
      </c>
      <c r="F54" s="16" t="str">
        <f>IF($D54&lt;&gt;"USD","",IFERROR(INDEX(觀察名單!$Q$2:$Q$533,MATCH($C54,觀察名單!$B$2:$B$533,0)),""))</f>
        <v/>
      </c>
    </row>
    <row r="55">
      <c r="A55" s="15" t="inlineStr">
        <is>
          <t>子板塊</t>
        </is>
      </c>
      <c r="B55" s="15" t="inlineStr">
        <is>
          <t>水務公用</t>
        </is>
      </c>
      <c r="C55" s="15" t="inlineStr">
        <is>
          <t>AWK</t>
        </is>
      </c>
      <c r="D55" s="15" t="str">
        <f>IFERROR(INDEX(觀察名單!$F$2:$F$533,MATCH($C55,觀察名單!$B$2:$B$533,0)),"")</f>
        <v>USD</v>
      </c>
      <c r="E55" s="16">
        <f>IF($D55&lt;&gt;"USD","",IFERROR(INDEX(觀察名單!$L$2:$L$533,MATCH($C55,觀察名單!$B$2:$B$533,0)),""))</f>
        <v>1355.0</v>
      </c>
      <c r="F55" s="16">
        <f>IF($D55&lt;&gt;"USD","",IFERROR(INDEX(觀察名單!$Q$2:$Q$533,MATCH($C55,觀察名單!$B$2:$B$533,0)),""))</f>
        <v>542.0</v>
      </c>
    </row>
    <row r="56">
      <c r="A56" s="15" t="inlineStr">
        <is>
          <t>子板塊</t>
        </is>
      </c>
      <c r="B56" s="15" t="inlineStr">
        <is>
          <t>水務公用</t>
        </is>
      </c>
      <c r="C56" s="15" t="inlineStr">
        <is>
          <t>AWR</t>
        </is>
      </c>
      <c r="D56" s="15" t="str">
        <f>IFERROR(INDEX(觀察名單!$F$2:$F$533,MATCH($C56,觀察名單!$B$2:$B$533,0)),"")</f>
        <v>USD</v>
      </c>
      <c r="E56" s="16">
        <f>IF($D56&lt;&gt;"USD","",IFERROR(INDEX(觀察名單!$L$2:$L$533,MATCH($C56,觀察名單!$B$2:$B$533,0)),""))</f>
        <v>181.29</v>
      </c>
      <c r="F56" s="16">
        <f>IF($D56&lt;&gt;"USD","",IFERROR(INDEX(觀察名單!$Q$2:$Q$533,MATCH($C56,觀察名單!$B$2:$B$533,0)),""))</f>
        <v>63.971</v>
      </c>
    </row>
    <row r="57">
      <c r="A57" s="15" t="inlineStr">
        <is>
          <t>子板塊</t>
        </is>
      </c>
      <c r="B57" s="15" t="inlineStr">
        <is>
          <t>消費金融與BNPL</t>
        </is>
      </c>
      <c r="C57" s="15" t="inlineStr">
        <is>
          <t>AXP</t>
        </is>
      </c>
      <c r="D57" s="15" t="str">
        <f>IFERROR(INDEX(觀察名單!$F$2:$F$533,MATCH($C57,觀察名單!$B$2:$B$533,0)),"")</f>
        <v>USD</v>
      </c>
      <c r="E57" s="16">
        <f>IF($D57&lt;&gt;"USD","",IFERROR(INDEX(觀察名單!$L$2:$L$533,MATCH($C57,觀察名單!$B$2:$B$533,0)),""))</f>
        <v>19637.0</v>
      </c>
      <c r="F57" s="16" t="str">
        <f>IF($D57&lt;&gt;"USD","",IFERROR(INDEX(觀察名單!$Q$2:$Q$533,MATCH($C57,觀察名單!$B$2:$B$533,0)),""))</f>
        <v/>
      </c>
    </row>
    <row r="58">
      <c r="A58" s="15" t="inlineStr">
        <is>
          <t>子板塊</t>
        </is>
      </c>
      <c r="B58" s="15" t="inlineStr">
        <is>
          <t>航太與國防</t>
        </is>
      </c>
      <c r="C58" s="15" t="inlineStr">
        <is>
          <t>BA</t>
        </is>
      </c>
      <c r="D58" s="15" t="str">
        <f>IFERROR(INDEX(觀察名單!$F$2:$F$533,MATCH($C58,觀察名單!$B$2:$B$533,0)),"")</f>
        <v>USD</v>
      </c>
      <c r="E58" s="16" t="str">
        <f>IF($D58&lt;&gt;"USD","",IFERROR(INDEX(觀察名單!$L$2:$L$533,MATCH($C58,觀察名單!$B$2:$B$533,0)),""))</f>
        <v/>
      </c>
      <c r="F58" s="16" t="str">
        <f>IF($D58&lt;&gt;"USD","",IFERROR(INDEX(觀察名單!$Q$2:$Q$533,MATCH($C58,觀察名單!$B$2:$B$533,0)),""))</f>
        <v/>
      </c>
    </row>
    <row r="59">
      <c r="A59" s="15" t="inlineStr">
        <is>
          <t>子板塊</t>
        </is>
      </c>
      <c r="B59" s="15" t="inlineStr">
        <is>
          <t>大型全能銀行</t>
        </is>
      </c>
      <c r="C59" s="15" t="inlineStr">
        <is>
          <t>BAC</t>
        </is>
      </c>
      <c r="D59" s="15" t="str">
        <f>IFERROR(INDEX(觀察名單!$F$2:$F$533,MATCH($C59,觀察名單!$B$2:$B$533,0)),"")</f>
        <v>USD</v>
      </c>
      <c r="E59" s="16" t="str">
        <f>IF($D59&lt;&gt;"USD","",IFERROR(INDEX(觀察名單!$L$2:$L$533,MATCH($C59,觀察名單!$B$2:$B$533,0)),""))</f>
        <v/>
      </c>
      <c r="F59" s="16" t="str">
        <f>IF($D59&lt;&gt;"USD","",IFERROR(INDEX(觀察名單!$Q$2:$Q$533,MATCH($C59,觀察名單!$B$2:$B$533,0)),""))</f>
        <v/>
      </c>
    </row>
    <row r="60">
      <c r="A60" s="15" t="inlineStr">
        <is>
          <t>子板塊</t>
        </is>
      </c>
      <c r="B60" s="15" t="inlineStr">
        <is>
          <t>專門零售</t>
        </is>
      </c>
      <c r="C60" s="15" t="inlineStr">
        <is>
          <t>BBY</t>
        </is>
      </c>
      <c r="D60" s="15" t="str">
        <f>IFERROR(INDEX(觀察名單!$F$2:$F$533,MATCH($C60,觀察名單!$B$2:$B$533,0)),"")</f>
        <v>USD</v>
      </c>
      <c r="E60" s="16" t="str">
        <f>IF($D60&lt;&gt;"USD","",IFERROR(INDEX(觀察名單!$L$2:$L$533,MATCH($C60,觀察名單!$B$2:$B$533,0)),""))</f>
        <v/>
      </c>
      <c r="F60" s="16" t="str">
        <f>IF($D60&lt;&gt;"USD","",IFERROR(INDEX(觀察名單!$Q$2:$Q$533,MATCH($C60,觀察名單!$B$2:$B$533,0)),""))</f>
        <v/>
      </c>
    </row>
    <row r="61">
      <c r="A61" s="15" t="inlineStr">
        <is>
          <t>子板塊</t>
        </is>
      </c>
      <c r="B61" s="15" t="inlineStr">
        <is>
          <t>家居耐用與休閒用品</t>
        </is>
      </c>
      <c r="C61" s="15" t="inlineStr">
        <is>
          <t>BC</t>
        </is>
      </c>
      <c r="D61" s="15" t="str">
        <f>IFERROR(INDEX(觀察名單!$F$2:$F$533,MATCH($C61,觀察名單!$B$2:$B$533,0)),"")</f>
        <v>USD</v>
      </c>
      <c r="E61" s="16">
        <f>IF($D61&lt;&gt;"USD","",IFERROR(INDEX(觀察名單!$L$2:$L$533,MATCH($C61,觀察名單!$B$2:$B$533,0)),""))</f>
        <v>1557.8</v>
      </c>
      <c r="F61" s="16">
        <f>IF($D61&lt;&gt;"USD","",IFERROR(INDEX(觀察名單!$Q$2:$Q$533,MATCH($C61,觀察名單!$B$2:$B$533,0)),""))</f>
        <v>136.4</v>
      </c>
    </row>
    <row r="62">
      <c r="A62" s="15" t="inlineStr">
        <is>
          <t>子板塊</t>
        </is>
      </c>
      <c r="B62" s="15" t="inlineStr">
        <is>
          <t>基因治療與基因編輯</t>
        </is>
      </c>
      <c r="C62" s="15" t="inlineStr">
        <is>
          <t>BEAM</t>
        </is>
      </c>
      <c r="D62" s="15" t="str">
        <f>IFERROR(INDEX(觀察名單!$F$2:$F$533,MATCH($C62,觀察名單!$B$2:$B$533,0)),"")</f>
        <v>USD</v>
      </c>
      <c r="E62" s="16">
        <f>IF($D62&lt;&gt;"USD","",IFERROR(INDEX(觀察名單!$L$2:$L$533,MATCH($C62,觀察名單!$B$2:$B$533,0)),""))</f>
        <v>0.49</v>
      </c>
      <c r="F62" s="16">
        <f>IF($D62&lt;&gt;"USD","",IFERROR(INDEX(觀察名單!$Q$2:$Q$533,MATCH($C62,觀察名單!$B$2:$B$533,0)),""))</f>
        <v>-126.553</v>
      </c>
    </row>
    <row r="63">
      <c r="A63" s="15" t="inlineStr">
        <is>
          <t>子板塊</t>
        </is>
      </c>
      <c r="B63" s="15" t="inlineStr">
        <is>
          <t>資產管理</t>
        </is>
      </c>
      <c r="C63" s="15" t="inlineStr">
        <is>
          <t>BEN</t>
        </is>
      </c>
      <c r="D63" s="15" t="str">
        <f>IFERROR(INDEX(觀察名單!$F$2:$F$533,MATCH($C63,觀察名單!$B$2:$B$533,0)),"")</f>
        <v>USD</v>
      </c>
      <c r="E63" s="16">
        <f>IF($D63&lt;&gt;"USD","",IFERROR(INDEX(觀察名單!$L$2:$L$533,MATCH($C63,觀察名單!$B$2:$B$533,0)),""))</f>
        <v>2294.9</v>
      </c>
      <c r="F63" s="16">
        <f>IF($D63&lt;&gt;"USD","",IFERROR(INDEX(觀察名單!$Q$2:$Q$533,MATCH($C63,觀察名單!$B$2:$B$533,0)),""))</f>
        <v>365.4</v>
      </c>
    </row>
    <row r="64">
      <c r="A64" s="15" t="inlineStr">
        <is>
          <t>子板塊</t>
        </is>
      </c>
      <c r="B64" s="15" t="inlineStr">
        <is>
          <t>酒精飲品</t>
        </is>
      </c>
      <c r="C64" s="15" t="inlineStr">
        <is>
          <t>BF.B</t>
        </is>
      </c>
      <c r="D64" s="15" t="str">
        <f>IFERROR(INDEX(觀察名單!$F$2:$F$533,MATCH($C64,觀察名單!$B$2:$B$533,0)),"")</f>
        <v>USD</v>
      </c>
      <c r="E64" s="16" t="str">
        <f>IF($D64&lt;&gt;"USD","",IFERROR(INDEX(觀察名單!$L$2:$L$533,MATCH($C64,觀察名單!$B$2:$B$533,0)),""))</f>
        <v/>
      </c>
      <c r="F64" s="16" t="str">
        <f>IF($D64&lt;&gt;"USD","",IFERROR(INDEX(觀察名單!$Q$2:$Q$533,MATCH($C64,觀察名單!$B$2:$B$533,0)),""))</f>
        <v/>
      </c>
    </row>
    <row r="65">
      <c r="A65" s="15" t="inlineStr">
        <is>
          <t>子板塊</t>
        </is>
      </c>
      <c r="B65" s="15" t="inlineStr">
        <is>
          <t>農產品與農業投入</t>
        </is>
      </c>
      <c r="C65" s="15" t="inlineStr">
        <is>
          <t>BG</t>
        </is>
      </c>
      <c r="D65" s="15" t="str">
        <f>IFERROR(INDEX(觀察名單!$F$2:$F$533,MATCH($C65,觀察名單!$B$2:$B$533,0)),"")</f>
        <v>USD</v>
      </c>
      <c r="E65" s="16">
        <f>IF($D65&lt;&gt;"USD","",IFERROR(INDEX(觀察名單!$L$2:$L$533,MATCH($C65,觀察名單!$B$2:$B$533,0)),""))</f>
        <v>24041.0</v>
      </c>
      <c r="F65" s="16">
        <f>IF($D65&lt;&gt;"USD","",IFERROR(INDEX(觀察名單!$Q$2:$Q$533,MATCH($C65,觀察名單!$B$2:$B$533,0)),""))</f>
        <v>1075.0</v>
      </c>
    </row>
    <row r="66">
      <c r="A66" s="15" t="inlineStr">
        <is>
          <t>子板塊</t>
        </is>
      </c>
      <c r="B66" s="15" t="inlineStr">
        <is>
          <t>大型生物科技</t>
        </is>
      </c>
      <c r="C66" s="15" t="inlineStr">
        <is>
          <t>BIIB</t>
        </is>
      </c>
      <c r="D66" s="15" t="str">
        <f>IFERROR(INDEX(觀察名單!$F$2:$F$533,MATCH($C66,觀察名單!$B$2:$B$533,0)),"")</f>
        <v>USD</v>
      </c>
      <c r="E66" s="16">
        <f>IF($D66&lt;&gt;"USD","",IFERROR(INDEX(觀察名單!$L$2:$L$533,MATCH($C66,觀察名單!$B$2:$B$533,0)),""))</f>
        <v>2736.0</v>
      </c>
      <c r="F66" s="16">
        <f>IF($D66&lt;&gt;"USD","",IFERROR(INDEX(觀察名單!$Q$2:$Q$533,MATCH($C66,觀察名單!$B$2:$B$533,0)),""))</f>
        <v>482.8</v>
      </c>
    </row>
    <row r="67">
      <c r="A67" s="15" t="inlineStr">
        <is>
          <t>子板塊</t>
        </is>
      </c>
      <c r="B67" s="15" t="inlineStr">
        <is>
          <t>大賣場與超巿</t>
        </is>
      </c>
      <c r="C67" s="15" t="inlineStr">
        <is>
          <t>BJ</t>
        </is>
      </c>
      <c r="D67" s="15" t="str">
        <f>IFERROR(INDEX(觀察名單!$F$2:$F$533,MATCH($C67,觀察名單!$B$2:$B$533,0)),"")</f>
        <v>USD</v>
      </c>
      <c r="E67" s="16">
        <f>IF($D67&lt;&gt;"USD","",IFERROR(INDEX(觀察名單!$L$2:$L$533,MATCH($C67,觀察名單!$B$2:$B$533,0)),""))</f>
        <v>6226.579</v>
      </c>
      <c r="F67" s="16">
        <f>IF($D67&lt;&gt;"USD","",IFERROR(INDEX(觀察名單!$Q$2:$Q$533,MATCH($C67,觀察名單!$B$2:$B$533,0)),""))</f>
        <v>258.793</v>
      </c>
    </row>
    <row r="68">
      <c r="A68" s="15" t="inlineStr">
        <is>
          <t>子板塊</t>
        </is>
      </c>
      <c r="B68" s="15" t="inlineStr">
        <is>
          <t>油田服務</t>
        </is>
      </c>
      <c r="C68" s="15" t="inlineStr">
        <is>
          <t>BKR</t>
        </is>
      </c>
      <c r="D68" s="15" t="str">
        <f>IFERROR(INDEX(觀察名單!$F$2:$F$533,MATCH($C68,觀察名單!$B$2:$B$533,0)),"")</f>
        <v>USD</v>
      </c>
      <c r="E68" s="16">
        <f>IF($D68&lt;&gt;"USD","",IFERROR(INDEX(觀察名單!$L$2:$L$533,MATCH($C68,觀察名單!$B$2:$B$533,0)),""))</f>
        <v>6742.0</v>
      </c>
      <c r="F68" s="16">
        <f>IF($D68&lt;&gt;"USD","",IFERROR(INDEX(觀察名單!$Q$2:$Q$533,MATCH($C68,觀察名單!$B$2:$B$533,0)),""))</f>
        <v>865.0</v>
      </c>
    </row>
    <row r="69">
      <c r="A69" s="15" t="inlineStr">
        <is>
          <t>子板塊</t>
        </is>
      </c>
      <c r="B69" s="15" t="inlineStr">
        <is>
          <t>資產管理</t>
        </is>
      </c>
      <c r="C69" s="15" t="inlineStr">
        <is>
          <t>BLK</t>
        </is>
      </c>
      <c r="D69" s="15" t="str">
        <f>IFERROR(INDEX(觀察名單!$F$2:$F$533,MATCH($C69,觀察名單!$B$2:$B$533,0)),"")</f>
        <v>USD</v>
      </c>
      <c r="E69" s="16">
        <f>IF($D69&lt;&gt;"USD","",IFERROR(INDEX(觀察名單!$L$2:$L$533,MATCH($C69,觀察名單!$B$2:$B$533,0)),""))</f>
        <v>7084.0</v>
      </c>
      <c r="F69" s="16">
        <f>IF($D69&lt;&gt;"USD","",IFERROR(INDEX(觀察名單!$Q$2:$Q$533,MATCH($C69,觀察名單!$B$2:$B$533,0)),""))</f>
        <v>2472.0</v>
      </c>
    </row>
    <row r="70">
      <c r="A70" s="15" t="inlineStr">
        <is>
          <t>子板塊</t>
        </is>
      </c>
      <c r="B70" s="15" t="inlineStr">
        <is>
          <t>大型藥廠</t>
        </is>
      </c>
      <c r="C70" s="15" t="inlineStr">
        <is>
          <t>BMY</t>
        </is>
      </c>
      <c r="D70" s="15" t="str">
        <f>IFERROR(INDEX(觀察名單!$F$2:$F$533,MATCH($C70,觀察名單!$B$2:$B$533,0)),"")</f>
        <v>USD</v>
      </c>
      <c r="E70" s="16">
        <f>IF($D70&lt;&gt;"USD","",IFERROR(INDEX(觀察名單!$L$2:$L$533,MATCH($C70,觀察名單!$B$2:$B$533,0)),""))</f>
        <v>12973.0</v>
      </c>
      <c r="F70" s="16">
        <f>IF($D70&lt;&gt;"USD","",IFERROR(INDEX(觀察名單!$Q$2:$Q$533,MATCH($C70,觀察名單!$B$2:$B$533,0)),""))</f>
        <v>4025.0</v>
      </c>
    </row>
    <row r="71">
      <c r="A71" s="15" t="inlineStr">
        <is>
          <t>子板塊</t>
        </is>
      </c>
      <c r="B71" s="15" t="inlineStr">
        <is>
          <t>保險經紀</t>
        </is>
      </c>
      <c r="C71" s="15" t="inlineStr">
        <is>
          <t>BRO</t>
        </is>
      </c>
      <c r="D71" s="15" t="str">
        <f>IFERROR(INDEX(觀察名單!$F$2:$F$533,MATCH($C71,觀察名單!$B$2:$B$533,0)),"")</f>
        <v>USD</v>
      </c>
      <c r="E71" s="16">
        <f>IF($D71&lt;&gt;"USD","",IFERROR(INDEX(觀察名單!$L$2:$L$533,MATCH($C71,觀察名單!$B$2:$B$533,0)),""))</f>
        <v>1654.0</v>
      </c>
      <c r="F71" s="16">
        <f>IF($D71&lt;&gt;"USD","",IFERROR(INDEX(觀察名單!$Q$2:$Q$533,MATCH($C71,觀察名單!$B$2:$B$533,0)),""))</f>
        <v>417.0</v>
      </c>
    </row>
    <row r="72">
      <c r="A72" s="15" t="inlineStr">
        <is>
          <t>子板塊</t>
        </is>
      </c>
      <c r="B72" s="15" t="inlineStr">
        <is>
          <t>醫療器械</t>
        </is>
      </c>
      <c r="C72" s="15" t="inlineStr">
        <is>
          <t>BSX</t>
        </is>
      </c>
      <c r="D72" s="15" t="str">
        <f>IFERROR(INDEX(觀察名單!$F$2:$F$533,MATCH($C72,觀察名單!$B$2:$B$533,0)),"")</f>
        <v>USD</v>
      </c>
      <c r="E72" s="16" t="str">
        <f>IF($D72&lt;&gt;"USD","",IFERROR(INDEX(觀察名單!$L$2:$L$533,MATCH($C72,觀察名單!$B$2:$B$533,0)),""))</f>
        <v/>
      </c>
      <c r="F72" s="16" t="str">
        <f>IF($D72&lt;&gt;"USD","",IFERROR(INDEX(觀察名單!$Q$2:$Q$533,MATCH($C72,觀察名單!$B$2:$B$533,0)),""))</f>
        <v/>
      </c>
    </row>
    <row r="73">
      <c r="A73" s="15" t="inlineStr">
        <is>
          <t>子板塊</t>
        </is>
      </c>
      <c r="B73" s="15" t="inlineStr">
        <is>
          <t>煤炭</t>
        </is>
      </c>
      <c r="C73" s="15" t="inlineStr">
        <is>
          <t>BTU</t>
        </is>
      </c>
      <c r="D73" s="15" t="str">
        <f>IFERROR(INDEX(觀察名單!$F$2:$F$533,MATCH($C73,觀察名單!$B$2:$B$533,0)),"")</f>
        <v>USD</v>
      </c>
      <c r="E73" s="16">
        <f>IF($D73&lt;&gt;"USD","",IFERROR(INDEX(觀察名單!$L$2:$L$533,MATCH($C73,觀察名單!$B$2:$B$533,0)),""))</f>
        <v>1003.2</v>
      </c>
      <c r="F73" s="16">
        <f>IF($D73&lt;&gt;"USD","",IFERROR(INDEX(觀察名單!$Q$2:$Q$533,MATCH($C73,觀察名單!$B$2:$B$533,0)),""))</f>
        <v>-95.3</v>
      </c>
    </row>
    <row r="74">
      <c r="A74" s="15" t="inlineStr">
        <is>
          <t>子板塊</t>
        </is>
      </c>
      <c r="B74" s="15" t="inlineStr">
        <is>
          <t>另類資產與私募信貸</t>
        </is>
      </c>
      <c r="C74" s="15" t="inlineStr">
        <is>
          <t>BX</t>
        </is>
      </c>
      <c r="D74" s="15" t="str">
        <f>IFERROR(INDEX(觀察名單!$F$2:$F$533,MATCH($C74,觀察名單!$B$2:$B$533,0)),"")</f>
        <v>USD</v>
      </c>
      <c r="E74" s="16">
        <f>IF($D74&lt;&gt;"USD","",IFERROR(INDEX(觀察名單!$L$2:$L$533,MATCH($C74,觀察名單!$B$2:$B$533,0)),""))</f>
        <v>4187.932</v>
      </c>
      <c r="F74" s="16" t="str">
        <f>IF($D74&lt;&gt;"USD","",IFERROR(INDEX(觀察名單!$Q$2:$Q$533,MATCH($C74,觀察名單!$B$2:$B$533,0)),""))</f>
        <v/>
      </c>
    </row>
    <row r="75">
      <c r="A75" s="15" t="inlineStr">
        <is>
          <t>子板塊</t>
        </is>
      </c>
      <c r="B75" s="15" t="inlineStr">
        <is>
          <t>辦公樓REIT</t>
        </is>
      </c>
      <c r="C75" s="15" t="inlineStr">
        <is>
          <t>BXP</t>
        </is>
      </c>
      <c r="D75" s="15" t="str">
        <f>IFERROR(INDEX(觀察名單!$F$2:$F$533,MATCH($C75,觀察名單!$B$2:$B$533,0)),"")</f>
        <v>USD</v>
      </c>
      <c r="E75" s="16">
        <f>IF($D75&lt;&gt;"USD","",IFERROR(INDEX(觀察名單!$L$2:$L$533,MATCH($C75,觀察名單!$B$2:$B$533,0)),""))</f>
        <v>895.699</v>
      </c>
      <c r="F75" s="16">
        <f>IF($D75&lt;&gt;"USD","",IFERROR(INDEX(觀察名單!$Q$2:$Q$533,MATCH($C75,觀察名單!$B$2:$B$533,0)),""))</f>
        <v>258.867</v>
      </c>
    </row>
    <row r="76">
      <c r="A76" s="15" t="inlineStr">
        <is>
          <t>子板塊</t>
        </is>
      </c>
      <c r="B76" s="15" t="inlineStr">
        <is>
          <t>大型全能銀行</t>
        </is>
      </c>
      <c r="C76" s="15" t="inlineStr">
        <is>
          <t>C</t>
        </is>
      </c>
      <c r="D76" s="15" t="str">
        <f>IFERROR(INDEX(觀察名單!$F$2:$F$533,MATCH($C76,觀察名單!$B$2:$B$533,0)),"")</f>
        <v>USD</v>
      </c>
      <c r="E76" s="16">
        <f>IF($D76&lt;&gt;"USD","",IFERROR(INDEX(觀察名單!$L$2:$L$533,MATCH($C76,觀察名單!$B$2:$B$533,0)),""))</f>
        <v>24765.0</v>
      </c>
      <c r="F76" s="16" t="str">
        <f>IF($D76&lt;&gt;"USD","",IFERROR(INDEX(觀察名單!$Q$2:$Q$533,MATCH($C76,觀察名單!$B$2:$B$533,0)),""))</f>
        <v/>
      </c>
    </row>
    <row r="77">
      <c r="A77" s="15" t="inlineStr">
        <is>
          <t>子板塊</t>
        </is>
      </c>
      <c r="B77" s="15" t="inlineStr">
        <is>
          <t>食品加工</t>
        </is>
      </c>
      <c r="C77" s="15" t="inlineStr">
        <is>
          <t>CAG</t>
        </is>
      </c>
      <c r="D77" s="15" t="str">
        <f>IFERROR(INDEX(觀察名單!$F$2:$F$533,MATCH($C77,觀察名單!$B$2:$B$533,0)),"")</f>
        <v>USD</v>
      </c>
      <c r="E77" s="16">
        <f>IF($D77&lt;&gt;"USD","",IFERROR(INDEX(觀察名單!$L$2:$L$533,MATCH($C77,觀察名單!$B$2:$B$533,0)),""))</f>
        <v>2882.1</v>
      </c>
      <c r="F77" s="16">
        <f>IF($D77&lt;&gt;"USD","",IFERROR(INDEX(觀察名單!$Q$2:$Q$533,MATCH($C77,觀察名單!$B$2:$B$533,0)),""))</f>
        <v>303.0</v>
      </c>
    </row>
    <row r="78">
      <c r="A78" s="15" t="inlineStr">
        <is>
          <t>子板塊</t>
        </is>
      </c>
      <c r="B78" s="15" t="inlineStr">
        <is>
          <t>藥品分銷與藥房</t>
        </is>
      </c>
      <c r="C78" s="15" t="inlineStr">
        <is>
          <t>CAH</t>
        </is>
      </c>
      <c r="D78" s="15" t="str">
        <f>IFERROR(INDEX(觀察名單!$F$2:$F$533,MATCH($C78,觀察名單!$B$2:$B$533,0)),"")</f>
        <v>USD</v>
      </c>
      <c r="E78" s="16">
        <f>IF($D78&lt;&gt;"USD","",IFERROR(INDEX(觀察名單!$L$2:$L$533,MATCH($C78,觀察名單!$B$2:$B$533,0)),""))</f>
        <v>63672.0</v>
      </c>
      <c r="F78" s="16">
        <f>IF($D78&lt;&gt;"USD","",IFERROR(INDEX(觀察名單!$Q$2:$Q$533,MATCH($C78,觀察名單!$B$2:$B$533,0)),""))</f>
        <v>814.0</v>
      </c>
    </row>
    <row r="79">
      <c r="A79" s="15" t="inlineStr">
        <is>
          <t>子板塊</t>
        </is>
      </c>
      <c r="B79" s="15" t="inlineStr">
        <is>
          <t>樓宇產品與HVAC</t>
        </is>
      </c>
      <c r="C79" s="15" t="inlineStr">
        <is>
          <t>CARR</t>
        </is>
      </c>
      <c r="D79" s="15" t="str">
        <f>IFERROR(INDEX(觀察名單!$F$2:$F$533,MATCH($C79,觀察名單!$B$2:$B$533,0)),"")</f>
        <v>USD</v>
      </c>
      <c r="E79" s="16">
        <f>IF($D79&lt;&gt;"USD","",IFERROR(INDEX(觀察名單!$L$2:$L$533,MATCH($C79,觀察名單!$B$2:$B$533,0)),""))</f>
        <v>6351.0</v>
      </c>
      <c r="F79" s="16">
        <f>IF($D79&lt;&gt;"USD","",IFERROR(INDEX(觀察名單!$Q$2:$Q$533,MATCH($C79,觀察名單!$B$2:$B$533,0)),""))</f>
        <v>770.0</v>
      </c>
    </row>
    <row r="80">
      <c r="A80" s="15" t="inlineStr">
        <is>
          <t>子板塊</t>
        </is>
      </c>
      <c r="B80" s="15" t="inlineStr">
        <is>
          <t>機械與重工</t>
        </is>
      </c>
      <c r="C80" s="15" t="inlineStr">
        <is>
          <t>CAT</t>
        </is>
      </c>
      <c r="D80" s="15" t="str">
        <f>IFERROR(INDEX(觀察名單!$F$2:$F$533,MATCH($C80,觀察名單!$B$2:$B$533,0)),"")</f>
        <v>USD</v>
      </c>
      <c r="E80" s="16">
        <f>IF($D80&lt;&gt;"USD","",IFERROR(INDEX(觀察名單!$L$2:$L$533,MATCH($C80,觀察名單!$B$2:$B$533,0)),""))</f>
        <v>20543.0</v>
      </c>
      <c r="F80" s="16">
        <f>IF($D80&lt;&gt;"USD","",IFERROR(INDEX(觀察名單!$Q$2:$Q$533,MATCH($C80,觀察名單!$B$2:$B$533,0)),""))</f>
        <v>4295.0</v>
      </c>
    </row>
    <row r="81">
      <c r="A81" s="15" t="inlineStr">
        <is>
          <t>子板塊</t>
        </is>
      </c>
      <c r="B81" s="15" t="inlineStr">
        <is>
          <t>產險與再保</t>
        </is>
      </c>
      <c r="C81" s="15" t="inlineStr">
        <is>
          <t>CB</t>
        </is>
      </c>
      <c r="D81" s="15" t="str">
        <f>IFERROR(INDEX(觀察名單!$F$2:$F$533,MATCH($C81,觀察名單!$B$2:$B$533,0)),"")</f>
        <v>USD</v>
      </c>
      <c r="E81" s="16">
        <f>IF($D81&lt;&gt;"USD","",IFERROR(INDEX(觀察名單!$L$2:$L$533,MATCH($C81,觀察名單!$B$2:$B$533,0)),""))</f>
        <v>15959.0</v>
      </c>
      <c r="F81" s="16">
        <f>IF($D81&lt;&gt;"USD","",IFERROR(INDEX(觀察名單!$Q$2:$Q$533,MATCH($C81,觀察名單!$B$2:$B$533,0)),""))</f>
        <v>3824.0</v>
      </c>
    </row>
    <row r="82">
      <c r="A82" s="15" t="inlineStr">
        <is>
          <t>子板塊</t>
        </is>
      </c>
      <c r="B82" s="15" t="inlineStr">
        <is>
          <t>交易所與金融數據</t>
        </is>
      </c>
      <c r="C82" s="15" t="inlineStr">
        <is>
          <t>CBOE</t>
        </is>
      </c>
      <c r="D82" s="15" t="str">
        <f>IFERROR(INDEX(觀察名單!$F$2:$F$533,MATCH($C82,觀察名單!$B$2:$B$533,0)),"")</f>
        <v>USD</v>
      </c>
      <c r="E82" s="16">
        <f>IF($D82&lt;&gt;"USD","",IFERROR(INDEX(觀察名單!$L$2:$L$533,MATCH($C82,觀察名單!$B$2:$B$533,0)),""))</f>
        <v>1442.8</v>
      </c>
      <c r="F82" s="16">
        <f>IF($D82&lt;&gt;"USD","",IFERROR(INDEX(觀察名單!$Q$2:$Q$533,MATCH($C82,觀察名單!$B$2:$B$533,0)),""))</f>
        <v>476.0</v>
      </c>
    </row>
    <row r="83">
      <c r="A83" s="15" t="inlineStr">
        <is>
          <t>子板塊</t>
        </is>
      </c>
      <c r="B83" s="15" t="inlineStr">
        <is>
          <t>地產開發與服務</t>
        </is>
      </c>
      <c r="C83" s="15" t="inlineStr">
        <is>
          <t>CBRE</t>
        </is>
      </c>
      <c r="D83" s="15" t="str">
        <f>IFERROR(INDEX(觀察名單!$F$2:$F$533,MATCH($C83,觀察名單!$B$2:$B$533,0)),"")</f>
        <v>USD</v>
      </c>
      <c r="E83" s="16">
        <f>IF($D83&lt;&gt;"USD","",IFERROR(INDEX(觀察名單!$L$2:$L$533,MATCH($C83,觀察名單!$B$2:$B$533,0)),""))</f>
        <v>11226.0</v>
      </c>
      <c r="F83" s="16">
        <f>IF($D83&lt;&gt;"USD","",IFERROR(INDEX(觀察名單!$Q$2:$Q$533,MATCH($C83,觀察名單!$B$2:$B$533,0)),""))</f>
        <v>360.0</v>
      </c>
    </row>
    <row r="84">
      <c r="A84" s="15" t="inlineStr">
        <is>
          <t>子板塊</t>
        </is>
      </c>
      <c r="B84" s="15" t="inlineStr">
        <is>
          <t>通訊塔REIT</t>
        </is>
      </c>
      <c r="C84" s="15" t="inlineStr">
        <is>
          <t>CCI</t>
        </is>
      </c>
      <c r="D84" s="15" t="str">
        <f>IFERROR(INDEX(觀察名單!$F$2:$F$533,MATCH($C84,觀察名單!$B$2:$B$533,0)),"")</f>
        <v>USD</v>
      </c>
      <c r="E84" s="16">
        <f>IF($D84&lt;&gt;"USD","",IFERROR(INDEX(觀察名單!$L$2:$L$533,MATCH($C84,觀察名單!$B$2:$B$533,0)),""))</f>
        <v>1008.0</v>
      </c>
      <c r="F84" s="16">
        <f>IF($D84&lt;&gt;"USD","",IFERROR(INDEX(觀察名單!$Q$2:$Q$533,MATCH($C84,觀察名單!$B$2:$B$533,0)),""))</f>
        <v>472.0</v>
      </c>
    </row>
    <row r="85">
      <c r="A85" s="15" t="inlineStr">
        <is>
          <t>子板塊</t>
        </is>
      </c>
      <c r="B85" s="15" t="inlineStr">
        <is>
          <t>鈾與核燃料</t>
        </is>
      </c>
      <c r="C85" s="15" t="inlineStr">
        <is>
          <t>CCJ</t>
        </is>
      </c>
      <c r="D85" s="15" t="str">
        <f>IFERROR(INDEX(觀察名單!$F$2:$F$533,MATCH($C85,觀察名單!$B$2:$B$533,0)),"")</f>
        <v>CAD</v>
      </c>
      <c r="E85" s="16" t="str">
        <f>IF($D85&lt;&gt;"USD","",IFERROR(INDEX(觀察名單!$L$2:$L$533,MATCH($C85,觀察名單!$B$2:$B$533,0)),""))</f>
        <v/>
      </c>
      <c r="F85" s="16" t="str">
        <f>IF($D85&lt;&gt;"USD","",IFERROR(INDEX(觀察名單!$Q$2:$Q$533,MATCH($C85,觀察名單!$B$2:$B$533,0)),""))</f>
        <v/>
      </c>
    </row>
    <row r="86">
      <c r="A86" s="15" t="inlineStr">
        <is>
          <t>子板塊</t>
        </is>
      </c>
      <c r="B86" s="15" t="inlineStr">
        <is>
          <t>酒店與郵輪</t>
        </is>
      </c>
      <c r="C86" s="15" t="inlineStr">
        <is>
          <t>CCL</t>
        </is>
      </c>
      <c r="D86" s="15" t="str">
        <f>IFERROR(INDEX(觀察名單!$F$2:$F$533,MATCH($C86,觀察名單!$B$2:$B$533,0)),"")</f>
        <v>USD</v>
      </c>
      <c r="E86" s="16">
        <f>IF($D86&lt;&gt;"USD","",IFERROR(INDEX(觀察名單!$L$2:$L$533,MATCH($C86,觀察名單!$B$2:$B$533,0)),""))</f>
        <v>6663.0</v>
      </c>
      <c r="F86" s="16">
        <f>IF($D86&lt;&gt;"USD","",IFERROR(INDEX(觀察名單!$Q$2:$Q$533,MATCH($C86,觀察名單!$B$2:$B$533,0)),""))</f>
        <v>852.0</v>
      </c>
    </row>
    <row r="87">
      <c r="A87" s="15" t="inlineStr">
        <is>
          <t>子板塊</t>
        </is>
      </c>
      <c r="B87" s="15" t="inlineStr">
        <is>
          <t>白銀礦</t>
        </is>
      </c>
      <c r="C87" s="15" t="inlineStr">
        <is>
          <t>CDE</t>
        </is>
      </c>
      <c r="D87" s="15" t="str">
        <f>IFERROR(INDEX(觀察名單!$F$2:$F$533,MATCH($C87,觀察名單!$B$2:$B$533,0)),"")</f>
        <v>USD</v>
      </c>
      <c r="E87" s="16">
        <f>IF($D87&lt;&gt;"USD","",IFERROR(INDEX(觀察名單!$L$2:$L$533,MATCH($C87,觀察名單!$B$2:$B$533,0)),""))</f>
        <v>1085.592</v>
      </c>
      <c r="F87" s="16">
        <f>IF($D87&lt;&gt;"USD","",IFERROR(INDEX(觀察名單!$Q$2:$Q$533,MATCH($C87,觀察名單!$B$2:$B$533,0)),""))</f>
        <v>216.983</v>
      </c>
    </row>
    <row r="88">
      <c r="A88" s="15" t="inlineStr">
        <is>
          <t>子板塊</t>
        </is>
      </c>
      <c r="B88" s="15" t="inlineStr">
        <is>
          <t>EDA與半導體IP</t>
        </is>
      </c>
      <c r="C88" s="15" t="inlineStr">
        <is>
          <t>CDNS</t>
        </is>
      </c>
      <c r="D88" s="15" t="str">
        <f>IFERROR(INDEX(觀察名單!$F$2:$F$533,MATCH($C88,觀察名單!$B$2:$B$533,0)),"")</f>
        <v>USD</v>
      </c>
      <c r="E88" s="16">
        <f>IF($D88&lt;&gt;"USD","",IFERROR(INDEX(觀察名單!$L$2:$L$533,MATCH($C88,觀察名單!$B$2:$B$533,0)),""))</f>
        <v>1584.451</v>
      </c>
      <c r="F88" s="16">
        <f>IF($D88&lt;&gt;"USD","",IFERROR(INDEX(觀察名單!$Q$2:$Q$533,MATCH($C88,觀察名單!$B$2:$B$533,0)),""))</f>
        <v>449.963</v>
      </c>
    </row>
    <row r="89">
      <c r="A89" s="15" t="inlineStr">
        <is>
          <t>子板塊</t>
        </is>
      </c>
      <c r="B89" s="15" t="inlineStr">
        <is>
          <t>IPP與電力交易商</t>
        </is>
      </c>
      <c r="C89" s="15" t="inlineStr">
        <is>
          <t>CEG</t>
        </is>
      </c>
      <c r="D89" s="15" t="str">
        <f>IFERROR(INDEX(觀察名單!$F$2:$F$533,MATCH($C89,觀察名單!$B$2:$B$533,0)),"")</f>
        <v>USD</v>
      </c>
      <c r="E89" s="16">
        <f>IF($D89&lt;&gt;"USD","",IFERROR(INDEX(觀察名單!$L$2:$L$533,MATCH($C89,觀察名單!$B$2:$B$533,0)),""))</f>
        <v>7504.0</v>
      </c>
      <c r="F89" s="16">
        <f>IF($D89&lt;&gt;"USD","",IFERROR(INDEX(觀察名單!$Q$2:$Q$533,MATCH($C89,觀察名單!$B$2:$B$533,0)),""))</f>
        <v>-47.0</v>
      </c>
    </row>
    <row r="90">
      <c r="A90" s="15" t="inlineStr">
        <is>
          <t>子板塊</t>
        </is>
      </c>
      <c r="B90" s="15" t="inlineStr">
        <is>
          <t>非酒精飲品</t>
        </is>
      </c>
      <c r="C90" s="15" t="inlineStr">
        <is>
          <t>CELH</t>
        </is>
      </c>
      <c r="D90" s="15" t="str">
        <f>IFERROR(INDEX(觀察名單!$F$2:$F$533,MATCH($C90,觀察名單!$B$2:$B$533,0)),"")</f>
        <v>USD</v>
      </c>
      <c r="E90" s="16">
        <f>IF($D90&lt;&gt;"USD","",IFERROR(INDEX(觀察名單!$L$2:$L$533,MATCH($C90,觀察名單!$B$2:$B$533,0)),""))</f>
        <v>817.925</v>
      </c>
      <c r="F90" s="16">
        <f>IF($D90&lt;&gt;"USD","",IFERROR(INDEX(觀察名單!$Q$2:$Q$533,MATCH($C90,觀察名單!$B$2:$B$533,0)),""))</f>
        <v>156.115</v>
      </c>
    </row>
    <row r="91">
      <c r="A91" s="15" t="inlineStr">
        <is>
          <t>子板塊</t>
        </is>
      </c>
      <c r="B91" s="15" t="inlineStr">
        <is>
          <t>鋁業</t>
        </is>
      </c>
      <c r="C91" s="15" t="inlineStr">
        <is>
          <t>CENX</t>
        </is>
      </c>
      <c r="D91" s="15" t="str">
        <f>IFERROR(INDEX(觀察名單!$F$2:$F$533,MATCH($C91,觀察名單!$B$2:$B$533,0)),"")</f>
        <v>USD</v>
      </c>
      <c r="E91" s="16">
        <f>IF($D91&lt;&gt;"USD","",IFERROR(INDEX(觀察名單!$L$2:$L$533,MATCH($C91,觀察名單!$B$2:$B$533,0)),""))</f>
        <v>752.1</v>
      </c>
      <c r="F91" s="16">
        <f>IF($D91&lt;&gt;"USD","",IFERROR(INDEX(觀察名單!$Q$2:$Q$533,MATCH($C91,觀察名單!$B$2:$B$533,0)),""))</f>
        <v>211.6</v>
      </c>
    </row>
    <row r="92">
      <c r="A92" s="15" t="inlineStr">
        <is>
          <t>子板塊</t>
        </is>
      </c>
      <c r="B92" s="15" t="inlineStr">
        <is>
          <t>基礎化工與化肥</t>
        </is>
      </c>
      <c r="C92" s="15" t="inlineStr">
        <is>
          <t>CF</t>
        </is>
      </c>
      <c r="D92" s="15" t="str">
        <f>IFERROR(INDEX(觀察名單!$F$2:$F$533,MATCH($C92,觀察名單!$B$2:$B$533,0)),"")</f>
        <v>USD</v>
      </c>
      <c r="E92" s="16">
        <f>IF($D92&lt;&gt;"USD","",IFERROR(INDEX(觀察名單!$L$2:$L$533,MATCH($C92,觀察名單!$B$2:$B$533,0)),""))</f>
        <v>2222.0</v>
      </c>
      <c r="F92" s="16">
        <f>IF($D92&lt;&gt;"USD","",IFERROR(INDEX(觀察名單!$Q$2:$Q$533,MATCH($C92,觀察名單!$B$2:$B$533,0)),""))</f>
        <v>1103.0</v>
      </c>
    </row>
    <row r="93">
      <c r="A93" s="15" t="inlineStr">
        <is>
          <t>子板塊</t>
        </is>
      </c>
      <c r="B93" s="15" t="inlineStr">
        <is>
          <t>家庭與個人護理</t>
        </is>
      </c>
      <c r="C93" s="15" t="inlineStr">
        <is>
          <t>CHD</t>
        </is>
      </c>
      <c r="D93" s="15" t="str">
        <f>IFERROR(INDEX(觀察名單!$F$2:$F$533,MATCH($C93,觀察名單!$B$2:$B$533,0)),"")</f>
        <v>USD</v>
      </c>
      <c r="E93" s="16" t="str">
        <f>IF($D93&lt;&gt;"USD","",IFERROR(INDEX(觀察名單!$L$2:$L$533,MATCH($C93,觀察名單!$B$2:$B$533,0)),""))</f>
        <v/>
      </c>
      <c r="F93" s="16" t="str">
        <f>IF($D93&lt;&gt;"USD","",IFERROR(INDEX(觀察名單!$Q$2:$Q$533,MATCH($C93,觀察名單!$B$2:$B$533,0)),""))</f>
        <v/>
      </c>
    </row>
    <row r="94">
      <c r="A94" s="15" t="inlineStr">
        <is>
          <t>子板塊</t>
        </is>
      </c>
      <c r="B94" s="15" t="inlineStr">
        <is>
          <t>必需品分銷</t>
        </is>
      </c>
      <c r="C94" s="15" t="inlineStr">
        <is>
          <t>CHEF</t>
        </is>
      </c>
      <c r="D94" s="15" t="str">
        <f>IFERROR(INDEX(觀察名單!$F$2:$F$533,MATCH($C94,觀察名單!$B$2:$B$533,0)),"")</f>
        <v>USD</v>
      </c>
      <c r="E94" s="16">
        <f>IF($D94&lt;&gt;"USD","",IFERROR(INDEX(觀察名單!$L$2:$L$533,MATCH($C94,觀察名單!$B$2:$B$533,0)),""))</f>
        <v>1168.613</v>
      </c>
      <c r="F94" s="16">
        <f>IF($D94&lt;&gt;"USD","",IFERROR(INDEX(觀察名單!$Q$2:$Q$533,MATCH($C94,觀察名單!$B$2:$B$533,0)),""))</f>
        <v>58.629</v>
      </c>
    </row>
    <row r="95">
      <c r="A95" s="15" t="inlineStr">
        <is>
          <t>子板塊</t>
        </is>
      </c>
      <c r="B95" s="15" t="inlineStr">
        <is>
          <t>有線/寬頻/衛星</t>
        </is>
      </c>
      <c r="C95" s="15" t="inlineStr">
        <is>
          <t>CHTR</t>
        </is>
      </c>
      <c r="D95" s="15" t="str">
        <f>IFERROR(INDEX(觀察名單!$F$2:$F$533,MATCH($C95,觀察名單!$B$2:$B$533,0)),"")</f>
        <v>USD</v>
      </c>
      <c r="E95" s="16">
        <f>IF($D95&lt;&gt;"USD","",IFERROR(INDEX(觀察名單!$L$2:$L$533,MATCH($C95,觀察名單!$B$2:$B$533,0)),""))</f>
        <v>13526.0</v>
      </c>
      <c r="F95" s="16">
        <f>IF($D95&lt;&gt;"USD","",IFERROR(INDEX(觀察名單!$Q$2:$Q$533,MATCH($C95,觀察名單!$B$2:$B$533,0)),""))</f>
        <v>3114.0</v>
      </c>
    </row>
    <row r="96">
      <c r="A96" s="15" t="inlineStr">
        <is>
          <t>子板塊</t>
        </is>
      </c>
      <c r="B96" s="15" t="inlineStr">
        <is>
          <t>電商平台</t>
        </is>
      </c>
      <c r="C96" s="15" t="inlineStr">
        <is>
          <t>CHWY</t>
        </is>
      </c>
      <c r="D96" s="15" t="str">
        <f>IFERROR(INDEX(觀察名單!$F$2:$F$533,MATCH($C96,觀察名單!$B$2:$B$533,0)),"")</f>
        <v>USD</v>
      </c>
      <c r="E96" s="16">
        <f>IF($D96&lt;&gt;"USD","",IFERROR(INDEX(觀察名單!$L$2:$L$533,MATCH($C96,觀察名單!$B$2:$B$533,0)),""))</f>
        <v>3357.2</v>
      </c>
      <c r="F96" s="16">
        <f>IF($D96&lt;&gt;"USD","",IFERROR(INDEX(觀察名單!$Q$2:$Q$533,MATCH($C96,觀察名單!$B$2:$B$533,0)),""))</f>
        <v>128.5</v>
      </c>
    </row>
    <row r="97">
      <c r="A97" s="15" t="inlineStr">
        <is>
          <t>子板塊</t>
        </is>
      </c>
      <c r="B97" s="15" t="inlineStr">
        <is>
          <t>醫療保險與管理式醫療</t>
        </is>
      </c>
      <c r="C97" s="15" t="inlineStr">
        <is>
          <t>CI</t>
        </is>
      </c>
      <c r="D97" s="15" t="str">
        <f>IFERROR(INDEX(觀察名單!$F$2:$F$533,MATCH($C97,觀察名單!$B$2:$B$533,0)),"")</f>
        <v>USD</v>
      </c>
      <c r="E97" s="16">
        <f>IF($D97&lt;&gt;"USD","",IFERROR(INDEX(觀察名單!$L$2:$L$533,MATCH($C97,觀察名單!$B$2:$B$533,0)),""))</f>
        <v>71396.0</v>
      </c>
      <c r="F97" s="16">
        <f>IF($D97&lt;&gt;"USD","",IFERROR(INDEX(觀察名單!$Q$2:$Q$533,MATCH($C97,觀察名單!$B$2:$B$533,0)),""))</f>
        <v>2404.0</v>
      </c>
    </row>
    <row r="98">
      <c r="A98" s="15" t="inlineStr">
        <is>
          <t>子板塊</t>
        </is>
      </c>
      <c r="B98" s="15" t="inlineStr">
        <is>
          <t>AI資料中心建設</t>
        </is>
      </c>
      <c r="C98" s="15" t="inlineStr">
        <is>
          <t>CIEN</t>
        </is>
      </c>
      <c r="D98" s="15" t="str">
        <f>IFERROR(INDEX(觀察名單!$F$2:$F$533,MATCH($C98,觀察名單!$B$2:$B$533,0)),"")</f>
        <v>USD</v>
      </c>
      <c r="E98" s="16">
        <f>IF($D98&lt;&gt;"USD","",IFERROR(INDEX(觀察名單!$L$2:$L$533,MATCH($C98,觀察名單!$B$2:$B$533,0)),""))</f>
        <v>1570.739</v>
      </c>
      <c r="F98" s="16">
        <f>IF($D98&lt;&gt;"USD","",IFERROR(INDEX(觀察名單!$Q$2:$Q$533,MATCH($C98,觀察名單!$B$2:$B$533,0)),""))</f>
        <v>238.676</v>
      </c>
    </row>
    <row r="99">
      <c r="A99" s="15" t="inlineStr">
        <is>
          <t>子板塊</t>
        </is>
      </c>
      <c r="B99" s="15" t="inlineStr">
        <is>
          <t>家庭與個人護理</t>
        </is>
      </c>
      <c r="C99" s="15" t="inlineStr">
        <is>
          <t>CL</t>
        </is>
      </c>
      <c r="D99" s="15" t="str">
        <f>IFERROR(INDEX(觀察名單!$F$2:$F$533,MATCH($C99,觀察名單!$B$2:$B$533,0)),"")</f>
        <v>USD</v>
      </c>
      <c r="E99" s="16">
        <f>IF($D99&lt;&gt;"USD","",IFERROR(INDEX(觀察名單!$L$2:$L$533,MATCH($C99,觀察名單!$B$2:$B$533,0)),""))</f>
        <v>5361.0</v>
      </c>
      <c r="F99" s="16">
        <f>IF($D99&lt;&gt;"USD","",IFERROR(INDEX(觀察名單!$Q$2:$Q$533,MATCH($C99,觀察名單!$B$2:$B$533,0)),""))</f>
        <v>1016.0</v>
      </c>
    </row>
    <row r="100">
      <c r="A100" s="15" t="inlineStr">
        <is>
          <t>子板塊</t>
        </is>
      </c>
      <c r="B100" s="15" t="inlineStr">
        <is>
          <t>鋼鐵</t>
        </is>
      </c>
      <c r="C100" s="15" t="inlineStr">
        <is>
          <t>CLF</t>
        </is>
      </c>
      <c r="D100" s="15" t="str">
        <f>IFERROR(INDEX(觀察名單!$F$2:$F$533,MATCH($C100,觀察名單!$B$2:$B$533,0)),"")</f>
        <v>USD</v>
      </c>
      <c r="E100" s="16">
        <f>IF($D100&lt;&gt;"USD","",IFERROR(INDEX(觀察名單!$L$2:$L$533,MATCH($C100,觀察名單!$B$2:$B$533,0)),""))</f>
        <v>5226.0</v>
      </c>
      <c r="F100" s="16">
        <f>IF($D100&lt;&gt;"USD","",IFERROR(INDEX(觀察名單!$Q$2:$Q$533,MATCH($C100,觀察名單!$B$2:$B$533,0)),""))</f>
        <v>-46.0</v>
      </c>
    </row>
    <row r="101">
      <c r="A101" s="15" t="inlineStr">
        <is>
          <t>子板塊</t>
        </is>
      </c>
      <c r="B101" s="15" t="inlineStr">
        <is>
          <t>廢物管理與環境服務</t>
        </is>
      </c>
      <c r="C101" s="15" t="inlineStr">
        <is>
          <t>CLH</t>
        </is>
      </c>
      <c r="D101" s="15" t="str">
        <f>IFERROR(INDEX(觀察名單!$F$2:$F$533,MATCH($C101,觀察名單!$B$2:$B$533,0)),"")</f>
        <v>USD</v>
      </c>
      <c r="E101" s="16">
        <f>IF($D101&lt;&gt;"USD","",IFERROR(INDEX(觀察名單!$L$2:$L$533,MATCH($C101,觀察名單!$B$2:$B$533,0)),""))</f>
        <v>1735.005</v>
      </c>
      <c r="F101" s="16">
        <f>IF($D101&lt;&gt;"USD","",IFERROR(INDEX(觀察名單!$Q$2:$Q$533,MATCH($C101,觀察名單!$B$2:$B$533,0)),""))</f>
        <v>268.897</v>
      </c>
    </row>
    <row r="102">
      <c r="A102" s="15" t="inlineStr">
        <is>
          <t>子板塊</t>
        </is>
      </c>
      <c r="B102" s="15" t="inlineStr">
        <is>
          <t>有線/寬頻/衛星</t>
        </is>
      </c>
      <c r="C102" s="15" t="inlineStr">
        <is>
          <t>CMCSA</t>
        </is>
      </c>
      <c r="D102" s="15" t="str">
        <f>IFERROR(INDEX(觀察名單!$F$2:$F$533,MATCH($C102,觀察名單!$B$2:$B$533,0)),"")</f>
        <v>USD</v>
      </c>
      <c r="E102" s="16">
        <f>IF($D102&lt;&gt;"USD","",IFERROR(INDEX(觀察名單!$L$2:$L$533,MATCH($C102,觀察名單!$B$2:$B$533,0)),""))</f>
        <v>29940.0</v>
      </c>
      <c r="F102" s="16">
        <f>IF($D102&lt;&gt;"USD","",IFERROR(INDEX(觀察名單!$Q$2:$Q$533,MATCH($C102,觀察名單!$B$2:$B$533,0)),""))</f>
        <v>5160.0</v>
      </c>
    </row>
    <row r="103">
      <c r="A103" s="15" t="inlineStr">
        <is>
          <t>子板塊</t>
        </is>
      </c>
      <c r="B103" s="15" t="inlineStr">
        <is>
          <t>交易所與金融數據</t>
        </is>
      </c>
      <c r="C103" s="15" t="inlineStr">
        <is>
          <t>CME</t>
        </is>
      </c>
      <c r="D103" s="15" t="str">
        <f>IFERROR(INDEX(觀察名單!$F$2:$F$533,MATCH($C103,觀察名單!$B$2:$B$533,0)),"")</f>
        <v>USD</v>
      </c>
      <c r="E103" s="16">
        <f>IF($D103&lt;&gt;"USD","",IFERROR(INDEX(觀察名單!$L$2:$L$533,MATCH($C103,觀察名單!$B$2:$B$533,0)),""))</f>
        <v>1706.2</v>
      </c>
      <c r="F103" s="16">
        <f>IF($D103&lt;&gt;"USD","",IFERROR(INDEX(觀察名單!$Q$2:$Q$533,MATCH($C103,觀察名單!$B$2:$B$533,0)),""))</f>
        <v>1107.1</v>
      </c>
    </row>
    <row r="104">
      <c r="A104" s="15" t="inlineStr">
        <is>
          <t>子板塊</t>
        </is>
      </c>
      <c r="B104" s="15" t="inlineStr">
        <is>
          <t>餐飲連鎖</t>
        </is>
      </c>
      <c r="C104" s="15" t="inlineStr">
        <is>
          <t>CMG</t>
        </is>
      </c>
      <c r="D104" s="15" t="str">
        <f>IFERROR(INDEX(觀察名單!$F$2:$F$533,MATCH($C104,觀察名單!$B$2:$B$533,0)),"")</f>
        <v>USD</v>
      </c>
      <c r="E104" s="16">
        <f>IF($D104&lt;&gt;"USD","",IFERROR(INDEX(觀察名單!$L$2:$L$533,MATCH($C104,觀察名單!$B$2:$B$533,0)),""))</f>
        <v>3348.562</v>
      </c>
      <c r="F104" s="16">
        <f>IF($D104&lt;&gt;"USD","",IFERROR(INDEX(觀察名單!$Q$2:$Q$533,MATCH($C104,觀察名單!$B$2:$B$533,0)),""))</f>
        <v>555.767</v>
      </c>
    </row>
    <row r="105">
      <c r="A105" s="15" t="inlineStr">
        <is>
          <t>子板塊</t>
        </is>
      </c>
      <c r="B105" s="15" t="inlineStr">
        <is>
          <t>機械與重工</t>
        </is>
      </c>
      <c r="C105" s="15" t="inlineStr">
        <is>
          <t>CMI</t>
        </is>
      </c>
      <c r="D105" s="15" t="str">
        <f>IFERROR(INDEX(觀察名單!$F$2:$F$533,MATCH($C105,觀察名單!$B$2:$B$533,0)),"")</f>
        <v>USD</v>
      </c>
      <c r="E105" s="16">
        <f>IF($D105&lt;&gt;"USD","",IFERROR(INDEX(觀察名單!$L$2:$L$533,MATCH($C105,觀察名單!$B$2:$B$533,0)),""))</f>
        <v>8398.0</v>
      </c>
      <c r="F105" s="16">
        <f>IF($D105&lt;&gt;"USD","",IFERROR(INDEX(觀察名單!$Q$2:$Q$533,MATCH($C105,觀察名單!$B$2:$B$533,0)),""))</f>
        <v>1000.0</v>
      </c>
    </row>
    <row r="106">
      <c r="A106" s="15" t="inlineStr">
        <is>
          <t>子板塊</t>
        </is>
      </c>
      <c r="B106" s="15" t="inlineStr">
        <is>
          <t>醫療保險與管理式醫療</t>
        </is>
      </c>
      <c r="C106" s="15" t="inlineStr">
        <is>
          <t>CNC</t>
        </is>
      </c>
      <c r="D106" s="15" t="str">
        <f>IFERROR(INDEX(觀察名單!$F$2:$F$533,MATCH($C106,觀察名單!$B$2:$B$533,0)),"")</f>
        <v>USD</v>
      </c>
      <c r="E106" s="16">
        <f>IF($D106&lt;&gt;"USD","",IFERROR(INDEX(觀察名單!$L$2:$L$533,MATCH($C106,觀察名單!$B$2:$B$533,0)),""))</f>
        <v>53579.0</v>
      </c>
      <c r="F106" s="16">
        <f>IF($D106&lt;&gt;"USD","",IFERROR(INDEX(觀察名單!$Q$2:$Q$533,MATCH($C106,觀察名單!$B$2:$B$533,0)),""))</f>
        <v>1198.0</v>
      </c>
    </row>
    <row r="107">
      <c r="A107" s="15" t="inlineStr">
        <is>
          <t>子板塊</t>
        </is>
      </c>
      <c r="B107" s="15" t="inlineStr">
        <is>
          <t>煤炭</t>
        </is>
      </c>
      <c r="C107" s="15" t="inlineStr">
        <is>
          <t>CNR</t>
        </is>
      </c>
      <c r="D107" s="15" t="str">
        <f>IFERROR(INDEX(觀察名單!$F$2:$F$533,MATCH($C107,觀察名單!$B$2:$B$533,0)),"")</f>
        <v>USD</v>
      </c>
      <c r="E107" s="16">
        <f>IF($D107&lt;&gt;"USD","",IFERROR(INDEX(觀察名單!$L$2:$L$533,MATCH($C107,觀察名單!$B$2:$B$533,0)),""))</f>
        <v>1141.014</v>
      </c>
      <c r="F107" s="16">
        <f>IF($D107&lt;&gt;"USD","",IFERROR(INDEX(觀察名單!$Q$2:$Q$533,MATCH($C107,觀察名單!$B$2:$B$533,0)),""))</f>
        <v>155.758</v>
      </c>
    </row>
    <row r="108">
      <c r="A108" s="15" t="inlineStr">
        <is>
          <t>子板塊</t>
        </is>
      </c>
      <c r="B108" s="15" t="inlineStr">
        <is>
          <t>消費金融與BNPL</t>
        </is>
      </c>
      <c r="C108" s="15" t="inlineStr">
        <is>
          <t>COF</t>
        </is>
      </c>
      <c r="D108" s="15" t="str">
        <f>IFERROR(INDEX(觀察名單!$F$2:$F$533,MATCH($C108,觀察名單!$B$2:$B$533,0)),"")</f>
        <v>USD</v>
      </c>
      <c r="E108" s="16">
        <f>IF($D108&lt;&gt;"USD","",IFERROR(INDEX(觀察名單!$L$2:$L$533,MATCH($C108,觀察名單!$B$2:$B$533,0)),""))</f>
        <v>15850.0</v>
      </c>
      <c r="F108" s="16" t="str">
        <f>IF($D108&lt;&gt;"USD","",IFERROR(INDEX(觀察名單!$Q$2:$Q$533,MATCH($C108,觀察名單!$B$2:$B$533,0)),""))</f>
        <v/>
      </c>
    </row>
    <row r="109">
      <c r="A109" s="15" t="inlineStr">
        <is>
          <t>子板塊</t>
        </is>
      </c>
      <c r="B109" s="15" t="inlineStr">
        <is>
          <t>光通訊/CPO</t>
        </is>
      </c>
      <c r="C109" s="15" t="inlineStr">
        <is>
          <t>COHR</t>
        </is>
      </c>
      <c r="D109" s="15" t="str">
        <f>IFERROR(INDEX(觀察名單!$F$2:$F$533,MATCH($C109,觀察名單!$B$2:$B$533,0)),"")</f>
        <v>USD</v>
      </c>
      <c r="E109" s="16">
        <f>IF($D109&lt;&gt;"USD","",IFERROR(INDEX(觀察名單!$L$2:$L$533,MATCH($C109,觀察名單!$B$2:$B$533,0)),""))</f>
        <v>2045.533</v>
      </c>
      <c r="F109" s="16">
        <f>IF($D109&lt;&gt;"USD","",IFERROR(INDEX(觀察名單!$Q$2:$Q$533,MATCH($C109,觀察名單!$B$2:$B$533,0)),""))</f>
        <v>304.338</v>
      </c>
    </row>
    <row r="110">
      <c r="A110" s="15" t="inlineStr">
        <is>
          <t>子板塊</t>
        </is>
      </c>
      <c r="B110" s="15" t="inlineStr">
        <is>
          <t>數位資產金融與礦業轉HPC</t>
        </is>
      </c>
      <c r="C110" s="15" t="inlineStr">
        <is>
          <t>COIN</t>
        </is>
      </c>
      <c r="D110" s="15" t="str">
        <f>IFERROR(INDEX(觀察名單!$F$2:$F$533,MATCH($C110,觀察名單!$B$2:$B$533,0)),"")</f>
        <v>USD</v>
      </c>
      <c r="E110" s="16">
        <f>IF($D110&lt;&gt;"USD","",IFERROR(INDEX(觀察名單!$L$2:$L$533,MATCH($C110,觀察名單!$B$2:$B$533,0)),""))</f>
        <v>1220.068</v>
      </c>
      <c r="F110" s="16">
        <f>IF($D110&lt;&gt;"USD","",IFERROR(INDEX(觀察名單!$Q$2:$Q$533,MATCH($C110,觀察名單!$B$2:$B$533,0)),""))</f>
        <v>-29.361</v>
      </c>
    </row>
    <row r="111">
      <c r="A111" s="15" t="inlineStr">
        <is>
          <t>子板塊</t>
        </is>
      </c>
      <c r="B111" s="15" t="inlineStr">
        <is>
          <t>地產開發與服務</t>
        </is>
      </c>
      <c r="C111" s="15" t="inlineStr">
        <is>
          <t>COMP</t>
        </is>
      </c>
      <c r="D111" s="15" t="str">
        <f>IFERROR(INDEX(觀察名單!$F$2:$F$533,MATCH($C111,觀察名單!$B$2:$B$533,0)),"")</f>
        <v>USD</v>
      </c>
      <c r="E111" s="16">
        <f>IF($D111&lt;&gt;"USD","",IFERROR(INDEX(觀察名單!$L$2:$L$533,MATCH($C111,觀察名單!$B$2:$B$533,0)),""))</f>
        <v>4306.0</v>
      </c>
      <c r="F111" s="16">
        <f>IF($D111&lt;&gt;"USD","",IFERROR(INDEX(觀察名單!$Q$2:$Q$533,MATCH($C111,觀察名單!$B$2:$B$533,0)),""))</f>
        <v>160.0</v>
      </c>
    </row>
    <row r="112">
      <c r="A112" s="15" t="inlineStr">
        <is>
          <t>子板塊</t>
        </is>
      </c>
      <c r="B112" s="15" t="inlineStr">
        <is>
          <t>頁岩E&amp;P勘探生產</t>
        </is>
      </c>
      <c r="C112" s="15" t="inlineStr">
        <is>
          <t>COP</t>
        </is>
      </c>
      <c r="D112" s="15" t="str">
        <f>IFERROR(INDEX(觀察名單!$F$2:$F$533,MATCH($C112,觀察名單!$B$2:$B$533,0)),"")</f>
        <v>USD</v>
      </c>
      <c r="E112" s="16">
        <f>IF($D112&lt;&gt;"USD","",IFERROR(INDEX(觀察名單!$L$2:$L$533,MATCH($C112,觀察名單!$B$2:$B$533,0)),""))</f>
        <v>19161.0</v>
      </c>
      <c r="F112" s="16">
        <f>IF($D112&lt;&gt;"USD","",IFERROR(INDEX(觀察名單!$Q$2:$Q$533,MATCH($C112,觀察名單!$B$2:$B$533,0)),""))</f>
        <v>5979.0</v>
      </c>
    </row>
    <row r="113">
      <c r="A113" s="15" t="inlineStr">
        <is>
          <t>子板塊</t>
        </is>
      </c>
      <c r="B113" s="15" t="inlineStr">
        <is>
          <t>藥品分銷與藥房</t>
        </is>
      </c>
      <c r="C113" s="15" t="inlineStr">
        <is>
          <t>COR</t>
        </is>
      </c>
      <c r="D113" s="15" t="str">
        <f>IFERROR(INDEX(觀察名單!$F$2:$F$533,MATCH($C113,觀察名單!$B$2:$B$533,0)),"")</f>
        <v>USD</v>
      </c>
      <c r="E113" s="16">
        <f>IF($D113&lt;&gt;"USD","",IFERROR(INDEX(觀察名單!$L$2:$L$533,MATCH($C113,觀察名單!$B$2:$B$533,0)),""))</f>
        <v>84754.837</v>
      </c>
      <c r="F113" s="16">
        <f>IF($D113&lt;&gt;"USD","",IFERROR(INDEX(觀察名單!$Q$2:$Q$533,MATCH($C113,觀察名單!$B$2:$B$533,0)),""))</f>
        <v>1205.271</v>
      </c>
    </row>
    <row r="114">
      <c r="A114" s="15" t="inlineStr">
        <is>
          <t>子板塊</t>
        </is>
      </c>
      <c r="B114" s="15" t="inlineStr">
        <is>
          <t>大賣場與超巿</t>
        </is>
      </c>
      <c r="C114" s="15" t="inlineStr">
        <is>
          <t>COST</t>
        </is>
      </c>
      <c r="D114" s="15" t="str">
        <f>IFERROR(INDEX(觀察名單!$F$2:$F$533,MATCH($C114,觀察名單!$B$2:$B$533,0)),"")</f>
        <v>USD</v>
      </c>
      <c r="E114" s="16">
        <f>IF($D114&lt;&gt;"USD","",IFERROR(INDEX(觀察名單!$L$2:$L$533,MATCH($C114,觀察名單!$B$2:$B$533,0)),""))</f>
        <v>70527.0</v>
      </c>
      <c r="F114" s="16">
        <f>IF($D114&lt;&gt;"USD","",IFERROR(INDEX(觀察名單!$Q$2:$Q$533,MATCH($C114,觀察名單!$B$2:$B$533,0)),""))</f>
        <v>2815.0</v>
      </c>
    </row>
    <row r="115">
      <c r="A115" s="15" t="inlineStr">
        <is>
          <t>子板塊</t>
        </is>
      </c>
      <c r="B115" s="15" t="inlineStr">
        <is>
          <t>數位資產金融與礦業轉HPC</t>
        </is>
      </c>
      <c r="C115" s="15" t="inlineStr">
        <is>
          <t>CRCL</t>
        </is>
      </c>
      <c r="D115" s="15" t="str">
        <f>IFERROR(INDEX(觀察名單!$F$2:$F$533,MATCH($C115,觀察名單!$B$2:$B$533,0)),"")</f>
        <v>USD</v>
      </c>
      <c r="E115" s="16">
        <f>IF($D115&lt;&gt;"USD","",IFERROR(INDEX(觀察名單!$L$2:$L$533,MATCH($C115,觀察名單!$B$2:$B$533,0)),""))</f>
        <v>701.315</v>
      </c>
      <c r="F115" s="16">
        <f>IF($D115&lt;&gt;"USD","",IFERROR(INDEX(觀察名單!$Q$2:$Q$533,MATCH($C115,觀察名單!$B$2:$B$533,0)),""))</f>
        <v>33.661</v>
      </c>
    </row>
    <row r="116">
      <c r="A116" s="15" t="inlineStr">
        <is>
          <t>子板塊</t>
        </is>
      </c>
      <c r="B116" s="15" t="inlineStr">
        <is>
          <t>光通訊/CPO</t>
        </is>
      </c>
      <c r="C116" s="15" t="inlineStr">
        <is>
          <t>CRDO</t>
        </is>
      </c>
      <c r="D116" s="15" t="str">
        <f>IFERROR(INDEX(觀察名單!$F$2:$F$533,MATCH($C116,觀察名單!$B$2:$B$533,0)),"")</f>
        <v>USD</v>
      </c>
      <c r="E116" s="16">
        <f>IF($D116&lt;&gt;"USD","",IFERROR(INDEX(觀察名單!$L$2:$L$533,MATCH($C116,觀察名單!$B$2:$B$533,0)),""))</f>
        <v>437.003</v>
      </c>
      <c r="F116" s="16">
        <f>IF($D116&lt;&gt;"USD","",IFERROR(INDEX(觀察名單!$Q$2:$Q$533,MATCH($C116,觀察名單!$B$2:$B$533,0)),""))</f>
        <v>155.845</v>
      </c>
    </row>
    <row r="117">
      <c r="A117" s="15" t="inlineStr">
        <is>
          <t>子板塊</t>
        </is>
      </c>
      <c r="B117" s="15" t="inlineStr">
        <is>
          <t>包裝與建材</t>
        </is>
      </c>
      <c r="C117" s="15" t="inlineStr">
        <is>
          <t>CRH</t>
        </is>
      </c>
      <c r="D117" s="15" t="str">
        <f>IFERROR(INDEX(觀察名單!$F$2:$F$533,MATCH($C117,觀察名單!$B$2:$B$533,0)),"")</f>
        <v>USD</v>
      </c>
      <c r="E117" s="16">
        <f>IF($D117&lt;&gt;"USD","",IFERROR(INDEX(觀察名單!$L$2:$L$533,MATCH($C117,觀察名單!$B$2:$B$533,0)),""))</f>
        <v>10777.0</v>
      </c>
      <c r="F117" s="16">
        <f>IF($D117&lt;&gt;"USD","",IFERROR(INDEX(觀察名單!$Q$2:$Q$533,MATCH($C117,觀察名單!$B$2:$B$533,0)),""))</f>
        <v>2027.0</v>
      </c>
    </row>
    <row r="118">
      <c r="A118" s="15" t="inlineStr">
        <is>
          <t>子板塊</t>
        </is>
      </c>
      <c r="B118" s="15" t="inlineStr">
        <is>
          <t>企業軟體/SaaS</t>
        </is>
      </c>
      <c r="C118" s="15" t="inlineStr">
        <is>
          <t>CRM</t>
        </is>
      </c>
      <c r="D118" s="15" t="str">
        <f>IFERROR(INDEX(觀察名單!$F$2:$F$533,MATCH($C118,觀察名單!$B$2:$B$533,0)),"")</f>
        <v>USD</v>
      </c>
      <c r="E118" s="16">
        <f>IF($D118&lt;&gt;"USD","",IFERROR(INDEX(觀察名單!$L$2:$L$533,MATCH($C118,觀察名單!$B$2:$B$533,0)),""))</f>
        <v>11345.0</v>
      </c>
      <c r="F118" s="16">
        <f>IF($D118&lt;&gt;"USD","",IFERROR(INDEX(觀察名單!$Q$2:$Q$533,MATCH($C118,觀察名單!$B$2:$B$533,0)),""))</f>
        <v>2425.0</v>
      </c>
    </row>
    <row r="119">
      <c r="A119" s="15" t="inlineStr">
        <is>
          <t>子板塊</t>
        </is>
      </c>
      <c r="B119" s="15" t="inlineStr">
        <is>
          <t>基因治療與基因編輯</t>
        </is>
      </c>
      <c r="C119" s="15" t="inlineStr">
        <is>
          <t>CRSP</t>
        </is>
      </c>
      <c r="D119" s="15" t="str">
        <f>IFERROR(INDEX(觀察名單!$F$2:$F$533,MATCH($C119,觀察名單!$B$2:$B$533,0)),"")</f>
        <v>USD</v>
      </c>
      <c r="E119" s="16">
        <f>IF($D119&lt;&gt;"USD","",IFERROR(INDEX(觀察名單!$L$2:$L$533,MATCH($C119,觀察名單!$B$2:$B$533,0)),""))</f>
        <v>10.0</v>
      </c>
      <c r="F119" s="16">
        <f>IF($D119&lt;&gt;"USD","",IFERROR(INDEX(觀察名單!$Q$2:$Q$533,MATCH($C119,觀察名單!$B$2:$B$533,0)),""))</f>
        <v>-117.269</v>
      </c>
    </row>
    <row r="120">
      <c r="A120" s="15" t="inlineStr">
        <is>
          <t>子板塊</t>
        </is>
      </c>
      <c r="B120" s="15" t="inlineStr">
        <is>
          <t>腫瘤與細胞治療</t>
        </is>
      </c>
      <c r="C120" s="15" t="inlineStr">
        <is>
          <t>CRVS</t>
        </is>
      </c>
      <c r="D120" s="15" t="str">
        <f>IFERROR(INDEX(觀察名單!$F$2:$F$533,MATCH($C120,觀察名單!$B$2:$B$533,0)),"")</f>
        <v>USD</v>
      </c>
      <c r="E120" s="16">
        <f>IF($D120&lt;&gt;"USD","",IFERROR(INDEX(觀察名單!$L$2:$L$533,MATCH($C120,觀察名單!$B$2:$B$533,0)),""))</f>
        <v>0.0</v>
      </c>
      <c r="F120" s="16">
        <f>IF($D120&lt;&gt;"USD","",IFERROR(INDEX(觀察名單!$Q$2:$Q$533,MATCH($C120,觀察名單!$B$2:$B$533,0)),""))</f>
        <v>-19.297</v>
      </c>
    </row>
    <row r="121">
      <c r="A121" s="15" t="inlineStr">
        <is>
          <t>子板塊</t>
        </is>
      </c>
      <c r="B121" s="15" t="inlineStr">
        <is>
          <t>網絡安全</t>
        </is>
      </c>
      <c r="C121" s="15" t="inlineStr">
        <is>
          <t>CRWD</t>
        </is>
      </c>
      <c r="D121" s="15" t="str">
        <f>IFERROR(INDEX(觀察名單!$F$2:$F$533,MATCH($C121,觀察名單!$B$2:$B$533,0)),"")</f>
        <v>USD</v>
      </c>
      <c r="E121" s="16">
        <f>IF($D121&lt;&gt;"USD","",IFERROR(INDEX(觀察名單!$L$2:$L$533,MATCH($C121,觀察名單!$B$2:$B$533,0)),""))</f>
        <v>1470.897</v>
      </c>
      <c r="F121" s="16">
        <f>IF($D121&lt;&gt;"USD","",IFERROR(INDEX(觀察名單!$Q$2:$Q$533,MATCH($C121,觀察名單!$B$2:$B$533,0)),""))</f>
        <v>-33.232</v>
      </c>
    </row>
    <row r="122">
      <c r="A122" s="15" t="inlineStr">
        <is>
          <t>子板塊</t>
        </is>
      </c>
      <c r="B122" s="15" t="inlineStr">
        <is>
          <t>雲端基建/IaaS/Neocloud</t>
        </is>
      </c>
      <c r="C122" s="15" t="inlineStr">
        <is>
          <t>CRWV</t>
        </is>
      </c>
      <c r="D122" s="15" t="str">
        <f>IFERROR(INDEX(觀察名單!$F$2:$F$533,MATCH($C122,觀察名單!$B$2:$B$533,0)),"")</f>
        <v>USD</v>
      </c>
      <c r="E122" s="16">
        <f>IF($D122&lt;&gt;"USD","",IFERROR(INDEX(觀察名單!$L$2:$L$533,MATCH($C122,觀察名單!$B$2:$B$533,0)),""))</f>
        <v>2575.0</v>
      </c>
      <c r="F122" s="16">
        <f>IF($D122&lt;&gt;"USD","",IFERROR(INDEX(觀察名單!$Q$2:$Q$533,MATCH($C122,觀察名單!$B$2:$B$533,0)),""))</f>
        <v>-49.0</v>
      </c>
    </row>
    <row r="123">
      <c r="A123" s="15" t="inlineStr">
        <is>
          <t>子板塊</t>
        </is>
      </c>
      <c r="B123" s="15" t="inlineStr">
        <is>
          <t>鐵路運輸</t>
        </is>
      </c>
      <c r="C123" s="15" t="inlineStr">
        <is>
          <t>CSX</t>
        </is>
      </c>
      <c r="D123" s="15" t="str">
        <f>IFERROR(INDEX(觀察名單!$F$2:$F$533,MATCH($C123,觀察名單!$B$2:$B$533,0)),"")</f>
        <v>USD</v>
      </c>
      <c r="E123" s="16">
        <f>IF($D123&lt;&gt;"USD","",IFERROR(INDEX(觀察名單!$L$2:$L$533,MATCH($C123,觀察名單!$B$2:$B$533,0)),""))</f>
        <v>3935.0</v>
      </c>
      <c r="F123" s="16">
        <f>IF($D123&lt;&gt;"USD","",IFERROR(INDEX(觀察名單!$Q$2:$Q$533,MATCH($C123,觀察名單!$B$2:$B$533,0)),""))</f>
        <v>1506.0</v>
      </c>
    </row>
    <row r="124">
      <c r="A124" s="15" t="inlineStr">
        <is>
          <t>子板塊</t>
        </is>
      </c>
      <c r="B124" s="15" t="inlineStr">
        <is>
          <t>人力與商業服務</t>
        </is>
      </c>
      <c r="C124" s="15" t="inlineStr">
        <is>
          <t>CTAS</t>
        </is>
      </c>
      <c r="D124" s="15" t="str">
        <f>IFERROR(INDEX(觀察名單!$F$2:$F$533,MATCH($C124,觀察名單!$B$2:$B$533,0)),"")</f>
        <v>USD</v>
      </c>
      <c r="E124" s="16">
        <f>IF($D124&lt;&gt;"USD","",IFERROR(INDEX(觀察名單!$L$2:$L$533,MATCH($C124,觀察名單!$B$2:$B$533,0)),""))</f>
        <v>2905.203</v>
      </c>
      <c r="F124" s="16">
        <f>IF($D124&lt;&gt;"USD","",IFERROR(INDEX(觀察名單!$Q$2:$Q$533,MATCH($C124,觀察名單!$B$2:$B$533,0)),""))</f>
        <v>688.171</v>
      </c>
    </row>
    <row r="125">
      <c r="A125" s="15" t="inlineStr">
        <is>
          <t>子板塊</t>
        </is>
      </c>
      <c r="B125" s="15" t="inlineStr">
        <is>
          <t>IT服務與系統整合</t>
        </is>
      </c>
      <c r="C125" s="15" t="inlineStr">
        <is>
          <t>CTSH</t>
        </is>
      </c>
      <c r="D125" s="15" t="str">
        <f>IFERROR(INDEX(觀察名單!$F$2:$F$533,MATCH($C125,觀察名單!$B$2:$B$533,0)),"")</f>
        <v>USD</v>
      </c>
      <c r="E125" s="16">
        <f>IF($D125&lt;&gt;"USD","",IFERROR(INDEX(觀察名單!$L$2:$L$533,MATCH($C125,觀察名單!$B$2:$B$533,0)),""))</f>
        <v>5481.0</v>
      </c>
      <c r="F125" s="16">
        <f>IF($D125&lt;&gt;"USD","",IFERROR(INDEX(觀察名單!$Q$2:$Q$533,MATCH($C125,觀察名單!$B$2:$B$533,0)),""))</f>
        <v>958.0</v>
      </c>
    </row>
    <row r="126">
      <c r="A126" s="15" t="inlineStr">
        <is>
          <t>子板塊</t>
        </is>
      </c>
      <c r="B126" s="15" t="inlineStr">
        <is>
          <t>農產品與農業投入</t>
        </is>
      </c>
      <c r="C126" s="15" t="inlineStr">
        <is>
          <t>CTVA</t>
        </is>
      </c>
      <c r="D126" s="15" t="str">
        <f>IFERROR(INDEX(觀察名單!$F$2:$F$533,MATCH($C126,觀察名單!$B$2:$B$533,0)),"")</f>
        <v>USD</v>
      </c>
      <c r="E126" s="16" t="str">
        <f>IF($D126&lt;&gt;"USD","",IFERROR(INDEX(觀察名單!$L$2:$L$533,MATCH($C126,觀察名單!$B$2:$B$533,0)),""))</f>
        <v/>
      </c>
      <c r="F126" s="16" t="str">
        <f>IF($D126&lt;&gt;"USD","",IFERROR(INDEX(觀察名單!$Q$2:$Q$533,MATCH($C126,觀察名單!$B$2:$B$533,0)),""))</f>
        <v/>
      </c>
    </row>
    <row r="127">
      <c r="A127" s="15" t="inlineStr">
        <is>
          <t>子板塊</t>
        </is>
      </c>
      <c r="B127" s="15" t="inlineStr">
        <is>
          <t>藥品分銷與藥房</t>
        </is>
      </c>
      <c r="C127" s="15" t="inlineStr">
        <is>
          <t>CVS</t>
        </is>
      </c>
      <c r="D127" s="15" t="str">
        <f>IFERROR(INDEX(觀察名單!$F$2:$F$533,MATCH($C127,觀察名單!$B$2:$B$533,0)),"")</f>
        <v>USD</v>
      </c>
      <c r="E127" s="16">
        <f>IF($D127&lt;&gt;"USD","",IFERROR(INDEX(觀察名單!$L$2:$L$533,MATCH($C127,觀察名單!$B$2:$B$533,0)),""))</f>
        <v>106096.0</v>
      </c>
      <c r="F127" s="16">
        <f>IF($D127&lt;&gt;"USD","",IFERROR(INDEX(觀察名單!$Q$2:$Q$533,MATCH($C127,觀察名單!$B$2:$B$533,0)),""))</f>
        <v>4703.0</v>
      </c>
    </row>
    <row r="128">
      <c r="A128" s="15" t="inlineStr">
        <is>
          <t>子板塊</t>
        </is>
      </c>
      <c r="B128" s="15" t="inlineStr">
        <is>
          <t>綜合油氣巨頭</t>
        </is>
      </c>
      <c r="C128" s="15" t="inlineStr">
        <is>
          <t>CVX</t>
        </is>
      </c>
      <c r="D128" s="15" t="str">
        <f>IFERROR(INDEX(觀察名單!$F$2:$F$533,MATCH($C128,觀察名單!$B$2:$B$533,0)),"")</f>
        <v>USD</v>
      </c>
      <c r="E128" s="16">
        <f>IF($D128&lt;&gt;"USD","",IFERROR(INDEX(觀察名單!$L$2:$L$533,MATCH($C128,觀察名單!$B$2:$B$533,0)),""))</f>
        <v>67199.0</v>
      </c>
      <c r="F128" s="16">
        <f>IF($D128&lt;&gt;"USD","",IFERROR(INDEX(觀察名單!$Q$2:$Q$533,MATCH($C128,觀察名單!$B$2:$B$533,0)),""))</f>
        <v>14276.0</v>
      </c>
    </row>
    <row r="129">
      <c r="A129" s="15" t="inlineStr">
        <is>
          <t>子板塊</t>
        </is>
      </c>
      <c r="B129" s="15" t="inlineStr">
        <is>
          <t>廢物管理與環境服務</t>
        </is>
      </c>
      <c r="C129" s="15" t="inlineStr">
        <is>
          <t>CWST</t>
        </is>
      </c>
      <c r="D129" s="15" t="str">
        <f>IFERROR(INDEX(觀察名單!$F$2:$F$533,MATCH($C129,觀察名單!$B$2:$B$533,0)),"")</f>
        <v>USD</v>
      </c>
      <c r="E129" s="16">
        <f>IF($D129&lt;&gt;"USD","",IFERROR(INDEX(觀察名單!$L$2:$L$533,MATCH($C129,觀察名單!$B$2:$B$533,0)),""))</f>
        <v>543.748</v>
      </c>
      <c r="F129" s="16">
        <f>IF($D129&lt;&gt;"USD","",IFERROR(INDEX(觀察名單!$Q$2:$Q$533,MATCH($C129,觀察名單!$B$2:$B$533,0)),""))</f>
        <v>27.148</v>
      </c>
    </row>
    <row r="130">
      <c r="A130" s="15" t="inlineStr">
        <is>
          <t>子板塊</t>
        </is>
      </c>
      <c r="B130" s="15" t="inlineStr">
        <is>
          <t>水務公用</t>
        </is>
      </c>
      <c r="C130" s="15" t="inlineStr">
        <is>
          <t>CWT</t>
        </is>
      </c>
      <c r="D130" s="15" t="str">
        <f>IFERROR(INDEX(觀察名單!$F$2:$F$533,MATCH($C130,觀察名單!$B$2:$B$533,0)),"")</f>
        <v>USD</v>
      </c>
      <c r="E130" s="16">
        <f>IF($D130&lt;&gt;"USD","",IFERROR(INDEX(觀察名單!$L$2:$L$533,MATCH($C130,觀察名單!$B$2:$B$533,0)),""))</f>
        <v>308.596</v>
      </c>
      <c r="F130" s="16">
        <f>IF($D130&lt;&gt;"USD","",IFERROR(INDEX(觀察名單!$Q$2:$Q$533,MATCH($C130,觀察名單!$B$2:$B$533,0)),""))</f>
        <v>88.229</v>
      </c>
    </row>
    <row r="131">
      <c r="A131" s="15" t="inlineStr">
        <is>
          <t>子板塊</t>
        </is>
      </c>
      <c r="B131" s="15" t="inlineStr">
        <is>
          <t>受監管電力公用</t>
        </is>
      </c>
      <c r="C131" s="15" t="inlineStr">
        <is>
          <t>D</t>
        </is>
      </c>
      <c r="D131" s="15" t="str">
        <f>IFERROR(INDEX(觀察名單!$F$2:$F$533,MATCH($C131,觀察名單!$B$2:$B$533,0)),"")</f>
        <v>USD</v>
      </c>
      <c r="E131" s="16" t="str">
        <f>IF($D131&lt;&gt;"USD","",IFERROR(INDEX(觀察名單!$L$2:$L$533,MATCH($C131,觀察名單!$B$2:$B$533,0)),""))</f>
        <v/>
      </c>
      <c r="F131" s="16" t="str">
        <f>IF($D131&lt;&gt;"USD","",IFERROR(INDEX(觀察名單!$Q$2:$Q$533,MATCH($C131,觀察名單!$B$2:$B$533,0)),""))</f>
        <v/>
      </c>
    </row>
    <row r="132">
      <c r="A132" s="15" t="inlineStr">
        <is>
          <t>子板塊</t>
        </is>
      </c>
      <c r="B132" s="15" t="inlineStr">
        <is>
          <t>航空公司</t>
        </is>
      </c>
      <c r="C132" s="15" t="inlineStr">
        <is>
          <t>DAL</t>
        </is>
      </c>
      <c r="D132" s="15" t="str">
        <f>IFERROR(INDEX(觀察名單!$F$2:$F$533,MATCH($C132,觀察名單!$B$2:$B$533,0)),"")</f>
        <v>USD</v>
      </c>
      <c r="E132" s="16">
        <f>IF($D132&lt;&gt;"USD","",IFERROR(INDEX(觀察名單!$L$2:$L$533,MATCH($C132,觀察名單!$B$2:$B$533,0)),""))</f>
        <v>19757.0</v>
      </c>
      <c r="F132" s="16">
        <f>IF($D132&lt;&gt;"USD","",IFERROR(INDEX(觀察名單!$Q$2:$Q$533,MATCH($C132,觀察名單!$B$2:$B$533,0)),""))</f>
        <v>1864.0</v>
      </c>
    </row>
    <row r="133">
      <c r="A133" s="15" t="inlineStr">
        <is>
          <t>子板塊</t>
        </is>
      </c>
      <c r="B133" s="15" t="inlineStr">
        <is>
          <t>資料/分析平台</t>
        </is>
      </c>
      <c r="C133" s="15" t="inlineStr">
        <is>
          <t>DDOG</t>
        </is>
      </c>
      <c r="D133" s="15" t="str">
        <f>IFERROR(INDEX(觀察名單!$F$2:$F$533,MATCH($C133,觀察名單!$B$2:$B$533,0)),"")</f>
        <v>USD</v>
      </c>
      <c r="E133" s="16">
        <f>IF($D133&lt;&gt;"USD","",IFERROR(INDEX(觀察名單!$L$2:$L$533,MATCH($C133,觀察名單!$B$2:$B$533,0)),""))</f>
        <v>1121.454</v>
      </c>
      <c r="F133" s="16">
        <f>IF($D133&lt;&gt;"USD","",IFERROR(INDEX(觀察名單!$Q$2:$Q$533,MATCH($C133,觀察名單!$B$2:$B$533,0)),""))</f>
        <v>7.465</v>
      </c>
    </row>
    <row r="134">
      <c r="A134" s="15" t="inlineStr">
        <is>
          <t>子板塊</t>
        </is>
      </c>
      <c r="B134" s="15" t="inlineStr">
        <is>
          <t>機械與重工</t>
        </is>
      </c>
      <c r="C134" s="15" t="inlineStr">
        <is>
          <t>DE</t>
        </is>
      </c>
      <c r="D134" s="15" t="str">
        <f>IFERROR(INDEX(觀察名單!$F$2:$F$533,MATCH($C134,觀察名單!$B$2:$B$533,0)),"")</f>
        <v>USD</v>
      </c>
      <c r="E134" s="16">
        <f>IF($D134&lt;&gt;"USD","",IFERROR(INDEX(觀察名單!$L$2:$L$533,MATCH($C134,觀察名單!$B$2:$B$533,0)),""))</f>
        <v>12352.0</v>
      </c>
      <c r="F134" s="16">
        <f>IF($D134&lt;&gt;"USD","",IFERROR(INDEX(觀察名單!$Q$2:$Q$533,MATCH($C134,觀察名單!$B$2:$B$533,0)),""))</f>
        <v>2336.0</v>
      </c>
    </row>
    <row r="135">
      <c r="A135" s="15" t="inlineStr">
        <is>
          <t>子板塊</t>
        </is>
      </c>
      <c r="B135" s="15" t="inlineStr">
        <is>
          <t>服裝與奢侈品</t>
        </is>
      </c>
      <c r="C135" s="15" t="inlineStr">
        <is>
          <t>DECK</t>
        </is>
      </c>
      <c r="D135" s="15" t="str">
        <f>IFERROR(INDEX(觀察名單!$F$2:$F$533,MATCH($C135,觀察名單!$B$2:$B$533,0)),"")</f>
        <v>USD</v>
      </c>
      <c r="E135" s="16">
        <f>IF($D135&lt;&gt;"USD","",IFERROR(INDEX(觀察名單!$L$2:$L$533,MATCH($C135,觀察名單!$B$2:$B$533,0)),""))</f>
        <v>1019.531</v>
      </c>
      <c r="F135" s="16">
        <f>IF($D135&lt;&gt;"USD","",IFERROR(INDEX(觀察名單!$Q$2:$Q$533,MATCH($C135,觀察名單!$B$2:$B$533,0)),""))</f>
        <v>155.301</v>
      </c>
    </row>
    <row r="136">
      <c r="A136" s="15" t="inlineStr">
        <is>
          <t>子板塊</t>
        </is>
      </c>
      <c r="B136" s="15" t="inlineStr">
        <is>
          <t>電子硬件與EMS/連接器</t>
        </is>
      </c>
      <c r="C136" s="15" t="inlineStr">
        <is>
          <t>DELL</t>
        </is>
      </c>
      <c r="D136" s="15" t="str">
        <f>IFERROR(INDEX(觀察名單!$F$2:$F$533,MATCH($C136,觀察名單!$B$2:$B$533,0)),"")</f>
        <v>USD</v>
      </c>
      <c r="E136" s="16" t="str">
        <f>IF($D136&lt;&gt;"USD","",IFERROR(INDEX(觀察名單!$L$2:$L$533,MATCH($C136,觀察名單!$B$2:$B$533,0)),""))</f>
        <v/>
      </c>
      <c r="F136" s="16" t="str">
        <f>IF($D136&lt;&gt;"USD","",IFERROR(INDEX(觀察名單!$Q$2:$Q$533,MATCH($C136,觀察名單!$B$2:$B$533,0)),""))</f>
        <v/>
      </c>
    </row>
    <row r="137">
      <c r="A137" s="15" t="inlineStr">
        <is>
          <t>子板塊</t>
        </is>
      </c>
      <c r="B137" s="15" t="inlineStr">
        <is>
          <t>酒精飲品</t>
        </is>
      </c>
      <c r="C137" s="15" t="inlineStr">
        <is>
          <t>DEO</t>
        </is>
      </c>
      <c r="D137" s="15" t="str">
        <f>IFERROR(INDEX(觀察名單!$F$2:$F$533,MATCH($C137,觀察名單!$B$2:$B$533,0)),"")</f>
        <v>USD</v>
      </c>
      <c r="E137" s="16" t="str">
        <f>IF($D137&lt;&gt;"USD","",IFERROR(INDEX(觀察名單!$L$2:$L$533,MATCH($C137,觀察名單!$B$2:$B$533,0)),""))</f>
        <v/>
      </c>
      <c r="F137" s="16" t="str">
        <f>IF($D137&lt;&gt;"USD","",IFERROR(INDEX(觀察名單!$Q$2:$Q$533,MATCH($C137,觀察名單!$B$2:$B$533,0)),""))</f>
        <v/>
      </c>
    </row>
    <row r="138">
      <c r="A138" s="15" t="inlineStr">
        <is>
          <t>子板塊</t>
        </is>
      </c>
      <c r="B138" s="15" t="inlineStr">
        <is>
          <t>住宅建築商</t>
        </is>
      </c>
      <c r="C138" s="15" t="inlineStr">
        <is>
          <t>DHI</t>
        </is>
      </c>
      <c r="D138" s="15" t="str">
        <f>IFERROR(INDEX(觀察名單!$F$2:$F$533,MATCH($C138,觀察名單!$B$2:$B$533,0)),"")</f>
        <v>USD</v>
      </c>
      <c r="E138" s="16">
        <f>IF($D138&lt;&gt;"USD","",IFERROR(INDEX(觀察名單!$L$2:$L$533,MATCH($C138,觀察名單!$B$2:$B$533,0)),""))</f>
        <v>9227.1</v>
      </c>
      <c r="F138" s="16">
        <f>IF($D138&lt;&gt;"USD","",IFERROR(INDEX(觀察名單!$Q$2:$Q$533,MATCH($C138,觀察名單!$B$2:$B$533,0)),""))</f>
        <v>1155.0</v>
      </c>
    </row>
    <row r="139">
      <c r="A139" s="15" t="inlineStr">
        <is>
          <t>子板塊</t>
        </is>
      </c>
      <c r="B139" s="15" t="inlineStr">
        <is>
          <t>診斷與生命科學工具</t>
        </is>
      </c>
      <c r="C139" s="15" t="inlineStr">
        <is>
          <t>DHR</t>
        </is>
      </c>
      <c r="D139" s="15" t="str">
        <f>IFERROR(INDEX(觀察名單!$F$2:$F$533,MATCH($C139,觀察名單!$B$2:$B$533,0)),"")</f>
        <v>USD</v>
      </c>
      <c r="E139" s="16">
        <f>IF($D139&lt;&gt;"USD","",IFERROR(INDEX(觀察名單!$L$2:$L$533,MATCH($C139,觀察名單!$B$2:$B$533,0)),""))</f>
        <v>6265.0</v>
      </c>
      <c r="F139" s="16">
        <f>IF($D139&lt;&gt;"USD","",IFERROR(INDEX(觀察名單!$Q$2:$Q$533,MATCH($C139,觀察名單!$B$2:$B$533,0)),""))</f>
        <v>1127.0</v>
      </c>
    </row>
    <row r="140">
      <c r="A140" s="15" t="inlineStr">
        <is>
          <t>子板塊</t>
        </is>
      </c>
      <c r="B140" s="15" t="inlineStr">
        <is>
          <t>煉油與成品油</t>
        </is>
      </c>
      <c r="C140" s="15" t="inlineStr">
        <is>
          <t>DINO</t>
        </is>
      </c>
      <c r="D140" s="15" t="str">
        <f>IFERROR(INDEX(觀察名單!$F$2:$F$533,MATCH($C140,觀察名單!$B$2:$B$533,0)),"")</f>
        <v>USD</v>
      </c>
      <c r="E140" s="16" t="str">
        <f>IF($D140&lt;&gt;"USD","",IFERROR(INDEX(觀察名單!$L$2:$L$533,MATCH($C140,觀察名單!$B$2:$B$533,0)),""))</f>
        <v/>
      </c>
      <c r="F140" s="16" t="str">
        <f>IF($D140&lt;&gt;"USD","",IFERROR(INDEX(觀察名單!$Q$2:$Q$533,MATCH($C140,觀察名單!$B$2:$B$533,0)),""))</f>
        <v/>
      </c>
    </row>
    <row r="141">
      <c r="A141" s="15" t="inlineStr">
        <is>
          <t>子板塊</t>
        </is>
      </c>
      <c r="B141" s="15" t="inlineStr">
        <is>
          <t>串流影音</t>
        </is>
      </c>
      <c r="C141" s="15" t="inlineStr">
        <is>
          <t>DIS</t>
        </is>
      </c>
      <c r="D141" s="15" t="str">
        <f>IFERROR(INDEX(觀察名單!$F$2:$F$533,MATCH($C141,觀察名單!$B$2:$B$533,0)),"")</f>
        <v>USD</v>
      </c>
      <c r="E141" s="16">
        <f>IF($D141&lt;&gt;"USD","",IFERROR(INDEX(觀察名單!$L$2:$L$533,MATCH($C141,觀察名單!$B$2:$B$533,0)),""))</f>
        <v>25248.0</v>
      </c>
      <c r="F141" s="16">
        <f>IF($D141&lt;&gt;"USD","",IFERROR(INDEX(觀察名單!$Q$2:$Q$533,MATCH($C141,觀察名單!$B$2:$B$533,0)),""))</f>
        <v>4760.0</v>
      </c>
    </row>
    <row r="142">
      <c r="A142" s="15" t="inlineStr">
        <is>
          <t>子板塊</t>
        </is>
      </c>
      <c r="B142" s="15" t="inlineStr">
        <is>
          <t>博彩與線上博彩</t>
        </is>
      </c>
      <c r="C142" s="15" t="inlineStr">
        <is>
          <t>DKNG</t>
        </is>
      </c>
      <c r="D142" s="15" t="str">
        <f>IFERROR(INDEX(觀察名單!$F$2:$F$533,MATCH($C142,觀察名單!$B$2:$B$533,0)),"")</f>
        <v>USD</v>
      </c>
      <c r="E142" s="16">
        <f>IF($D142&lt;&gt;"USD","",IFERROR(INDEX(觀察名單!$L$2:$L$533,MATCH($C142,觀察名單!$B$2:$B$533,0)),""))</f>
        <v>1443.235</v>
      </c>
      <c r="F142" s="16">
        <f>IF($D142&lt;&gt;"USD","",IFERROR(INDEX(觀察名單!$Q$2:$Q$533,MATCH($C142,觀察名單!$B$2:$B$533,0)),""))</f>
        <v>-68.174</v>
      </c>
    </row>
    <row r="143">
      <c r="A143" s="15" t="inlineStr">
        <is>
          <t>子板塊</t>
        </is>
      </c>
      <c r="B143" s="15" t="inlineStr">
        <is>
          <t>資料中心REIT</t>
        </is>
      </c>
      <c r="C143" s="15" t="inlineStr">
        <is>
          <t>DLR</t>
        </is>
      </c>
      <c r="D143" s="15" t="str">
        <f>IFERROR(INDEX(觀察名單!$F$2:$F$533,MATCH($C143,觀察名單!$B$2:$B$533,0)),"")</f>
        <v>USD</v>
      </c>
      <c r="E143" s="16" t="str">
        <f>IF($D143&lt;&gt;"USD","",IFERROR(INDEX(觀察名單!$L$2:$L$533,MATCH($C143,觀察名單!$B$2:$B$533,0)),""))</f>
        <v/>
      </c>
      <c r="F143" s="16" t="str">
        <f>IF($D143&lt;&gt;"USD","",IFERROR(INDEX(觀察名單!$Q$2:$Q$533,MATCH($C143,觀察名單!$B$2:$B$533,0)),""))</f>
        <v/>
      </c>
    </row>
    <row r="144">
      <c r="A144" s="15" t="inlineStr">
        <is>
          <t>子板塊</t>
        </is>
      </c>
      <c r="B144" s="15" t="inlineStr">
        <is>
          <t>臨床期中小型生技</t>
        </is>
      </c>
      <c r="C144" s="15" t="inlineStr">
        <is>
          <t>DNLI</t>
        </is>
      </c>
      <c r="D144" s="15" t="str">
        <f>IFERROR(INDEX(觀察名單!$F$2:$F$533,MATCH($C144,觀察名單!$B$2:$B$533,0)),"")</f>
        <v>USD</v>
      </c>
      <c r="E144" s="16">
        <f>IF($D144&lt;&gt;"USD","",IFERROR(INDEX(觀察名單!$L$2:$L$533,MATCH($C144,觀察名單!$B$2:$B$533,0)),""))</f>
        <v>3.604</v>
      </c>
      <c r="F144" s="16">
        <f>IF($D144&lt;&gt;"USD","",IFERROR(INDEX(觀察名單!$Q$2:$Q$533,MATCH($C144,觀察名單!$B$2:$B$533,0)),""))</f>
        <v>-130.541</v>
      </c>
    </row>
    <row r="145">
      <c r="A145" s="15" t="inlineStr">
        <is>
          <t>子板塊</t>
        </is>
      </c>
      <c r="B145" s="15" t="inlineStr">
        <is>
          <t>鈾與核燃料</t>
        </is>
      </c>
      <c r="C145" s="15" t="inlineStr">
        <is>
          <t>DNN</t>
        </is>
      </c>
      <c r="D145" s="15" t="str">
        <f>IFERROR(INDEX(觀察名單!$F$2:$F$533,MATCH($C145,觀察名單!$B$2:$B$533,0)),"")</f>
        <v>CAD</v>
      </c>
      <c r="E145" s="16" t="str">
        <f>IF($D145&lt;&gt;"USD","",IFERROR(INDEX(觀察名單!$L$2:$L$533,MATCH($C145,觀察名單!$B$2:$B$533,0)),""))</f>
        <v/>
      </c>
      <c r="F145" s="16" t="str">
        <f>IF($D145&lt;&gt;"USD","",IFERROR(INDEX(觀察名單!$Q$2:$Q$533,MATCH($C145,觀察名單!$B$2:$B$533,0)),""))</f>
        <v/>
      </c>
    </row>
    <row r="146">
      <c r="A146" s="15" t="inlineStr">
        <is>
          <t>子板塊</t>
        </is>
      </c>
      <c r="B146" s="15" t="inlineStr">
        <is>
          <t>醫療與長者住宅REIT</t>
        </is>
      </c>
      <c r="C146" s="15" t="inlineStr">
        <is>
          <t>DOC</t>
        </is>
      </c>
      <c r="D146" s="15" t="str">
        <f>IFERROR(INDEX(觀察名單!$F$2:$F$533,MATCH($C146,觀察名單!$B$2:$B$533,0)),"")</f>
        <v>USD</v>
      </c>
      <c r="E146" s="16">
        <f>IF($D146&lt;&gt;"USD","",IFERROR(INDEX(觀察名單!$L$2:$L$533,MATCH($C146,觀察名單!$B$2:$B$533,0)),""))</f>
        <v>771.579</v>
      </c>
      <c r="F146" s="16">
        <f>IF($D146&lt;&gt;"USD","",IFERROR(INDEX(觀察名單!$Q$2:$Q$533,MATCH($C146,觀察名單!$B$2:$B$533,0)),""))</f>
        <v>132.549</v>
      </c>
    </row>
    <row r="147">
      <c r="A147" s="15" t="inlineStr">
        <is>
          <t>子板塊</t>
        </is>
      </c>
      <c r="B147" s="15" t="inlineStr">
        <is>
          <t>數位醫療與遠距醫療</t>
        </is>
      </c>
      <c r="C147" s="15" t="inlineStr">
        <is>
          <t>DOCS</t>
        </is>
      </c>
      <c r="D147" s="15" t="str">
        <f>IFERROR(INDEX(觀察名單!$F$2:$F$533,MATCH($C147,觀察名單!$B$2:$B$533,0)),"")</f>
        <v>USD</v>
      </c>
      <c r="E147" s="16">
        <f>IF($D147&lt;&gt;"USD","",IFERROR(INDEX(觀察名單!$L$2:$L$533,MATCH($C147,觀察名單!$B$2:$B$533,0)),""))</f>
        <v>156.618</v>
      </c>
      <c r="F147" s="16">
        <f>IF($D147&lt;&gt;"USD","",IFERROR(INDEX(觀察名單!$Q$2:$Q$533,MATCH($C147,觀察名單!$B$2:$B$533,0)),""))</f>
        <v>33.644</v>
      </c>
    </row>
    <row r="148">
      <c r="A148" s="15" t="inlineStr">
        <is>
          <t>子板塊</t>
        </is>
      </c>
      <c r="B148" s="15" t="inlineStr">
        <is>
          <t>基礎化工與化肥</t>
        </is>
      </c>
      <c r="C148" s="15" t="inlineStr">
        <is>
          <t>DOW</t>
        </is>
      </c>
      <c r="D148" s="15" t="str">
        <f>IFERROR(INDEX(觀察名單!$F$2:$F$533,MATCH($C148,觀察名單!$B$2:$B$533,0)),"")</f>
        <v>USD</v>
      </c>
      <c r="E148" s="16">
        <f>IF($D148&lt;&gt;"USD","",IFERROR(INDEX(觀察名單!$L$2:$L$533,MATCH($C148,觀察名單!$B$2:$B$533,0)),""))</f>
        <v>12092.0</v>
      </c>
      <c r="F148" s="16">
        <f>IF($D148&lt;&gt;"USD","",IFERROR(INDEX(觀察名單!$Q$2:$Q$533,MATCH($C148,觀察名單!$B$2:$B$533,0)),""))</f>
        <v>1385.0</v>
      </c>
    </row>
    <row r="149">
      <c r="A149" s="15" t="inlineStr">
        <is>
          <t>子板塊</t>
        </is>
      </c>
      <c r="B149" s="15" t="inlineStr">
        <is>
          <t>餐飲連鎖</t>
        </is>
      </c>
      <c r="C149" s="15" t="inlineStr">
        <is>
          <t>DRI</t>
        </is>
      </c>
      <c r="D149" s="15" t="str">
        <f>IFERROR(INDEX(觀察名單!$F$2:$F$533,MATCH($C149,觀察名單!$B$2:$B$533,0)),"")</f>
        <v>USD</v>
      </c>
      <c r="E149" s="16">
        <f>IF($D149&lt;&gt;"USD","",IFERROR(INDEX(觀察名單!$L$2:$L$533,MATCH($C149,觀察名單!$B$2:$B$533,0)),""))</f>
        <v>3718.8</v>
      </c>
      <c r="F149" s="16">
        <f>IF($D149&lt;&gt;"USD","",IFERROR(INDEX(觀察名單!$Q$2:$Q$533,MATCH($C149,觀察名單!$B$2:$B$533,0)),""))</f>
        <v>537.6</v>
      </c>
    </row>
    <row r="150">
      <c r="A150" s="15" t="inlineStr">
        <is>
          <t>子板塊</t>
        </is>
      </c>
      <c r="B150" s="15" t="inlineStr">
        <is>
          <t>臨床期中小型生技</t>
        </is>
      </c>
      <c r="C150" s="15" t="inlineStr">
        <is>
          <t>DTIL</t>
        </is>
      </c>
      <c r="D150" s="15" t="str">
        <f>IFERROR(INDEX(觀察名單!$F$2:$F$533,MATCH($C150,觀察名單!$B$2:$B$533,0)),"")</f>
        <v>USD</v>
      </c>
      <c r="E150" s="16">
        <f>IF($D150&lt;&gt;"USD","",IFERROR(INDEX(觀察名單!$L$2:$L$533,MATCH($C150,觀察名單!$B$2:$B$533,0)),""))</f>
        <v>0.0</v>
      </c>
      <c r="F150" s="16">
        <f>IF($D150&lt;&gt;"USD","",IFERROR(INDEX(觀察名單!$Q$2:$Q$533,MATCH($C150,觀察名單!$B$2:$B$533,0)),""))</f>
        <v>-19.161</v>
      </c>
    </row>
    <row r="151">
      <c r="A151" s="15" t="inlineStr">
        <is>
          <t>子板塊</t>
        </is>
      </c>
      <c r="B151" s="15" t="inlineStr">
        <is>
          <t>受監管電力公用</t>
        </is>
      </c>
      <c r="C151" s="15" t="inlineStr">
        <is>
          <t>DUK</t>
        </is>
      </c>
      <c r="D151" s="15" t="str">
        <f>IFERROR(INDEX(觀察名單!$F$2:$F$533,MATCH($C151,觀察名單!$B$2:$B$533,0)),"")</f>
        <v>USD</v>
      </c>
      <c r="E151" s="16" t="str">
        <f>IF($D151&lt;&gt;"USD","",IFERROR(INDEX(觀察名單!$L$2:$L$533,MATCH($C151,觀察名單!$B$2:$B$533,0)),""))</f>
        <v/>
      </c>
      <c r="F151" s="16" t="str">
        <f>IF($D151&lt;&gt;"USD","",IFERROR(INDEX(觀察名單!$Q$2:$Q$533,MATCH($C151,觀察名單!$B$2:$B$533,0)),""))</f>
        <v/>
      </c>
    </row>
    <row r="152">
      <c r="A152" s="15" t="inlineStr">
        <is>
          <t>子板塊</t>
        </is>
      </c>
      <c r="B152" s="15" t="inlineStr">
        <is>
          <t>頁岩E&amp;P勘探生產</t>
        </is>
      </c>
      <c r="C152" s="15" t="inlineStr">
        <is>
          <t>DVN</t>
        </is>
      </c>
      <c r="D152" s="15" t="str">
        <f>IFERROR(INDEX(觀察名單!$F$2:$F$533,MATCH($C152,觀察名單!$B$2:$B$533,0)),"")</f>
        <v>USD</v>
      </c>
      <c r="E152" s="16">
        <f>IF($D152&lt;&gt;"USD","",IFERROR(INDEX(觀察名單!$L$2:$L$533,MATCH($C152,觀察名單!$B$2:$B$533,0)),""))</f>
        <v>7417.0</v>
      </c>
      <c r="F152" s="16">
        <f>IF($D152&lt;&gt;"USD","",IFERROR(INDEX(觀察名單!$Q$2:$Q$533,MATCH($C152,觀察名單!$B$2:$B$533,0)),""))</f>
        <v>2543.0</v>
      </c>
    </row>
    <row r="153">
      <c r="A153" s="15" t="inlineStr">
        <is>
          <t>子板塊</t>
        </is>
      </c>
      <c r="B153" s="15" t="inlineStr">
        <is>
          <t>電商平台</t>
        </is>
      </c>
      <c r="C153" s="15" t="inlineStr">
        <is>
          <t>EBAY</t>
        </is>
      </c>
      <c r="D153" s="15" t="str">
        <f>IFERROR(INDEX(觀察名單!$F$2:$F$533,MATCH($C153,觀察名單!$B$2:$B$533,0)),"")</f>
        <v>USD</v>
      </c>
      <c r="E153" s="16">
        <f>IF($D153&lt;&gt;"USD","",IFERROR(INDEX(觀察名單!$L$2:$L$533,MATCH($C153,觀察名單!$B$2:$B$533,0)),""))</f>
        <v>3134.0</v>
      </c>
      <c r="F153" s="16">
        <f>IF($D153&lt;&gt;"USD","",IFERROR(INDEX(觀察名單!$Q$2:$Q$533,MATCH($C153,觀察名單!$B$2:$B$533,0)),""))</f>
        <v>676.0</v>
      </c>
    </row>
    <row r="154">
      <c r="A154" s="15" t="inlineStr">
        <is>
          <t>子板塊</t>
        </is>
      </c>
      <c r="B154" s="15" t="inlineStr">
        <is>
          <t>特種化工</t>
        </is>
      </c>
      <c r="C154" s="15" t="inlineStr">
        <is>
          <t>ECL</t>
        </is>
      </c>
      <c r="D154" s="15" t="str">
        <f>IFERROR(INDEX(觀察名單!$F$2:$F$533,MATCH($C154,觀察名單!$B$2:$B$533,0)),"")</f>
        <v>USD</v>
      </c>
      <c r="E154" s="16">
        <f>IF($D154&lt;&gt;"USD","",IFERROR(INDEX(觀察名單!$L$2:$L$533,MATCH($C154,觀察名單!$B$2:$B$533,0)),""))</f>
        <v>4415.4</v>
      </c>
      <c r="F154" s="16">
        <f>IF($D154&lt;&gt;"USD","",IFERROR(INDEX(觀察名單!$Q$2:$Q$533,MATCH($C154,觀察名單!$B$2:$B$533,0)),""))</f>
        <v>804.3</v>
      </c>
    </row>
    <row r="155">
      <c r="A155" s="15" t="inlineStr">
        <is>
          <t>子板塊</t>
        </is>
      </c>
      <c r="B155" s="15" t="inlineStr">
        <is>
          <t>LNG液化天然氣</t>
        </is>
      </c>
      <c r="C155" s="15" t="inlineStr">
        <is>
          <t>EE</t>
        </is>
      </c>
      <c r="D155" s="15" t="str">
        <f>IFERROR(INDEX(觀察名單!$F$2:$F$533,MATCH($C155,觀察名單!$B$2:$B$533,0)),"")</f>
        <v>USD</v>
      </c>
      <c r="E155" s="16">
        <f>IF($D155&lt;&gt;"USD","",IFERROR(INDEX(觀察名單!$L$2:$L$533,MATCH($C155,觀察名單!$B$2:$B$533,0)),""))</f>
        <v>329.265</v>
      </c>
      <c r="F155" s="16">
        <f>IF($D155&lt;&gt;"USD","",IFERROR(INDEX(觀察名單!$Q$2:$Q$533,MATCH($C155,觀察名單!$B$2:$B$533,0)),""))</f>
        <v>80.896</v>
      </c>
    </row>
    <row r="156">
      <c r="A156" s="15" t="inlineStr">
        <is>
          <t>子板塊</t>
        </is>
      </c>
      <c r="B156" s="15" t="inlineStr">
        <is>
          <t>工業與物流REIT</t>
        </is>
      </c>
      <c r="C156" s="15" t="inlineStr">
        <is>
          <t>EGP</t>
        </is>
      </c>
      <c r="D156" s="15" t="str">
        <f>IFERROR(INDEX(觀察名單!$F$2:$F$533,MATCH($C156,觀察名單!$B$2:$B$533,0)),"")</f>
        <v>USD</v>
      </c>
      <c r="E156" s="16">
        <f>IF($D156&lt;&gt;"USD","",IFERROR(INDEX(觀察名單!$L$2:$L$533,MATCH($C156,觀察名單!$B$2:$B$533,0)),""))</f>
        <v>193.331</v>
      </c>
      <c r="F156" s="16">
        <f>IF($D156&lt;&gt;"USD","",IFERROR(INDEX(觀察名單!$Q$2:$Q$533,MATCH($C156,觀察名單!$B$2:$B$533,0)),""))</f>
        <v>78.803</v>
      </c>
    </row>
    <row r="157">
      <c r="A157" s="15" t="inlineStr">
        <is>
          <t>子板塊</t>
        </is>
      </c>
      <c r="B157" s="15" t="inlineStr">
        <is>
          <t>醫院與醫療服務</t>
        </is>
      </c>
      <c r="C157" s="15" t="inlineStr">
        <is>
          <t>EHC</t>
        </is>
      </c>
      <c r="D157" s="15" t="str">
        <f>IFERROR(INDEX(觀察名單!$F$2:$F$533,MATCH($C157,觀察名單!$B$2:$B$533,0)),"")</f>
        <v>USD</v>
      </c>
      <c r="E157" s="16">
        <f>IF($D157&lt;&gt;"USD","",IFERROR(INDEX(觀察名單!$L$2:$L$533,MATCH($C157,觀察名單!$B$2:$B$533,0)),""))</f>
        <v>1597.4</v>
      </c>
      <c r="F157" s="16">
        <f>IF($D157&lt;&gt;"USD","",IFERROR(INDEX(觀察名單!$Q$2:$Q$533,MATCH($C157,觀察名單!$B$2:$B$533,0)),""))</f>
        <v>288.4</v>
      </c>
    </row>
    <row r="158">
      <c r="A158" s="15" t="inlineStr">
        <is>
          <t>子板塊</t>
        </is>
      </c>
      <c r="B158" s="15" t="inlineStr">
        <is>
          <t>家庭與個人護理</t>
        </is>
      </c>
      <c r="C158" s="15" t="inlineStr">
        <is>
          <t>EL</t>
        </is>
      </c>
      <c r="D158" s="15" t="str">
        <f>IFERROR(INDEX(觀察名單!$F$2:$F$533,MATCH($C158,觀察名單!$B$2:$B$533,0)),"")</f>
        <v>USD</v>
      </c>
      <c r="E158" s="16">
        <f>IF($D158&lt;&gt;"USD","",IFERROR(INDEX(觀察名單!$L$2:$L$533,MATCH($C158,觀察名單!$B$2:$B$533,0)),""))</f>
        <v>3627.0</v>
      </c>
      <c r="F158" s="16">
        <f>IF($D158&lt;&gt;"USD","",IFERROR(INDEX(觀察名單!$Q$2:$Q$533,MATCH($C158,觀察名單!$B$2:$B$533,0)),""))</f>
        <v>254.0</v>
      </c>
    </row>
    <row r="159">
      <c r="A159" s="15" t="inlineStr">
        <is>
          <t>子板塊</t>
        </is>
      </c>
      <c r="B159" s="15" t="inlineStr">
        <is>
          <t>醫療保險與管理式醫療</t>
        </is>
      </c>
      <c r="C159" s="15" t="inlineStr">
        <is>
          <t>ELV</t>
        </is>
      </c>
      <c r="D159" s="15" t="str">
        <f>IFERROR(INDEX(觀察名單!$F$2:$F$533,MATCH($C159,觀察名單!$B$2:$B$533,0)),"")</f>
        <v>USD</v>
      </c>
      <c r="E159" s="16">
        <f>IF($D159&lt;&gt;"USD","",IFERROR(INDEX(觀察名單!$L$2:$L$533,MATCH($C159,觀察名單!$B$2:$B$533,0)),""))</f>
        <v>50474.0</v>
      </c>
      <c r="F159" s="16">
        <f>IF($D159&lt;&gt;"USD","",IFERROR(INDEX(觀察名單!$Q$2:$Q$533,MATCH($C159,觀察名單!$B$2:$B$533,0)),""))</f>
        <v>2301.0</v>
      </c>
    </row>
    <row r="160">
      <c r="A160" s="15" t="inlineStr">
        <is>
          <t>子板塊</t>
        </is>
      </c>
      <c r="B160" s="15" t="inlineStr">
        <is>
          <t>工程建設/EPC</t>
        </is>
      </c>
      <c r="C160" s="15" t="inlineStr">
        <is>
          <t>EME</t>
        </is>
      </c>
      <c r="D160" s="15" t="str">
        <f>IFERROR(INDEX(觀察名單!$F$2:$F$533,MATCH($C160,觀察名單!$B$2:$B$533,0)),"")</f>
        <v>USD</v>
      </c>
      <c r="E160" s="16">
        <f>IF($D160&lt;&gt;"USD","",IFERROR(INDEX(觀察名單!$L$2:$L$533,MATCH($C160,觀察名單!$B$2:$B$533,0)),""))</f>
        <v>5154.892</v>
      </c>
      <c r="F160" s="16">
        <f>IF($D160&lt;&gt;"USD","",IFERROR(INDEX(觀察名單!$Q$2:$Q$533,MATCH($C160,觀察名單!$B$2:$B$533,0)),""))</f>
        <v>547.34</v>
      </c>
    </row>
    <row r="161">
      <c r="A161" s="15" t="inlineStr">
        <is>
          <t>子板塊</t>
        </is>
      </c>
      <c r="B161" s="15" t="inlineStr">
        <is>
          <t>電氣設備與電網</t>
        </is>
      </c>
      <c r="C161" s="15" t="inlineStr">
        <is>
          <t>EMR</t>
        </is>
      </c>
      <c r="D161" s="15" t="str">
        <f>IFERROR(INDEX(觀察名單!$F$2:$F$533,MATCH($C161,觀察名單!$B$2:$B$533,0)),"")</f>
        <v>USD</v>
      </c>
      <c r="E161" s="16" t="str">
        <f>IF($D161&lt;&gt;"USD","",IFERROR(INDEX(觀察名單!$L$2:$L$533,MATCH($C161,觀察名單!$B$2:$B$533,0)),""))</f>
        <v/>
      </c>
      <c r="F161" s="16" t="str">
        <f>IF($D161&lt;&gt;"USD","",IFERROR(INDEX(觀察名單!$Q$2:$Q$533,MATCH($C161,觀察名單!$B$2:$B$533,0)),""))</f>
        <v/>
      </c>
    </row>
    <row r="162">
      <c r="A162" s="15" t="inlineStr">
        <is>
          <t>子板塊</t>
        </is>
      </c>
      <c r="B162" s="15" t="inlineStr">
        <is>
          <t>再生能源與太陽能</t>
        </is>
      </c>
      <c r="C162" s="15" t="inlineStr">
        <is>
          <t>ENPH</t>
        </is>
      </c>
      <c r="D162" s="15" t="str">
        <f>IFERROR(INDEX(觀察名單!$F$2:$F$533,MATCH($C162,觀察名單!$B$2:$B$533,0)),"")</f>
        <v>USD</v>
      </c>
      <c r="E162" s="16">
        <f>IF($D162&lt;&gt;"USD","",IFERROR(INDEX(觀察名單!$L$2:$L$533,MATCH($C162,觀察名單!$B$2:$B$533,0)),""))</f>
        <v>291.854</v>
      </c>
      <c r="F162" s="16">
        <f>IF($D162&lt;&gt;"USD","",IFERROR(INDEX(觀察名單!$Q$2:$Q$533,MATCH($C162,觀察名單!$B$2:$B$533,0)),""))</f>
        <v>52.477</v>
      </c>
    </row>
    <row r="163">
      <c r="A163" s="15" t="inlineStr">
        <is>
          <t>子板塊</t>
        </is>
      </c>
      <c r="B163" s="15" t="inlineStr">
        <is>
          <t>頁岩E&amp;P勘探生產</t>
        </is>
      </c>
      <c r="C163" s="15" t="inlineStr">
        <is>
          <t>EOG</t>
        </is>
      </c>
      <c r="D163" s="15" t="str">
        <f>IFERROR(INDEX(觀察名單!$F$2:$F$533,MATCH($C163,觀察名單!$B$2:$B$533,0)),"")</f>
        <v>USD</v>
      </c>
      <c r="E163" s="16" t="str">
        <f>IF($D163&lt;&gt;"USD","",IFERROR(INDEX(觀察名單!$L$2:$L$533,MATCH($C163,觀察名單!$B$2:$B$533,0)),""))</f>
        <v/>
      </c>
      <c r="F163" s="16" t="str">
        <f>IF($D163&lt;&gt;"USD","",IFERROR(INDEX(觀察名單!$Q$2:$Q$533,MATCH($C163,觀察名單!$B$2:$B$533,0)),""))</f>
        <v/>
      </c>
    </row>
    <row r="164">
      <c r="A164" s="15" t="inlineStr">
        <is>
          <t>子板塊</t>
        </is>
      </c>
      <c r="B164" s="15" t="inlineStr">
        <is>
          <t>IT服務與系統整合</t>
        </is>
      </c>
      <c r="C164" s="15" t="inlineStr">
        <is>
          <t>EPAM</t>
        </is>
      </c>
      <c r="D164" s="15" t="str">
        <f>IFERROR(INDEX(觀察名單!$F$2:$F$533,MATCH($C164,觀察名單!$B$2:$B$533,0)),"")</f>
        <v>USD</v>
      </c>
      <c r="E164" s="16">
        <f>IF($D164&lt;&gt;"USD","",IFERROR(INDEX(觀察名單!$L$2:$L$533,MATCH($C164,觀察名單!$B$2:$B$533,0)),""))</f>
        <v>1414.767</v>
      </c>
      <c r="F164" s="16">
        <f>IF($D164&lt;&gt;"USD","",IFERROR(INDEX(觀察名單!$Q$2:$Q$533,MATCH($C164,觀察名單!$B$2:$B$533,0)),""))</f>
        <v>152.222</v>
      </c>
    </row>
    <row r="165">
      <c r="A165" s="15" t="inlineStr">
        <is>
          <t>子板塊</t>
        </is>
      </c>
      <c r="B165" s="15" t="inlineStr">
        <is>
          <t>中游與管道</t>
        </is>
      </c>
      <c r="C165" s="15" t="inlineStr">
        <is>
          <t>EPD</t>
        </is>
      </c>
      <c r="D165" s="15" t="str">
        <f>IFERROR(INDEX(觀察名單!$F$2:$F$533,MATCH($C165,觀察名單!$B$2:$B$533,0)),"")</f>
        <v>USD</v>
      </c>
      <c r="E165" s="16">
        <f>IF($D165&lt;&gt;"USD","",IFERROR(INDEX(觀察名單!$L$2:$L$533,MATCH($C165,觀察名單!$B$2:$B$533,0)),""))</f>
        <v>18269.0</v>
      </c>
      <c r="F165" s="16">
        <f>IF($D165&lt;&gt;"USD","",IFERROR(INDEX(觀察名單!$Q$2:$Q$533,MATCH($C165,觀察名單!$B$2:$B$533,0)),""))</f>
        <v>2140.0</v>
      </c>
    </row>
    <row r="166">
      <c r="A166" s="15" t="inlineStr">
        <is>
          <t>子板塊</t>
        </is>
      </c>
      <c r="B166" s="15" t="inlineStr">
        <is>
          <t>壽險與年金</t>
        </is>
      </c>
      <c r="C166" s="15" t="inlineStr">
        <is>
          <t>EQH</t>
        </is>
      </c>
      <c r="D166" s="15" t="str">
        <f>IFERROR(INDEX(觀察名單!$F$2:$F$533,MATCH($C166,觀察名單!$B$2:$B$533,0)),"")</f>
        <v>USD</v>
      </c>
      <c r="E166" s="16">
        <f>IF($D166&lt;&gt;"USD","",IFERROR(INDEX(觀察名單!$L$2:$L$533,MATCH($C166,觀察名單!$B$2:$B$533,0)),""))</f>
        <v>1658.0</v>
      </c>
      <c r="F166" s="16">
        <f>IF($D166&lt;&gt;"USD","",IFERROR(INDEX(觀察名單!$Q$2:$Q$533,MATCH($C166,觀察名單!$B$2:$B$533,0)),""))</f>
        <v>-437.0</v>
      </c>
    </row>
    <row r="167">
      <c r="A167" s="15" t="inlineStr">
        <is>
          <t>子板塊</t>
        </is>
      </c>
      <c r="B167" s="15" t="inlineStr">
        <is>
          <t>資料中心REIT</t>
        </is>
      </c>
      <c r="C167" s="15" t="inlineStr">
        <is>
          <t>EQIX</t>
        </is>
      </c>
      <c r="D167" s="15" t="str">
        <f>IFERROR(INDEX(觀察名單!$F$2:$F$533,MATCH($C167,觀察名單!$B$2:$B$533,0)),"")</f>
        <v>USD</v>
      </c>
      <c r="E167" s="16">
        <f>IF($D167&lt;&gt;"USD","",IFERROR(INDEX(觀察名單!$L$2:$L$533,MATCH($C167,觀察名單!$B$2:$B$533,0)),""))</f>
        <v>2625.0</v>
      </c>
      <c r="F167" s="16">
        <f>IF($D167&lt;&gt;"USD","",IFERROR(INDEX(觀察名單!$Q$2:$Q$533,MATCH($C167,觀察名單!$B$2:$B$533,0)),""))</f>
        <v>694.0</v>
      </c>
    </row>
    <row r="168">
      <c r="A168" s="15" t="inlineStr">
        <is>
          <t>子板塊</t>
        </is>
      </c>
      <c r="B168" s="15" t="inlineStr">
        <is>
          <t>中游與管道</t>
        </is>
      </c>
      <c r="C168" s="15" t="inlineStr">
        <is>
          <t>ET</t>
        </is>
      </c>
      <c r="D168" s="15" t="str">
        <f>IFERROR(INDEX(觀察名單!$F$2:$F$533,MATCH($C168,觀察名單!$B$2:$B$533,0)),"")</f>
        <v>USD</v>
      </c>
      <c r="E168" s="16">
        <f>IF($D168&lt;&gt;"USD","",IFERROR(INDEX(觀察名單!$L$2:$L$533,MATCH($C168,觀察名單!$B$2:$B$533,0)),""))</f>
        <v>34334.0</v>
      </c>
      <c r="F168" s="16">
        <f>IF($D168&lt;&gt;"USD","",IFERROR(INDEX(觀察名單!$Q$2:$Q$533,MATCH($C168,觀察名單!$B$2:$B$533,0)),""))</f>
        <v>3574.0</v>
      </c>
    </row>
    <row r="169">
      <c r="A169" s="15" t="inlineStr">
        <is>
          <t>子板塊</t>
        </is>
      </c>
      <c r="B169" s="15" t="inlineStr">
        <is>
          <t>電氣設備與電網</t>
        </is>
      </c>
      <c r="C169" s="15" t="inlineStr">
        <is>
          <t>ETN</t>
        </is>
      </c>
      <c r="D169" s="15" t="str">
        <f>IFERROR(INDEX(觀察名單!$F$2:$F$533,MATCH($C169,觀察名單!$B$2:$B$533,0)),"")</f>
        <v>USD</v>
      </c>
      <c r="E169" s="16" t="str">
        <f>IF($D169&lt;&gt;"USD","",IFERROR(INDEX(觀察名單!$L$2:$L$533,MATCH($C169,觀察名單!$B$2:$B$533,0)),""))</f>
        <v/>
      </c>
      <c r="F169" s="16" t="str">
        <f>IF($D169&lt;&gt;"USD","",IFERROR(INDEX(觀察名單!$Q$2:$Q$533,MATCH($C169,觀察名單!$B$2:$B$533,0)),""))</f>
        <v/>
      </c>
    </row>
    <row r="170">
      <c r="A170" s="15" t="inlineStr">
        <is>
          <t>子板塊</t>
        </is>
      </c>
      <c r="B170" s="15" t="inlineStr">
        <is>
          <t>投行與資本巿場</t>
        </is>
      </c>
      <c r="C170" s="15" t="inlineStr">
        <is>
          <t>EVR</t>
        </is>
      </c>
      <c r="D170" s="15" t="str">
        <f>IFERROR(INDEX(觀察名單!$F$2:$F$533,MATCH($C170,觀察名單!$B$2:$B$533,0)),"")</f>
        <v>USD</v>
      </c>
      <c r="E170" s="16">
        <f>IF($D170&lt;&gt;"USD","",IFERROR(INDEX(觀察名單!$L$2:$L$533,MATCH($C170,觀察名單!$B$2:$B$533,0)),""))</f>
        <v>990.199</v>
      </c>
      <c r="F170" s="16" t="str">
        <f>IF($D170&lt;&gt;"USD","",IFERROR(INDEX(觀察名單!$Q$2:$Q$533,MATCH($C170,觀察名單!$B$2:$B$533,0)),""))</f>
        <v/>
      </c>
    </row>
    <row r="171">
      <c r="A171" s="15" t="inlineStr">
        <is>
          <t>子板塊</t>
        </is>
      </c>
      <c r="B171" s="15" t="inlineStr">
        <is>
          <t>特殊型REIT（自存倉/賭場/廣告牌）</t>
        </is>
      </c>
      <c r="C171" s="15" t="inlineStr">
        <is>
          <t>EXR</t>
        </is>
      </c>
      <c r="D171" s="15" t="str">
        <f>IFERROR(INDEX(觀察名單!$F$2:$F$533,MATCH($C171,觀察名單!$B$2:$B$533,0)),"")</f>
        <v>USD</v>
      </c>
      <c r="E171" s="16" t="str">
        <f>IF($D171&lt;&gt;"USD","",IFERROR(INDEX(觀察名單!$L$2:$L$533,MATCH($C171,觀察名單!$B$2:$B$533,0)),""))</f>
        <v/>
      </c>
      <c r="F171" s="16" t="str">
        <f>IF($D171&lt;&gt;"USD","",IFERROR(INDEX(觀察名單!$Q$2:$Q$533,MATCH($C171,觀察名單!$B$2:$B$533,0)),""))</f>
        <v/>
      </c>
    </row>
    <row r="172">
      <c r="A172" s="15" t="inlineStr">
        <is>
          <t>子板塊</t>
        </is>
      </c>
      <c r="B172" s="15" t="inlineStr">
        <is>
          <t>傳統汽車與零部件</t>
        </is>
      </c>
      <c r="C172" s="15" t="inlineStr">
        <is>
          <t>F</t>
        </is>
      </c>
      <c r="D172" s="15" t="str">
        <f>IFERROR(INDEX(觀察名單!$F$2:$F$533,MATCH($C172,觀察名單!$B$2:$B$533,0)),"")</f>
        <v>USD</v>
      </c>
      <c r="E172" s="16">
        <f>IF($D172&lt;&gt;"USD","",IFERROR(INDEX(觀察名單!$L$2:$L$533,MATCH($C172,觀察名單!$B$2:$B$533,0)),""))</f>
        <v>48296.0</v>
      </c>
      <c r="F172" s="16">
        <f>IF($D172&lt;&gt;"USD","",IFERROR(INDEX(觀察名單!$Q$2:$Q$533,MATCH($C172,觀察名單!$B$2:$B$533,0)),""))</f>
        <v>638.0</v>
      </c>
    </row>
    <row r="173">
      <c r="A173" s="15" t="inlineStr">
        <is>
          <t>子板塊</t>
        </is>
      </c>
      <c r="B173" s="15" t="inlineStr">
        <is>
          <t>頁岩E&amp;P勘探生產</t>
        </is>
      </c>
      <c r="C173" s="15" t="inlineStr">
        <is>
          <t>FANG</t>
        </is>
      </c>
      <c r="D173" s="15" t="str">
        <f>IFERROR(INDEX(觀察名單!$F$2:$F$533,MATCH($C173,觀察名單!$B$2:$B$533,0)),"")</f>
        <v>USD</v>
      </c>
      <c r="E173" s="16">
        <f>IF($D173&lt;&gt;"USD","",IFERROR(INDEX(觀察名單!$L$2:$L$533,MATCH($C173,觀察名單!$B$2:$B$533,0)),""))</f>
        <v>5525.0</v>
      </c>
      <c r="F173" s="16">
        <f>IF($D173&lt;&gt;"USD","",IFERROR(INDEX(觀察名單!$Q$2:$Q$533,MATCH($C173,觀察名單!$B$2:$B$533,0)),""))</f>
        <v>2512.0</v>
      </c>
    </row>
    <row r="174">
      <c r="A174" s="15" t="inlineStr">
        <is>
          <t>子板塊</t>
        </is>
      </c>
      <c r="B174" s="15" t="inlineStr">
        <is>
          <t>腫瘤與細胞治療</t>
        </is>
      </c>
      <c r="C174" s="15" t="inlineStr">
        <is>
          <t>FATE</t>
        </is>
      </c>
      <c r="D174" s="15" t="str">
        <f>IFERROR(INDEX(觀察名單!$F$2:$F$533,MATCH($C174,觀察名單!$B$2:$B$533,0)),"")</f>
        <v>USD</v>
      </c>
      <c r="E174" s="16">
        <f>IF($D174&lt;&gt;"USD","",IFERROR(INDEX(觀察名單!$L$2:$L$533,MATCH($C174,觀察名單!$B$2:$B$533,0)),""))</f>
        <v>2.082</v>
      </c>
      <c r="F174" s="16">
        <f>IF($D174&lt;&gt;"USD","",IFERROR(INDEX(觀察名單!$Q$2:$Q$533,MATCH($C174,觀察名單!$B$2:$B$533,0)),""))</f>
        <v>-31.134</v>
      </c>
    </row>
    <row r="175">
      <c r="A175" s="15" t="inlineStr">
        <is>
          <t>子板塊</t>
        </is>
      </c>
      <c r="B175" s="15" t="inlineStr">
        <is>
          <t>銅與基本金屬</t>
        </is>
      </c>
      <c r="C175" s="15" t="inlineStr">
        <is>
          <t>FCX</t>
        </is>
      </c>
      <c r="D175" s="15" t="str">
        <f>IFERROR(INDEX(觀察名單!$F$2:$F$533,MATCH($C175,觀察名單!$B$2:$B$533,0)),"")</f>
        <v>USD</v>
      </c>
      <c r="E175" s="16">
        <f>IF($D175&lt;&gt;"USD","",IFERROR(INDEX(觀察名單!$L$2:$L$533,MATCH($C175,觀察名單!$B$2:$B$533,0)),""))</f>
        <v>7029.0</v>
      </c>
      <c r="F175" s="16">
        <f>IF($D175&lt;&gt;"USD","",IFERROR(INDEX(觀察名單!$Q$2:$Q$533,MATCH($C175,觀察名單!$B$2:$B$533,0)),""))</f>
        <v>1985.0</v>
      </c>
    </row>
    <row r="176">
      <c r="A176" s="15" t="inlineStr">
        <is>
          <t>子板塊</t>
        </is>
      </c>
      <c r="B176" s="15" t="inlineStr">
        <is>
          <t>貨運與物流</t>
        </is>
      </c>
      <c r="C176" s="15" t="inlineStr">
        <is>
          <t>FDX</t>
        </is>
      </c>
      <c r="D176" s="15" t="str">
        <f>IFERROR(INDEX(觀察名單!$F$2:$F$533,MATCH($C176,觀察名單!$B$2:$B$533,0)),"")</f>
        <v>USD</v>
      </c>
      <c r="E176" s="16">
        <f>IF($D176&lt;&gt;"USD","",IFERROR(INDEX(觀察名單!$L$2:$L$533,MATCH($C176,觀察名單!$B$2:$B$533,0)),""))</f>
        <v>25007.0</v>
      </c>
      <c r="F176" s="16">
        <f>IF($D176&lt;&gt;"USD","",IFERROR(INDEX(觀察名單!$Q$2:$Q$533,MATCH($C176,觀察名單!$B$2:$B$533,0)),""))</f>
        <v>2089.0</v>
      </c>
    </row>
    <row r="177">
      <c r="A177" s="15" t="inlineStr">
        <is>
          <t>子板塊</t>
        </is>
      </c>
      <c r="B177" s="15" t="inlineStr">
        <is>
          <t>電子硬件與EMS/連接器</t>
        </is>
      </c>
      <c r="C177" s="15" t="inlineStr">
        <is>
          <t>FLEX</t>
        </is>
      </c>
      <c r="D177" s="15" t="str">
        <f>IFERROR(INDEX(觀察名單!$F$2:$F$533,MATCH($C177,觀察名單!$B$2:$B$533,0)),"")</f>
        <v>USD</v>
      </c>
      <c r="E177" s="16" t="str">
        <f>IF($D177&lt;&gt;"USD","",IFERROR(INDEX(觀察名單!$L$2:$L$533,MATCH($C177,觀察名單!$B$2:$B$533,0)),""))</f>
        <v/>
      </c>
      <c r="F177" s="16" t="str">
        <f>IF($D177&lt;&gt;"USD","",IFERROR(INDEX(觀察名單!$Q$2:$Q$533,MATCH($C177,觀察名單!$B$2:$B$533,0)),""))</f>
        <v/>
      </c>
    </row>
    <row r="178">
      <c r="A178" s="15" t="inlineStr">
        <is>
          <t>子板塊</t>
        </is>
      </c>
      <c r="B178" s="15" t="inlineStr">
        <is>
          <t>工程建設/EPC</t>
        </is>
      </c>
      <c r="C178" s="15" t="inlineStr">
        <is>
          <t>FLR</t>
        </is>
      </c>
      <c r="D178" s="15" t="str">
        <f>IFERROR(INDEX(觀察名單!$F$2:$F$533,MATCH($C178,觀察名單!$B$2:$B$533,0)),"")</f>
        <v>USD</v>
      </c>
      <c r="E178" s="16">
        <f>IF($D178&lt;&gt;"USD","",IFERROR(INDEX(觀察名單!$L$2:$L$533,MATCH($C178,觀察名單!$B$2:$B$533,0)),""))</f>
        <v>4329.0</v>
      </c>
      <c r="F178" s="16">
        <f>IF($D178&lt;&gt;"USD","",IFERROR(INDEX(觀察名單!$Q$2:$Q$533,MATCH($C178,觀察名單!$B$2:$B$533,0)),""))</f>
        <v>141.0</v>
      </c>
    </row>
    <row r="179">
      <c r="A179" s="15" t="inlineStr">
        <is>
          <t>子板塊</t>
        </is>
      </c>
      <c r="B179" s="15" t="inlineStr">
        <is>
          <t>博彩與線上博彩</t>
        </is>
      </c>
      <c r="C179" s="15" t="inlineStr">
        <is>
          <t>FLUT</t>
        </is>
      </c>
      <c r="D179" s="15" t="str">
        <f>IFERROR(INDEX(觀察名單!$F$2:$F$533,MATCH($C179,觀察名單!$B$2:$B$533,0)),"")</f>
        <v>USD</v>
      </c>
      <c r="E179" s="16">
        <f>IF($D179&lt;&gt;"USD","",IFERROR(INDEX(觀察名單!$L$2:$L$533,MATCH($C179,觀察名單!$B$2:$B$533,0)),""))</f>
        <v>4326.0</v>
      </c>
      <c r="F179" s="16">
        <f>IF($D179&lt;&gt;"USD","",IFERROR(INDEX(觀察名單!$Q$2:$Q$533,MATCH($C179,觀察名單!$B$2:$B$533,0)),""))</f>
        <v>-144.0</v>
      </c>
    </row>
    <row r="180">
      <c r="A180" s="15" t="inlineStr">
        <is>
          <t>子板塊</t>
        </is>
      </c>
      <c r="B180" s="15" t="inlineStr">
        <is>
          <t>工業與物流REIT</t>
        </is>
      </c>
      <c r="C180" s="15" t="inlineStr">
        <is>
          <t>FR</t>
        </is>
      </c>
      <c r="D180" s="15" t="str">
        <f>IFERROR(INDEX(觀察名單!$F$2:$F$533,MATCH($C180,觀察名單!$B$2:$B$533,0)),"")</f>
        <v>USD</v>
      </c>
      <c r="E180" s="16">
        <f>IF($D180&lt;&gt;"USD","",IFERROR(INDEX(觀察名單!$L$2:$L$533,MATCH($C180,觀察名單!$B$2:$B$533,0)),""))</f>
        <v>194.94</v>
      </c>
      <c r="F180" s="16">
        <f>IF($D180&lt;&gt;"USD","",IFERROR(INDEX(觀察名單!$Q$2:$Q$533,MATCH($C180,觀察名單!$B$2:$B$533,0)),""))</f>
        <v>87.901</v>
      </c>
    </row>
    <row r="181">
      <c r="A181" s="15" t="inlineStr">
        <is>
          <t>子板塊</t>
        </is>
      </c>
      <c r="B181" s="15" t="inlineStr">
        <is>
          <t>零售與購物中心REIT</t>
        </is>
      </c>
      <c r="C181" s="15" t="inlineStr">
        <is>
          <t>FRT</t>
        </is>
      </c>
      <c r="D181" s="15" t="str">
        <f>IFERROR(INDEX(觀察名單!$F$2:$F$533,MATCH($C181,觀察名單!$B$2:$B$533,0)),"")</f>
        <v>USD</v>
      </c>
      <c r="E181" s="16">
        <f>IF($D181&lt;&gt;"USD","",IFERROR(INDEX(觀察名單!$L$2:$L$533,MATCH($C181,觀察名單!$B$2:$B$533,0)),""))</f>
        <v>335.706</v>
      </c>
      <c r="F181" s="16">
        <f>IF($D181&lt;&gt;"USD","",IFERROR(INDEX(觀察名單!$Q$2:$Q$533,MATCH($C181,觀察名單!$B$2:$B$533,0)),""))</f>
        <v>118.045</v>
      </c>
    </row>
    <row r="182">
      <c r="A182" s="15" t="inlineStr">
        <is>
          <t>子板塊</t>
        </is>
      </c>
      <c r="B182" s="15" t="inlineStr">
        <is>
          <t>再生能源與太陽能</t>
        </is>
      </c>
      <c r="C182" s="15" t="inlineStr">
        <is>
          <t>FSLR</t>
        </is>
      </c>
      <c r="D182" s="15" t="str">
        <f>IFERROR(INDEX(觀察名單!$F$2:$F$533,MATCH($C182,觀察名單!$B$2:$B$533,0)),"")</f>
        <v>USD</v>
      </c>
      <c r="E182" s="16">
        <f>IF($D182&lt;&gt;"USD","",IFERROR(INDEX(觀察名單!$L$2:$L$533,MATCH($C182,觀察名單!$B$2:$B$533,0)),""))</f>
        <v>1056.193</v>
      </c>
      <c r="F182" s="16">
        <f>IF($D182&lt;&gt;"USD","",IFERROR(INDEX(觀察名單!$Q$2:$Q$533,MATCH($C182,觀察名單!$B$2:$B$533,0)),""))</f>
        <v>450.386</v>
      </c>
    </row>
    <row r="183">
      <c r="A183" s="15" t="inlineStr">
        <is>
          <t>子板塊</t>
        </is>
      </c>
      <c r="B183" s="15" t="inlineStr">
        <is>
          <t>網絡安全</t>
        </is>
      </c>
      <c r="C183" s="15" t="inlineStr">
        <is>
          <t>FTNT</t>
        </is>
      </c>
      <c r="D183" s="15" t="str">
        <f>IFERROR(INDEX(觀察名單!$F$2:$F$533,MATCH($C183,觀察名單!$B$2:$B$533,0)),"")</f>
        <v>USD</v>
      </c>
      <c r="E183" s="16">
        <f>IF($D183&lt;&gt;"USD","",IFERROR(INDEX(觀察名單!$L$2:$L$533,MATCH($C183,觀察名單!$B$2:$B$533,0)),""))</f>
        <v>2047.9</v>
      </c>
      <c r="F183" s="16">
        <f>IF($D183&lt;&gt;"USD","",IFERROR(INDEX(觀察名單!$Q$2:$Q$533,MATCH($C183,觀察名單!$B$2:$B$533,0)),""))</f>
        <v>689.3</v>
      </c>
    </row>
    <row r="184">
      <c r="A184" s="15" t="inlineStr">
        <is>
          <t>子板塊</t>
        </is>
      </c>
      <c r="B184" s="15" t="inlineStr">
        <is>
          <t>傳媒與娛樂內容</t>
        </is>
      </c>
      <c r="C184" s="15" t="inlineStr">
        <is>
          <t>FWONK</t>
        </is>
      </c>
      <c r="D184" s="15" t="str">
        <f>IFERROR(INDEX(觀察名單!$F$2:$F$533,MATCH($C184,觀察名單!$B$2:$B$533,0)),"")</f>
        <v>USD</v>
      </c>
      <c r="E184" s="16">
        <f>IF($D184&lt;&gt;"USD","",IFERROR(INDEX(觀察名單!$L$2:$L$533,MATCH($C184,觀察名單!$B$2:$B$533,0)),""))</f>
        <v>934.0</v>
      </c>
      <c r="F184" s="16">
        <f>IF($D184&lt;&gt;"USD","",IFERROR(INDEX(觀察名單!$Q$2:$Q$533,MATCH($C184,觀察名單!$B$2:$B$533,0)),""))</f>
        <v>88.0</v>
      </c>
    </row>
    <row r="185">
      <c r="A185" s="15" t="inlineStr">
        <is>
          <t>子板塊</t>
        </is>
      </c>
      <c r="B185" s="15" t="inlineStr">
        <is>
          <t>航太與國防</t>
        </is>
      </c>
      <c r="C185" s="15" t="inlineStr">
        <is>
          <t>GD</t>
        </is>
      </c>
      <c r="D185" s="15" t="str">
        <f>IFERROR(INDEX(觀察名單!$F$2:$F$533,MATCH($C185,觀察名單!$B$2:$B$533,0)),"")</f>
        <v>USD</v>
      </c>
      <c r="E185" s="16">
        <f>IF($D185&lt;&gt;"USD","",IFERROR(INDEX(觀察名單!$L$2:$L$533,MATCH($C185,觀察名單!$B$2:$B$533,0)),""))</f>
        <v>14094.0</v>
      </c>
      <c r="F185" s="16">
        <f>IF($D185&lt;&gt;"USD","",IFERROR(INDEX(觀察名單!$Q$2:$Q$533,MATCH($C185,觀察名單!$B$2:$B$533,0)),""))</f>
        <v>1460.0</v>
      </c>
    </row>
    <row r="186">
      <c r="A186" s="15" t="inlineStr">
        <is>
          <t>子板塊</t>
        </is>
      </c>
      <c r="B186" s="15" t="inlineStr">
        <is>
          <t>電氣設備與電網</t>
        </is>
      </c>
      <c r="C186" s="15" t="inlineStr">
        <is>
          <t>GEV</t>
        </is>
      </c>
      <c r="D186" s="15" t="str">
        <f>IFERROR(INDEX(觀察名單!$F$2:$F$533,MATCH($C186,觀察名單!$B$2:$B$533,0)),"")</f>
        <v>USD</v>
      </c>
      <c r="E186" s="16">
        <f>IF($D186&lt;&gt;"USD","",IFERROR(INDEX(觀察名單!$L$2:$L$533,MATCH($C186,觀察名單!$B$2:$B$533,0)),""))</f>
        <v>11104.0</v>
      </c>
      <c r="F186" s="16">
        <f>IF($D186&lt;&gt;"USD","",IFERROR(INDEX(觀察名單!$Q$2:$Q$533,MATCH($C186,觀察名單!$B$2:$B$533,0)),""))</f>
        <v>655.0</v>
      </c>
    </row>
    <row r="187">
      <c r="A187" s="15" t="inlineStr">
        <is>
          <t>子板塊</t>
        </is>
      </c>
      <c r="B187" s="15" t="inlineStr">
        <is>
          <t>晶圓代工/IDM</t>
        </is>
      </c>
      <c r="C187" s="15" t="inlineStr">
        <is>
          <t>GFS</t>
        </is>
      </c>
      <c r="D187" s="15" t="str">
        <f>IFERROR(INDEX(觀察名單!$F$2:$F$533,MATCH($C187,觀察名單!$B$2:$B$533,0)),"")</f>
        <v>USD</v>
      </c>
      <c r="E187" s="16">
        <f>IF($D187&lt;&gt;"USD","",IFERROR(INDEX(觀察名單!$L$2:$L$533,MATCH($C187,觀察名單!$B$2:$B$533,0)),""))</f>
        <v>1786.0</v>
      </c>
      <c r="F187" s="16">
        <f>IF($D187&lt;&gt;"USD","",IFERROR(INDEX(觀察名單!$Q$2:$Q$533,MATCH($C187,觀察名單!$B$2:$B$533,0)),""))</f>
        <v>174.0</v>
      </c>
    </row>
    <row r="188">
      <c r="A188" s="15" t="inlineStr">
        <is>
          <t>子板塊</t>
        </is>
      </c>
      <c r="B188" s="15" t="inlineStr">
        <is>
          <t>大型生物科技</t>
        </is>
      </c>
      <c r="C188" s="15" t="inlineStr">
        <is>
          <t>GILD</t>
        </is>
      </c>
      <c r="D188" s="15" t="str">
        <f>IFERROR(INDEX(觀察名單!$F$2:$F$533,MATCH($C188,觀察名單!$B$2:$B$533,0)),"")</f>
        <v>USD</v>
      </c>
      <c r="E188" s="16">
        <f>IF($D188&lt;&gt;"USD","",IFERROR(INDEX(觀察名單!$L$2:$L$533,MATCH($C188,觀察名單!$B$2:$B$533,0)),""))</f>
        <v>7803.0</v>
      </c>
      <c r="F188" s="16">
        <f>IF($D188&lt;&gt;"USD","",IFERROR(INDEX(觀察名單!$Q$2:$Q$533,MATCH($C188,觀察名單!$B$2:$B$533,0)),""))</f>
        <v>2539.0</v>
      </c>
    </row>
    <row r="189">
      <c r="A189" s="15" t="inlineStr">
        <is>
          <t>子板塊</t>
        </is>
      </c>
      <c r="B189" s="15" t="inlineStr">
        <is>
          <t>食品加工</t>
        </is>
      </c>
      <c r="C189" s="15" t="inlineStr">
        <is>
          <t>GIS</t>
        </is>
      </c>
      <c r="D189" s="15" t="str">
        <f>IFERROR(INDEX(觀察名單!$F$2:$F$533,MATCH($C189,觀察名單!$B$2:$B$533,0)),"")</f>
        <v>USD</v>
      </c>
      <c r="E189" s="16">
        <f>IF($D189&lt;&gt;"USD","",IFERROR(INDEX(觀察名單!$L$2:$L$533,MATCH($C189,觀察名單!$B$2:$B$533,0)),""))</f>
        <v>4609.6</v>
      </c>
      <c r="F189" s="16">
        <f>IF($D189&lt;&gt;"USD","",IFERROR(INDEX(觀察名單!$Q$2:$Q$533,MATCH($C189,觀察名單!$B$2:$B$533,0)),""))</f>
        <v>715.4</v>
      </c>
    </row>
    <row r="190">
      <c r="A190" s="15" t="inlineStr">
        <is>
          <t>子板塊</t>
        </is>
      </c>
      <c r="B190" s="15" t="inlineStr">
        <is>
          <t>LNG液化天然氣</t>
        </is>
      </c>
      <c r="C190" s="15" t="inlineStr">
        <is>
          <t>GLNG</t>
        </is>
      </c>
      <c r="D190" s="15" t="str">
        <f>IFERROR(INDEX(觀察名單!$F$2:$F$533,MATCH($C190,觀察名單!$B$2:$B$533,0)),"")</f>
        <v>USD</v>
      </c>
      <c r="E190" s="16">
        <f>IF($D190&lt;&gt;"USD","",IFERROR(INDEX(觀察名單!$L$2:$L$533,MATCH($C190,觀察名單!$B$2:$B$533,0)),""))</f>
        <v>130.479</v>
      </c>
      <c r="F190" s="16">
        <f>IF($D190&lt;&gt;"USD","",IFERROR(INDEX(觀察名單!$Q$2:$Q$533,MATCH($C190,觀察名單!$B$2:$B$533,0)),""))</f>
        <v>65.207</v>
      </c>
    </row>
    <row r="191">
      <c r="A191" s="15" t="inlineStr">
        <is>
          <t>子板塊</t>
        </is>
      </c>
      <c r="B191" s="15" t="inlineStr">
        <is>
          <t>特殊型REIT（自存倉/賭場/廣告牌）</t>
        </is>
      </c>
      <c r="C191" s="15" t="inlineStr">
        <is>
          <t>GLPI</t>
        </is>
      </c>
      <c r="D191" s="15" t="str">
        <f>IFERROR(INDEX(觀察名單!$F$2:$F$533,MATCH($C191,觀察名單!$B$2:$B$533,0)),"")</f>
        <v>USD</v>
      </c>
      <c r="E191" s="16">
        <f>IF($D191&lt;&gt;"USD","",IFERROR(INDEX(觀察名單!$L$2:$L$533,MATCH($C191,觀察名單!$B$2:$B$533,0)),""))</f>
        <v>430.519</v>
      </c>
      <c r="F191" s="16">
        <f>IF($D191&lt;&gt;"USD","",IFERROR(INDEX(觀察名單!$Q$2:$Q$533,MATCH($C191,觀察名單!$B$2:$B$533,0)),""))</f>
        <v>333.562</v>
      </c>
    </row>
    <row r="192">
      <c r="A192" s="15" t="inlineStr">
        <is>
          <t>子板塊</t>
        </is>
      </c>
      <c r="B192" s="15" t="inlineStr">
        <is>
          <t>傳統汽車與零部件</t>
        </is>
      </c>
      <c r="C192" s="15" t="inlineStr">
        <is>
          <t>GM</t>
        </is>
      </c>
      <c r="D192" s="15" t="str">
        <f>IFERROR(INDEX(觀察名單!$F$2:$F$533,MATCH($C192,觀察名單!$B$2:$B$533,0)),"")</f>
        <v>USD</v>
      </c>
      <c r="E192" s="16">
        <f>IF($D192&lt;&gt;"USD","",IFERROR(INDEX(觀察名單!$L$2:$L$533,MATCH($C192,觀察名單!$B$2:$B$533,0)),""))</f>
        <v>48026.0</v>
      </c>
      <c r="F192" s="16">
        <f>IF($D192&lt;&gt;"USD","",IFERROR(INDEX(觀察名單!$Q$2:$Q$533,MATCH($C192,觀察名單!$B$2:$B$533,0)),""))</f>
        <v>1459.0</v>
      </c>
    </row>
    <row r="193">
      <c r="A193" s="15" t="inlineStr">
        <is>
          <t>子板塊</t>
        </is>
      </c>
      <c r="B193" s="15" t="inlineStr">
        <is>
          <t>黃金與貴金屬礦</t>
        </is>
      </c>
      <c r="C193" s="15" t="inlineStr">
        <is>
          <t>GOLD</t>
        </is>
      </c>
      <c r="D193" s="15" t="str">
        <f>IFERROR(INDEX(觀察名單!$F$2:$F$533,MATCH($C193,觀察名單!$B$2:$B$533,0)),"")</f>
        <v>USD</v>
      </c>
      <c r="E193" s="16">
        <f>IF($D193&lt;&gt;"USD","",IFERROR(INDEX(觀察名單!$L$2:$L$533,MATCH($C193,觀察名單!$B$2:$B$533,0)),""))</f>
        <v>10350.729</v>
      </c>
      <c r="F193" s="16">
        <f>IF($D193&lt;&gt;"USD","",IFERROR(INDEX(觀察名單!$Q$2:$Q$533,MATCH($C193,觀察名單!$B$2:$B$533,0)),""))</f>
        <v>89.129</v>
      </c>
    </row>
    <row r="194">
      <c r="A194" s="15" t="inlineStr">
        <is>
          <t>子板塊</t>
        </is>
      </c>
      <c r="B194" s="15" t="inlineStr">
        <is>
          <t>大型網絡平台與數位廣告</t>
        </is>
      </c>
      <c r="C194" s="15" t="inlineStr">
        <is>
          <t>GOOGL</t>
        </is>
      </c>
      <c r="D194" s="15" t="str">
        <f>IFERROR(INDEX(觀察名單!$F$2:$F$533,MATCH($C194,觀察名單!$B$2:$B$533,0)),"")</f>
        <v>USD</v>
      </c>
      <c r="E194" s="16">
        <f>IF($D194&lt;&gt;"USD","",IFERROR(INDEX(觀察名單!$L$2:$L$533,MATCH($C194,觀察名單!$B$2:$B$533,0)),""))</f>
        <v>119796.0</v>
      </c>
      <c r="F194" s="16">
        <f>IF($D194&lt;&gt;"USD","",IFERROR(INDEX(觀察名單!$Q$2:$Q$533,MATCH($C194,觀察名單!$B$2:$B$533,0)),""))</f>
        <v>40770.0</v>
      </c>
    </row>
    <row r="195">
      <c r="A195" s="15" t="inlineStr">
        <is>
          <t>子板塊</t>
        </is>
      </c>
      <c r="B195" s="15" t="inlineStr">
        <is>
          <t>雲端基建/IaaS/Neocloud</t>
        </is>
      </c>
      <c r="C195" s="15" t="inlineStr">
        <is>
          <t>GOOGL</t>
        </is>
      </c>
      <c r="D195" s="15" t="str">
        <f>IFERROR(INDEX(觀察名單!$F$2:$F$533,MATCH($C195,觀察名單!$B$2:$B$533,0)),"")</f>
        <v>USD</v>
      </c>
      <c r="E195" s="16">
        <f>IF($D195&lt;&gt;"USD","",IFERROR(INDEX(觀察名單!$L$2:$L$533,MATCH($C195,觀察名單!$B$2:$B$533,0)),""))</f>
        <v>119796.0</v>
      </c>
      <c r="F195" s="16">
        <f>IF($D195&lt;&gt;"USD","",IFERROR(INDEX(觀察名單!$Q$2:$Q$533,MATCH($C195,觀察名單!$B$2:$B$533,0)),""))</f>
        <v>40770.0</v>
      </c>
    </row>
    <row r="196">
      <c r="A196" s="15" t="inlineStr">
        <is>
          <t>子板塊</t>
        </is>
      </c>
      <c r="B196" s="15" t="inlineStr">
        <is>
          <t>支付與收單</t>
        </is>
      </c>
      <c r="C196" s="15" t="inlineStr">
        <is>
          <t>GPN</t>
        </is>
      </c>
      <c r="D196" s="15" t="str">
        <f>IFERROR(INDEX(觀察名單!$F$2:$F$533,MATCH($C196,觀察名單!$B$2:$B$533,0)),"")</f>
        <v>USD</v>
      </c>
      <c r="E196" s="16">
        <f>IF($D196&lt;&gt;"USD","",IFERROR(INDEX(觀察名單!$L$2:$L$533,MATCH($C196,觀察名單!$B$2:$B$533,0)),""))</f>
        <v>3320.791</v>
      </c>
      <c r="F196" s="16">
        <f>IF($D196&lt;&gt;"USD","",IFERROR(INDEX(觀察名單!$Q$2:$Q$533,MATCH($C196,觀察名單!$B$2:$B$533,0)),""))</f>
        <v>337.121</v>
      </c>
    </row>
    <row r="197">
      <c r="A197" s="15" t="inlineStr">
        <is>
          <t>子板塊</t>
        </is>
      </c>
      <c r="B197" s="15" t="inlineStr">
        <is>
          <t>投行與資本巿場</t>
        </is>
      </c>
      <c r="C197" s="15" t="inlineStr">
        <is>
          <t>GS</t>
        </is>
      </c>
      <c r="D197" s="15" t="str">
        <f>IFERROR(INDEX(觀察名單!$F$2:$F$533,MATCH($C197,觀察名單!$B$2:$B$533,0)),"")</f>
        <v>USD</v>
      </c>
      <c r="E197" s="16" t="str">
        <f>IF($D197&lt;&gt;"USD","",IFERROR(INDEX(觀察名單!$L$2:$L$533,MATCH($C197,觀察名單!$B$2:$B$533,0)),""))</f>
        <v/>
      </c>
      <c r="F197" s="16" t="str">
        <f>IF($D197&lt;&gt;"USD","",IFERROR(INDEX(觀察名單!$Q$2:$Q$533,MATCH($C197,觀察名單!$B$2:$B$533,0)),""))</f>
        <v/>
      </c>
    </row>
    <row r="198">
      <c r="A198" s="15" t="inlineStr">
        <is>
          <t>子板塊</t>
        </is>
      </c>
      <c r="B198" s="15" t="inlineStr">
        <is>
          <t>油田服務</t>
        </is>
      </c>
      <c r="C198" s="15" t="inlineStr">
        <is>
          <t>HAL</t>
        </is>
      </c>
      <c r="D198" s="15" t="str">
        <f>IFERROR(INDEX(觀察名單!$F$2:$F$533,MATCH($C198,觀察名單!$B$2:$B$533,0)),"")</f>
        <v>USD</v>
      </c>
      <c r="E198" s="16">
        <f>IF($D198&lt;&gt;"USD","",IFERROR(INDEX(觀察名單!$L$2:$L$533,MATCH($C198,觀察名單!$B$2:$B$533,0)),""))</f>
        <v>5714.0</v>
      </c>
      <c r="F198" s="16">
        <f>IF($D198&lt;&gt;"USD","",IFERROR(INDEX(觀察名單!$Q$2:$Q$533,MATCH($C198,觀察名單!$B$2:$B$533,0)),""))</f>
        <v>683.0</v>
      </c>
    </row>
    <row r="199">
      <c r="A199" s="15" t="inlineStr">
        <is>
          <t>子板塊</t>
        </is>
      </c>
      <c r="B199" s="15" t="inlineStr">
        <is>
          <t>銅與基本金屬</t>
        </is>
      </c>
      <c r="C199" s="15" t="inlineStr">
        <is>
          <t>HBM</t>
        </is>
      </c>
      <c r="D199" s="15" t="str">
        <f>IFERROR(INDEX(觀察名單!$F$2:$F$533,MATCH($C199,觀察名單!$B$2:$B$533,0)),"")</f>
        <v>USD</v>
      </c>
      <c r="E199" s="16">
        <f>IF($D199&lt;&gt;"USD","",IFERROR(INDEX(觀察名單!$L$2:$L$533,MATCH($C199,觀察名單!$B$2:$B$533,0)),""))</f>
        <v>631.3</v>
      </c>
      <c r="F199" s="16">
        <f>IF($D199&lt;&gt;"USD","",IFERROR(INDEX(觀察名單!$Q$2:$Q$533,MATCH($C199,觀察名單!$B$2:$B$533,0)),""))</f>
        <v>204.5</v>
      </c>
    </row>
    <row r="200">
      <c r="A200" s="15" t="inlineStr">
        <is>
          <t>子板塊</t>
        </is>
      </c>
      <c r="B200" s="15" t="inlineStr">
        <is>
          <t>醫院與醫療服務</t>
        </is>
      </c>
      <c r="C200" s="15" t="inlineStr">
        <is>
          <t>HCA</t>
        </is>
      </c>
      <c r="D200" s="15" t="str">
        <f>IFERROR(INDEX(觀察名單!$F$2:$F$533,MATCH($C200,觀察名單!$B$2:$B$533,0)),"")</f>
        <v>USD</v>
      </c>
      <c r="E200" s="16">
        <f>IF($D200&lt;&gt;"USD","",IFERROR(INDEX(觀察名單!$L$2:$L$533,MATCH($C200,觀察名單!$B$2:$B$533,0)),""))</f>
        <v>20230.0</v>
      </c>
      <c r="F200" s="16">
        <f>IF($D200&lt;&gt;"USD","",IFERROR(INDEX(觀察名單!$Q$2:$Q$533,MATCH($C200,觀察名單!$B$2:$B$533,0)),""))</f>
        <v>3067.0</v>
      </c>
    </row>
    <row r="201">
      <c r="A201" s="15" t="inlineStr">
        <is>
          <t>子板塊</t>
        </is>
      </c>
      <c r="B201" s="15" t="inlineStr">
        <is>
          <t>煤炭</t>
        </is>
      </c>
      <c r="C201" s="15" t="inlineStr">
        <is>
          <t>HCC</t>
        </is>
      </c>
      <c r="D201" s="15" t="str">
        <f>IFERROR(INDEX(觀察名單!$F$2:$F$533,MATCH($C201,觀察名單!$B$2:$B$533,0)),"")</f>
        <v>USD</v>
      </c>
      <c r="E201" s="16">
        <f>IF($D201&lt;&gt;"USD","",IFERROR(INDEX(觀察名單!$L$2:$L$533,MATCH($C201,觀察名單!$B$2:$B$533,0)),""))</f>
        <v>509.69</v>
      </c>
      <c r="F201" s="16">
        <f>IF($D201&lt;&gt;"USD","",IFERROR(INDEX(觀察名單!$Q$2:$Q$533,MATCH($C201,觀察名單!$B$2:$B$533,0)),""))</f>
        <v>94.521</v>
      </c>
    </row>
    <row r="202">
      <c r="A202" s="15" t="inlineStr">
        <is>
          <t>子板塊</t>
        </is>
      </c>
      <c r="B202" s="15" t="inlineStr">
        <is>
          <t>專門零售</t>
        </is>
      </c>
      <c r="C202" s="15" t="inlineStr">
        <is>
          <t>HD</t>
        </is>
      </c>
      <c r="D202" s="15" t="str">
        <f>IFERROR(INDEX(觀察名單!$F$2:$F$533,MATCH($C202,觀察名單!$B$2:$B$533,0)),"")</f>
        <v>USD</v>
      </c>
      <c r="E202" s="16">
        <f>IF($D202&lt;&gt;"USD","",IFERROR(INDEX(觀察名單!$L$2:$L$533,MATCH($C202,觀察名單!$B$2:$B$533,0)),""))</f>
        <v>47861.0</v>
      </c>
      <c r="F202" s="16">
        <f>IF($D202&lt;&gt;"USD","",IFERROR(INDEX(觀察名單!$Q$2:$Q$533,MATCH($C202,觀察名單!$B$2:$B$533,0)),""))</f>
        <v>6839.0</v>
      </c>
    </row>
    <row r="203">
      <c r="A203" s="15" t="inlineStr">
        <is>
          <t>子板塊</t>
        </is>
      </c>
      <c r="B203" s="15" t="inlineStr">
        <is>
          <t>數位醫療與遠距醫療</t>
        </is>
      </c>
      <c r="C203" s="15" t="inlineStr">
        <is>
          <t>HIMS</t>
        </is>
      </c>
      <c r="D203" s="15" t="str">
        <f>IFERROR(INDEX(觀察名單!$F$2:$F$533,MATCH($C203,觀察名單!$B$2:$B$533,0)),"")</f>
        <v>USD</v>
      </c>
      <c r="E203" s="16">
        <f>IF($D203&lt;&gt;"USD","",IFERROR(INDEX(觀察名單!$L$2:$L$533,MATCH($C203,觀察名單!$B$2:$B$533,0)),""))</f>
        <v>753.214</v>
      </c>
      <c r="F203" s="16">
        <f>IF($D203&lt;&gt;"USD","",IFERROR(INDEX(觀察名單!$Q$2:$Q$533,MATCH($C203,觀察名單!$B$2:$B$533,0)),""))</f>
        <v>-97.192</v>
      </c>
    </row>
    <row r="204">
      <c r="A204" s="15" t="inlineStr">
        <is>
          <t>子板塊</t>
        </is>
      </c>
      <c r="B204" s="15" t="inlineStr">
        <is>
          <t>辦公樓REIT</t>
        </is>
      </c>
      <c r="C204" s="15" t="inlineStr">
        <is>
          <t>HIW</t>
        </is>
      </c>
      <c r="D204" s="15" t="str">
        <f>IFERROR(INDEX(觀察名單!$F$2:$F$533,MATCH($C204,觀察名單!$B$2:$B$533,0)),"")</f>
        <v>USD</v>
      </c>
      <c r="E204" s="16" t="str">
        <f>IF($D204&lt;&gt;"USD","",IFERROR(INDEX(觀察名單!$L$2:$L$533,MATCH($C204,觀察名單!$B$2:$B$533,0)),""))</f>
        <v/>
      </c>
      <c r="F204" s="16" t="str">
        <f>IF($D204&lt;&gt;"USD","",IFERROR(INDEX(觀察名單!$Q$2:$Q$533,MATCH($C204,觀察名單!$B$2:$B$533,0)),""))</f>
        <v/>
      </c>
    </row>
    <row r="205">
      <c r="A205" s="15" t="inlineStr">
        <is>
          <t>子板塊</t>
        </is>
      </c>
      <c r="B205" s="15" t="inlineStr">
        <is>
          <t>白銀礦</t>
        </is>
      </c>
      <c r="C205" s="15" t="inlineStr">
        <is>
          <t>HL</t>
        </is>
      </c>
      <c r="D205" s="15" t="str">
        <f>IFERROR(INDEX(觀察名單!$F$2:$F$533,MATCH($C205,觀察名單!$B$2:$B$533,0)),"")</f>
        <v>USD</v>
      </c>
      <c r="E205" s="16" t="str">
        <f>IF($D205&lt;&gt;"USD","",IFERROR(INDEX(觀察名單!$L$2:$L$533,MATCH($C205,觀察名單!$B$2:$B$533,0)),""))</f>
        <v/>
      </c>
      <c r="F205" s="16" t="str">
        <f>IF($D205&lt;&gt;"USD","",IFERROR(INDEX(觀察名單!$Q$2:$Q$533,MATCH($C205,觀察名單!$B$2:$B$533,0)),""))</f>
        <v/>
      </c>
    </row>
    <row r="206">
      <c r="A206" s="15" t="inlineStr">
        <is>
          <t>子板塊</t>
        </is>
      </c>
      <c r="B206" s="15" t="inlineStr">
        <is>
          <t>酒店與郵輪</t>
        </is>
      </c>
      <c r="C206" s="15" t="inlineStr">
        <is>
          <t>HLT</t>
        </is>
      </c>
      <c r="D206" s="15" t="str">
        <f>IFERROR(INDEX(觀察名單!$F$2:$F$533,MATCH($C206,觀察名單!$B$2:$B$533,0)),"")</f>
        <v>USD</v>
      </c>
      <c r="E206" s="16">
        <f>IF($D206&lt;&gt;"USD","",IFERROR(INDEX(觀察名單!$L$2:$L$533,MATCH($C206,觀察名單!$B$2:$B$533,0)),""))</f>
        <v>3341.0</v>
      </c>
      <c r="F206" s="16">
        <f>IF($D206&lt;&gt;"USD","",IFERROR(INDEX(觀察名單!$Q$2:$Q$533,MATCH($C206,觀察名單!$B$2:$B$533,0)),""))</f>
        <v>858.0</v>
      </c>
    </row>
    <row r="207">
      <c r="A207" s="15" t="inlineStr">
        <is>
          <t>子板塊</t>
        </is>
      </c>
      <c r="B207" s="15" t="inlineStr">
        <is>
          <t>機械與重工</t>
        </is>
      </c>
      <c r="C207" s="15" t="inlineStr">
        <is>
          <t>HON</t>
        </is>
      </c>
      <c r="D207" s="15" t="str">
        <f>IFERROR(INDEX(觀察名單!$F$2:$F$533,MATCH($C207,觀察名單!$B$2:$B$533,0)),"")</f>
        <v>USD</v>
      </c>
      <c r="E207" s="16">
        <f>IF($D207&lt;&gt;"USD","",IFERROR(INDEX(觀察名單!$L$2:$L$533,MATCH($C207,觀察名單!$B$2:$B$533,0)),""))</f>
        <v>9719.0</v>
      </c>
      <c r="F207" s="16">
        <f>IF($D207&lt;&gt;"USD","",IFERROR(INDEX(觀察名單!$Q$2:$Q$533,MATCH($C207,觀察名單!$B$2:$B$533,0)),""))</f>
        <v>1785.0</v>
      </c>
    </row>
    <row r="208">
      <c r="A208" s="15" t="inlineStr">
        <is>
          <t>子板塊</t>
        </is>
      </c>
      <c r="B208" s="15" t="inlineStr">
        <is>
          <t>數位資產金融與礦業轉HPC</t>
        </is>
      </c>
      <c r="C208" s="15" t="inlineStr">
        <is>
          <t>HOOD</t>
        </is>
      </c>
      <c r="D208" s="15" t="str">
        <f>IFERROR(INDEX(觀察名單!$F$2:$F$533,MATCH($C208,觀察名單!$B$2:$B$533,0)),"")</f>
        <v>USD</v>
      </c>
      <c r="E208" s="16">
        <f>IF($D208&lt;&gt;"USD","",IFERROR(INDEX(觀察名單!$L$2:$L$533,MATCH($C208,觀察名單!$B$2:$B$533,0)),""))</f>
        <v>1308.0</v>
      </c>
      <c r="F208" s="16">
        <f>IF($D208&lt;&gt;"USD","",IFERROR(INDEX(觀察名單!$Q$2:$Q$533,MATCH($C208,觀察名單!$B$2:$B$533,0)),""))</f>
        <v>574.0</v>
      </c>
    </row>
    <row r="209">
      <c r="A209" s="15" t="inlineStr">
        <is>
          <t>子板塊</t>
        </is>
      </c>
      <c r="B209" s="15" t="inlineStr">
        <is>
          <t>教育與消費服務</t>
        </is>
      </c>
      <c r="C209" s="15" t="inlineStr">
        <is>
          <t>HRB</t>
        </is>
      </c>
      <c r="D209" s="15" t="str">
        <f>IFERROR(INDEX(觀察名單!$F$2:$F$533,MATCH($C209,觀察名單!$B$2:$B$533,0)),"")</f>
        <v>USD</v>
      </c>
      <c r="E209" s="16">
        <f>IF($D209&lt;&gt;"USD","",IFERROR(INDEX(觀察名單!$L$2:$L$533,MATCH($C209,觀察名單!$B$2:$B$533,0)),""))</f>
        <v>1144.869</v>
      </c>
      <c r="F209" s="16">
        <f>IF($D209&lt;&gt;"USD","",IFERROR(INDEX(觀察名單!$Q$2:$Q$533,MATCH($C209,觀察名單!$B$2:$B$533,0)),""))</f>
        <v>376.772</v>
      </c>
    </row>
    <row r="210">
      <c r="A210" s="15" t="inlineStr">
        <is>
          <t>子板塊</t>
        </is>
      </c>
      <c r="B210" s="15" t="inlineStr">
        <is>
          <t>食品加工</t>
        </is>
      </c>
      <c r="C210" s="15" t="inlineStr">
        <is>
          <t>HSY</t>
        </is>
      </c>
      <c r="D210" s="15" t="str">
        <f>IFERROR(INDEX(觀察名單!$F$2:$F$533,MATCH($C210,觀察名單!$B$2:$B$533,0)),"")</f>
        <v>USD</v>
      </c>
      <c r="E210" s="16">
        <f>IF($D210&lt;&gt;"USD","",IFERROR(INDEX(觀察名單!$L$2:$L$533,MATCH($C210,觀察名單!$B$2:$B$533,0)),""))</f>
        <v>2787.306</v>
      </c>
      <c r="F210" s="16">
        <f>IF($D210&lt;&gt;"USD","",IFERROR(INDEX(觀察名單!$Q$2:$Q$533,MATCH($C210,觀察名單!$B$2:$B$533,0)),""))</f>
        <v>642.756</v>
      </c>
    </row>
    <row r="211">
      <c r="A211" s="15" t="inlineStr">
        <is>
          <t>子板塊</t>
        </is>
      </c>
      <c r="B211" s="15" t="inlineStr">
        <is>
          <t>水務公用</t>
        </is>
      </c>
      <c r="C211" s="15" t="inlineStr">
        <is>
          <t>HTO</t>
        </is>
      </c>
      <c r="D211" s="15" t="str">
        <f>IFERROR(INDEX(觀察名單!$F$2:$F$533,MATCH($C211,觀察名單!$B$2:$B$533,0)),"")</f>
        <v>USD</v>
      </c>
      <c r="E211" s="16">
        <f>IF($D211&lt;&gt;"USD","",IFERROR(INDEX(觀察名單!$L$2:$L$533,MATCH($C211,觀察名單!$B$2:$B$533,0)),""))</f>
        <v>210.474</v>
      </c>
      <c r="F211" s="16">
        <f>IF($D211&lt;&gt;"USD","",IFERROR(INDEX(觀察名單!$Q$2:$Q$533,MATCH($C211,觀察名單!$B$2:$B$533,0)),""))</f>
        <v>42.754</v>
      </c>
    </row>
    <row r="212">
      <c r="A212" s="15" t="inlineStr">
        <is>
          <t>子板塊</t>
        </is>
      </c>
      <c r="B212" s="15" t="inlineStr">
        <is>
          <t>電氣設備與電網</t>
        </is>
      </c>
      <c r="C212" s="15" t="inlineStr">
        <is>
          <t>HUBB</t>
        </is>
      </c>
      <c r="D212" s="15" t="str">
        <f>IFERROR(INDEX(觀察名單!$F$2:$F$533,MATCH($C212,觀察名單!$B$2:$B$533,0)),"")</f>
        <v>USD</v>
      </c>
      <c r="E212" s="16">
        <f>IF($D212&lt;&gt;"USD","",IFERROR(INDEX(觀察名單!$L$2:$L$533,MATCH($C212,觀察名單!$B$2:$B$533,0)),""))</f>
        <v>1711.8</v>
      </c>
      <c r="F212" s="16">
        <f>IF($D212&lt;&gt;"USD","",IFERROR(INDEX(觀察名單!$Q$2:$Q$533,MATCH($C212,觀察名單!$B$2:$B$533,0)),""))</f>
        <v>348.6</v>
      </c>
    </row>
    <row r="213">
      <c r="A213" s="15" t="inlineStr">
        <is>
          <t>子板塊</t>
        </is>
      </c>
      <c r="B213" s="15" t="inlineStr">
        <is>
          <t>醫療保險與管理式醫療</t>
        </is>
      </c>
      <c r="C213" s="15" t="inlineStr">
        <is>
          <t>HUM</t>
        </is>
      </c>
      <c r="D213" s="15" t="str">
        <f>IFERROR(INDEX(觀察名單!$F$2:$F$533,MATCH($C213,觀察名單!$B$2:$B$533,0)),"")</f>
        <v>USD</v>
      </c>
      <c r="E213" s="16">
        <f>IF($D213&lt;&gt;"USD","",IFERROR(INDEX(觀察名單!$L$2:$L$533,MATCH($C213,觀察名單!$B$2:$B$533,0)),""))</f>
        <v>40867.0</v>
      </c>
      <c r="F213" s="16">
        <f>IF($D213&lt;&gt;"USD","",IFERROR(INDEX(觀察名單!$Q$2:$Q$533,MATCH($C213,觀察名單!$B$2:$B$533,0)),""))</f>
        <v>1149.0</v>
      </c>
    </row>
    <row r="214">
      <c r="A214" s="15" t="inlineStr">
        <is>
          <t>子板塊</t>
        </is>
      </c>
      <c r="B214" s="15" t="inlineStr">
        <is>
          <t>IT服務與系統整合</t>
        </is>
      </c>
      <c r="C214" s="15" t="inlineStr">
        <is>
          <t>IBM</t>
        </is>
      </c>
      <c r="D214" s="15" t="str">
        <f>IFERROR(INDEX(觀察名單!$F$2:$F$533,MATCH($C214,觀察名單!$B$2:$B$533,0)),"")</f>
        <v>USD</v>
      </c>
      <c r="E214" s="16">
        <f>IF($D214&lt;&gt;"USD","",IFERROR(INDEX(觀察名單!$L$2:$L$533,MATCH($C214,觀察名單!$B$2:$B$533,0)),""))</f>
        <v>17162.0</v>
      </c>
      <c r="F214" s="16">
        <f>IF($D214&lt;&gt;"USD","",IFERROR(INDEX(觀察名單!$Q$2:$Q$533,MATCH($C214,觀察名單!$B$2:$B$533,0)),""))</f>
        <v>2845.0</v>
      </c>
    </row>
    <row r="215">
      <c r="A215" s="15" t="inlineStr">
        <is>
          <t>子板塊</t>
        </is>
      </c>
      <c r="B215" s="15" t="inlineStr">
        <is>
          <t>交易所與金融數據</t>
        </is>
      </c>
      <c r="C215" s="15" t="inlineStr">
        <is>
          <t>ICE</t>
        </is>
      </c>
      <c r="D215" s="15" t="str">
        <f>IFERROR(INDEX(觀察名單!$F$2:$F$533,MATCH($C215,觀察名單!$B$2:$B$533,0)),"")</f>
        <v>USD</v>
      </c>
      <c r="E215" s="16">
        <f>IF($D215&lt;&gt;"USD","",IFERROR(INDEX(觀察名單!$L$2:$L$533,MATCH($C215,觀察名單!$B$2:$B$533,0)),""))</f>
        <v>3611.0</v>
      </c>
      <c r="F215" s="16">
        <f>IF($D215&lt;&gt;"USD","",IFERROR(INDEX(觀察名單!$Q$2:$Q$533,MATCH($C215,觀察名單!$B$2:$B$533,0)),""))</f>
        <v>1403.0</v>
      </c>
    </row>
    <row r="216">
      <c r="A216" s="15" t="inlineStr">
        <is>
          <t>子板塊</t>
        </is>
      </c>
      <c r="B216" s="15" t="inlineStr">
        <is>
          <t>診斷與生命科學工具</t>
        </is>
      </c>
      <c r="C216" s="15" t="inlineStr">
        <is>
          <t>ILMN</t>
        </is>
      </c>
      <c r="D216" s="15" t="str">
        <f>IFERROR(INDEX(觀察名單!$F$2:$F$533,MATCH($C216,觀察名單!$B$2:$B$533,0)),"")</f>
        <v>USD</v>
      </c>
      <c r="E216" s="16" t="str">
        <f>IF($D216&lt;&gt;"USD","",IFERROR(INDEX(觀察名單!$L$2:$L$533,MATCH($C216,觀察名單!$B$2:$B$533,0)),""))</f>
        <v/>
      </c>
      <c r="F216" s="16" t="str">
        <f>IF($D216&lt;&gt;"USD","",IFERROR(INDEX(觀察名單!$Q$2:$Q$533,MATCH($C216,觀察名單!$B$2:$B$533,0)),""))</f>
        <v/>
      </c>
    </row>
    <row r="217">
      <c r="A217" s="15" t="inlineStr">
        <is>
          <t>子板塊</t>
        </is>
      </c>
      <c r="B217" s="15" t="inlineStr">
        <is>
          <t>IT服務與系統整合</t>
        </is>
      </c>
      <c r="C217" s="15" t="inlineStr">
        <is>
          <t>INFY</t>
        </is>
      </c>
      <c r="D217" s="15" t="str">
        <f>IFERROR(INDEX(觀察名單!$F$2:$F$533,MATCH($C217,觀察名單!$B$2:$B$533,0)),"")</f>
        <v>USD</v>
      </c>
      <c r="E217" s="16">
        <f>IF($D217&lt;&gt;"USD","",IFERROR(INDEX(觀察名單!$L$2:$L$533,MATCH($C217,觀察名單!$B$2:$B$533,0)),""))</f>
        <v>5082.0</v>
      </c>
      <c r="F217" s="16">
        <f>IF($D217&lt;&gt;"USD","",IFERROR(INDEX(觀察名單!$Q$2:$Q$533,MATCH($C217,觀察名單!$B$2:$B$533,0)),""))</f>
        <v>1072.0</v>
      </c>
    </row>
    <row r="218">
      <c r="A218" s="15" t="inlineStr">
        <is>
          <t>子板塊</t>
        </is>
      </c>
      <c r="B218" s="15" t="inlineStr">
        <is>
          <t>農產品與農業投入</t>
        </is>
      </c>
      <c r="C218" s="15" t="inlineStr">
        <is>
          <t>INGR</t>
        </is>
      </c>
      <c r="D218" s="15" t="str">
        <f>IFERROR(INDEX(觀察名單!$F$2:$F$533,MATCH($C218,觀察名單!$B$2:$B$533,0)),"")</f>
        <v>USD</v>
      </c>
      <c r="E218" s="16">
        <f>IF($D218&lt;&gt;"USD","",IFERROR(INDEX(觀察名單!$L$2:$L$533,MATCH($C218,觀察名單!$B$2:$B$533,0)),""))</f>
        <v>1850.0</v>
      </c>
      <c r="F218" s="16">
        <f>IF($D218&lt;&gt;"USD","",IFERROR(INDEX(觀察名單!$Q$2:$Q$533,MATCH($C218,觀察名單!$B$2:$B$533,0)),""))</f>
        <v>233.0</v>
      </c>
    </row>
    <row r="219">
      <c r="A219" s="15" t="inlineStr">
        <is>
          <t>子板塊</t>
        </is>
      </c>
      <c r="B219" s="15" t="inlineStr">
        <is>
          <t>晶圓代工/IDM</t>
        </is>
      </c>
      <c r="C219" s="15" t="inlineStr">
        <is>
          <t>INTC</t>
        </is>
      </c>
      <c r="D219" s="15" t="str">
        <f>IFERROR(INDEX(觀察名單!$F$2:$F$533,MATCH($C219,觀察名單!$B$2:$B$533,0)),"")</f>
        <v>USD</v>
      </c>
      <c r="E219" s="16">
        <f>IF($D219&lt;&gt;"USD","",IFERROR(INDEX(觀察名單!$L$2:$L$533,MATCH($C219,觀察名單!$B$2:$B$533,0)),""))</f>
        <v>16128.0</v>
      </c>
      <c r="F219" s="16">
        <f>IF($D219&lt;&gt;"USD","",IFERROR(INDEX(觀察名單!$Q$2:$Q$533,MATCH($C219,觀察名單!$B$2:$B$533,0)),""))</f>
        <v>1966.0</v>
      </c>
    </row>
    <row r="220">
      <c r="A220" s="15" t="inlineStr">
        <is>
          <t>子板塊</t>
        </is>
      </c>
      <c r="B220" s="15" t="inlineStr">
        <is>
          <t>住宅公寓REIT</t>
        </is>
      </c>
      <c r="C220" s="15" t="inlineStr">
        <is>
          <t>INVH</t>
        </is>
      </c>
      <c r="D220" s="15" t="str">
        <f>IFERROR(INDEX(觀察名單!$F$2:$F$533,MATCH($C220,觀察名單!$B$2:$B$533,0)),"")</f>
        <v>USD</v>
      </c>
      <c r="E220" s="16">
        <f>IF($D220&lt;&gt;"USD","",IFERROR(INDEX(觀察名單!$L$2:$L$533,MATCH($C220,觀察名單!$B$2:$B$533,0)),""))</f>
        <v>747.55</v>
      </c>
      <c r="F220" s="16">
        <f>IF($D220&lt;&gt;"USD","",IFERROR(INDEX(觀察名單!$Q$2:$Q$533,MATCH($C220,觀察名單!$B$2:$B$533,0)),""))</f>
        <v>188.266</v>
      </c>
    </row>
    <row r="221">
      <c r="A221" s="15" t="inlineStr">
        <is>
          <t>子板塊</t>
        </is>
      </c>
      <c r="B221" s="15" t="inlineStr">
        <is>
          <t>量子運算</t>
        </is>
      </c>
      <c r="C221" s="15" t="inlineStr">
        <is>
          <t>IONQ</t>
        </is>
      </c>
      <c r="D221" s="15" t="str">
        <f>IFERROR(INDEX(觀察名單!$F$2:$F$533,MATCH($C221,觀察名單!$B$2:$B$533,0)),"")</f>
        <v>USD</v>
      </c>
      <c r="E221" s="16">
        <f>IF($D221&lt;&gt;"USD","",IFERROR(INDEX(觀察名單!$L$2:$L$533,MATCH($C221,觀察名單!$B$2:$B$533,0)),""))</f>
        <v>80.05</v>
      </c>
      <c r="F221" s="16">
        <f>IF($D221&lt;&gt;"USD","",IFERROR(INDEX(觀察名單!$Q$2:$Q$533,MATCH($C221,觀察名單!$B$2:$B$533,0)),""))</f>
        <v>-337.243</v>
      </c>
    </row>
    <row r="222">
      <c r="A222" s="15" t="inlineStr">
        <is>
          <t>子板塊</t>
        </is>
      </c>
      <c r="B222" s="15" t="inlineStr">
        <is>
          <t>臨床期中小型生技</t>
        </is>
      </c>
      <c r="C222" s="15" t="inlineStr">
        <is>
          <t>IONS</t>
        </is>
      </c>
      <c r="D222" s="15" t="str">
        <f>IFERROR(INDEX(觀察名單!$F$2:$F$533,MATCH($C222,觀察名單!$B$2:$B$533,0)),"")</f>
        <v>USD</v>
      </c>
      <c r="E222" s="16">
        <f>IF($D222&lt;&gt;"USD","",IFERROR(INDEX(觀察名單!$L$2:$L$533,MATCH($C222,觀察名單!$B$2:$B$533,0)),""))</f>
        <v>267.949</v>
      </c>
      <c r="F222" s="16">
        <f>IF($D222&lt;&gt;"USD","",IFERROR(INDEX(觀察名單!$Q$2:$Q$533,MATCH($C222,觀察名單!$B$2:$B$533,0)),""))</f>
        <v>-102.297</v>
      </c>
    </row>
    <row r="223">
      <c r="A223" s="15" t="inlineStr">
        <is>
          <t>子板塊</t>
        </is>
      </c>
      <c r="B223" s="15" t="inlineStr">
        <is>
          <t>腫瘤與細胞治療</t>
        </is>
      </c>
      <c r="C223" s="15" t="inlineStr">
        <is>
          <t>IOVA</t>
        </is>
      </c>
      <c r="D223" s="15" t="str">
        <f>IFERROR(INDEX(觀察名單!$F$2:$F$533,MATCH($C223,觀察名單!$B$2:$B$533,0)),"")</f>
        <v>USD</v>
      </c>
      <c r="E223" s="16">
        <f>IF($D223&lt;&gt;"USD","",IFERROR(INDEX(觀察名單!$L$2:$L$533,MATCH($C223,觀察名單!$B$2:$B$533,0)),""))</f>
        <v>99.313</v>
      </c>
      <c r="F223" s="16">
        <f>IF($D223&lt;&gt;"USD","",IFERROR(INDEX(觀察名單!$Q$2:$Q$533,MATCH($C223,觀察名單!$B$2:$B$533,0)),""))</f>
        <v>-51.905</v>
      </c>
    </row>
    <row r="224">
      <c r="A224" s="15" t="inlineStr">
        <is>
          <t>子板塊</t>
        </is>
      </c>
      <c r="B224" s="15" t="inlineStr">
        <is>
          <t>包裝與建材</t>
        </is>
      </c>
      <c r="C224" s="15" t="inlineStr">
        <is>
          <t>IP</t>
        </is>
      </c>
      <c r="D224" s="15" t="str">
        <f>IFERROR(INDEX(觀察名單!$F$2:$F$533,MATCH($C224,觀察名單!$B$2:$B$533,0)),"")</f>
        <v>USD</v>
      </c>
      <c r="E224" s="16">
        <f>IF($D224&lt;&gt;"USD","",IFERROR(INDEX(觀察名單!$L$2:$L$533,MATCH($C224,觀察名單!$B$2:$B$533,0)),""))</f>
        <v>6004.0</v>
      </c>
      <c r="F224" s="16">
        <f>IF($D224&lt;&gt;"USD","",IFERROR(INDEX(觀察名單!$Q$2:$Q$533,MATCH($C224,觀察名單!$B$2:$B$533,0)),""))</f>
        <v>43.0</v>
      </c>
    </row>
    <row r="225">
      <c r="A225" s="15" t="inlineStr">
        <is>
          <t>子板塊</t>
        </is>
      </c>
      <c r="B225" s="15" t="inlineStr">
        <is>
          <t>數位資產金融與礦業轉HPC</t>
        </is>
      </c>
      <c r="C225" s="15" t="inlineStr">
        <is>
          <t>IREN</t>
        </is>
      </c>
      <c r="D225" s="15" t="str">
        <f>IFERROR(INDEX(觀察名單!$F$2:$F$533,MATCH($C225,觀察名單!$B$2:$B$533,0)),"")</f>
        <v>USD</v>
      </c>
      <c r="E225" s="16">
        <f>IF($D225&lt;&gt;"USD","",IFERROR(INDEX(觀察名單!$L$2:$L$533,MATCH($C225,觀察名單!$B$2:$B$533,0)),""))</f>
        <v>137.225</v>
      </c>
      <c r="F225" s="16">
        <f>IF($D225&lt;&gt;"USD","",IFERROR(INDEX(觀察名單!$Q$2:$Q$533,MATCH($C225,觀察名單!$B$2:$B$533,0)),""))</f>
        <v>-140.615</v>
      </c>
    </row>
    <row r="226">
      <c r="A226" s="15" t="inlineStr">
        <is>
          <t>子板塊</t>
        </is>
      </c>
      <c r="B226" s="15" t="inlineStr">
        <is>
          <t>醫療器械</t>
        </is>
      </c>
      <c r="C226" s="15" t="inlineStr">
        <is>
          <t>ISRG</t>
        </is>
      </c>
      <c r="D226" s="15" t="str">
        <f>IFERROR(INDEX(觀察名單!$F$2:$F$533,MATCH($C226,觀察名單!$B$2:$B$533,0)),"")</f>
        <v>USD</v>
      </c>
      <c r="E226" s="16">
        <f>IF($D226&lt;&gt;"USD","",IFERROR(INDEX(觀察名單!$L$2:$L$533,MATCH($C226,觀察名單!$B$2:$B$533,0)),""))</f>
        <v>2892.3</v>
      </c>
      <c r="F226" s="16">
        <f>IF($D226&lt;&gt;"USD","",IFERROR(INDEX(觀察名單!$Q$2:$Q$533,MATCH($C226,觀察名單!$B$2:$B$533,0)),""))</f>
        <v>971.9</v>
      </c>
    </row>
    <row r="227">
      <c r="A227" s="15" t="inlineStr">
        <is>
          <t>子板塊</t>
        </is>
      </c>
      <c r="B227" s="15" t="inlineStr">
        <is>
          <t>工程建設/EPC</t>
        </is>
      </c>
      <c r="C227" s="15" t="inlineStr">
        <is>
          <t>J</t>
        </is>
      </c>
      <c r="D227" s="15" t="str">
        <f>IFERROR(INDEX(觀察名單!$F$2:$F$533,MATCH($C227,觀察名單!$B$2:$B$533,0)),"")</f>
        <v>USD</v>
      </c>
      <c r="E227" s="16">
        <f>IF($D227&lt;&gt;"USD","",IFERROR(INDEX(觀察名單!$L$2:$L$533,MATCH($C227,觀察名單!$B$2:$B$533,0)),""))</f>
        <v>4076.41</v>
      </c>
      <c r="F227" s="16">
        <f>IF($D227&lt;&gt;"USD","",IFERROR(INDEX(觀察名單!$Q$2:$Q$533,MATCH($C227,觀察名單!$B$2:$B$533,0)),""))</f>
        <v>286.703</v>
      </c>
    </row>
    <row r="228">
      <c r="A228" s="15" t="inlineStr">
        <is>
          <t>子板塊</t>
        </is>
      </c>
      <c r="B228" s="15" t="inlineStr">
        <is>
          <t>貨運與物流</t>
        </is>
      </c>
      <c r="C228" s="15" t="inlineStr">
        <is>
          <t>JBHT</t>
        </is>
      </c>
      <c r="D228" s="15" t="str">
        <f>IFERROR(INDEX(觀察名單!$F$2:$F$533,MATCH($C228,觀察名單!$B$2:$B$533,0)),"")</f>
        <v>USD</v>
      </c>
      <c r="E228" s="16">
        <f>IF($D228&lt;&gt;"USD","",IFERROR(INDEX(觀察名單!$L$2:$L$533,MATCH($C228,觀察名單!$B$2:$B$533,0)),""))</f>
        <v>3495.296</v>
      </c>
      <c r="F228" s="16">
        <f>IF($D228&lt;&gt;"USD","",IFERROR(INDEX(觀察名單!$Q$2:$Q$533,MATCH($C228,觀察名單!$B$2:$B$533,0)),""))</f>
        <v>259.452</v>
      </c>
    </row>
    <row r="229">
      <c r="A229" s="15" t="inlineStr">
        <is>
          <t>子板塊</t>
        </is>
      </c>
      <c r="B229" s="15" t="inlineStr">
        <is>
          <t>電子硬件與EMS/連接器</t>
        </is>
      </c>
      <c r="C229" s="15" t="inlineStr">
        <is>
          <t>JBL</t>
        </is>
      </c>
      <c r="D229" s="15" t="str">
        <f>IFERROR(INDEX(觀察名單!$F$2:$F$533,MATCH($C229,觀察名單!$B$2:$B$533,0)),"")</f>
        <v>USD</v>
      </c>
      <c r="E229" s="16">
        <f>IF($D229&lt;&gt;"USD","",IFERROR(INDEX(觀察名單!$L$2:$L$533,MATCH($C229,觀察名單!$B$2:$B$533,0)),""))</f>
        <v>8751.0</v>
      </c>
      <c r="F229" s="16">
        <f>IF($D229&lt;&gt;"USD","",IFERROR(INDEX(觀察名單!$Q$2:$Q$533,MATCH($C229,觀察名單!$B$2:$B$533,0)),""))</f>
        <v>456.0</v>
      </c>
    </row>
    <row r="230">
      <c r="A230" s="15" t="inlineStr">
        <is>
          <t>子板塊</t>
        </is>
      </c>
      <c r="B230" s="15" t="inlineStr">
        <is>
          <t>樓宇產品與HVAC</t>
        </is>
      </c>
      <c r="C230" s="15" t="inlineStr">
        <is>
          <t>JCI</t>
        </is>
      </c>
      <c r="D230" s="15" t="str">
        <f>IFERROR(INDEX(觀察名單!$F$2:$F$533,MATCH($C230,觀察名單!$B$2:$B$533,0)),"")</f>
        <v>USD</v>
      </c>
      <c r="E230" s="16">
        <f>IF($D230&lt;&gt;"USD","",IFERROR(INDEX(觀察名單!$L$2:$L$533,MATCH($C230,觀察名單!$B$2:$B$533,0)),""))</f>
        <v>6614.0</v>
      </c>
      <c r="F230" s="16">
        <f>IF($D230&lt;&gt;"USD","",IFERROR(INDEX(觀察名單!$Q$2:$Q$533,MATCH($C230,觀察名單!$B$2:$B$533,0)),""))</f>
        <v>1067.0</v>
      </c>
    </row>
    <row r="231">
      <c r="A231" s="15" t="inlineStr">
        <is>
          <t>子板塊</t>
        </is>
      </c>
      <c r="B231" s="15" t="inlineStr">
        <is>
          <t>投行與資本巿場</t>
        </is>
      </c>
      <c r="C231" s="15" t="inlineStr">
        <is>
          <t>JEF</t>
        </is>
      </c>
      <c r="D231" s="15" t="str">
        <f>IFERROR(INDEX(觀察名單!$F$2:$F$533,MATCH($C231,觀察名單!$B$2:$B$533,0)),"")</f>
        <v>USD</v>
      </c>
      <c r="E231" s="16">
        <f>IF($D231&lt;&gt;"USD","",IFERROR(INDEX(觀察名單!$L$2:$L$533,MATCH($C231,觀察名單!$B$2:$B$533,0)),""))</f>
        <v>3118.197</v>
      </c>
      <c r="F231" s="16">
        <f>IF($D231&lt;&gt;"USD","",IFERROR(INDEX(觀察名單!$Q$2:$Q$533,MATCH($C231,觀察名單!$B$2:$B$533,0)),""))</f>
        <v>1291.893</v>
      </c>
    </row>
    <row r="232">
      <c r="A232" s="15" t="inlineStr">
        <is>
          <t>子板塊</t>
        </is>
      </c>
      <c r="B232" s="15" t="inlineStr">
        <is>
          <t>地產開發與服務</t>
        </is>
      </c>
      <c r="C232" s="15" t="inlineStr">
        <is>
          <t>JLL</t>
        </is>
      </c>
      <c r="D232" s="15" t="str">
        <f>IFERROR(INDEX(觀察名單!$F$2:$F$533,MATCH($C232,觀察名單!$B$2:$B$533,0)),"")</f>
        <v>USD</v>
      </c>
      <c r="E232" s="16">
        <f>IF($D232&lt;&gt;"USD","",IFERROR(INDEX(觀察名單!$L$2:$L$533,MATCH($C232,觀察名單!$B$2:$B$533,0)),""))</f>
        <v>6927.9</v>
      </c>
      <c r="F232" s="16">
        <f>IF($D232&lt;&gt;"USD","",IFERROR(INDEX(觀察名單!$Q$2:$Q$533,MATCH($C232,觀察名單!$B$2:$B$533,0)),""))</f>
        <v>316.6</v>
      </c>
    </row>
    <row r="233">
      <c r="A233" s="15" t="inlineStr">
        <is>
          <t>子板塊</t>
        </is>
      </c>
      <c r="B233" s="15" t="inlineStr">
        <is>
          <t>大型藥廠</t>
        </is>
      </c>
      <c r="C233" s="15" t="inlineStr">
        <is>
          <t>JNJ</t>
        </is>
      </c>
      <c r="D233" s="15" t="str">
        <f>IFERROR(INDEX(觀察名單!$F$2:$F$533,MATCH($C233,觀察名單!$B$2:$B$533,0)),"")</f>
        <v>USD</v>
      </c>
      <c r="E233" s="16">
        <f>IF($D233&lt;&gt;"USD","",IFERROR(INDEX(觀察名單!$L$2:$L$533,MATCH($C233,觀察名單!$B$2:$B$533,0)),""))</f>
        <v>25310.0</v>
      </c>
      <c r="F233" s="16">
        <f>IF($D233&lt;&gt;"USD","",IFERROR(INDEX(觀察名單!$Q$2:$Q$533,MATCH($C233,觀察名單!$B$2:$B$533,0)),""))</f>
        <v>7174.0</v>
      </c>
    </row>
    <row r="234">
      <c r="A234" s="15" t="inlineStr">
        <is>
          <t>子板塊</t>
        </is>
      </c>
      <c r="B234" s="15" t="inlineStr">
        <is>
          <t>大型全能銀行</t>
        </is>
      </c>
      <c r="C234" s="15" t="inlineStr">
        <is>
          <t>JPM</t>
        </is>
      </c>
      <c r="D234" s="15" t="str">
        <f>IFERROR(INDEX(觀察名單!$F$2:$F$533,MATCH($C234,觀察名單!$B$2:$B$533,0)),"")</f>
        <v>USD</v>
      </c>
      <c r="E234" s="16">
        <f>IF($D234&lt;&gt;"USD","",IFERROR(INDEX(觀察名單!$L$2:$L$533,MATCH($C234,觀察名單!$B$2:$B$533,0)),""))</f>
        <v>52852.0</v>
      </c>
      <c r="F234" s="16" t="str">
        <f>IF($D234&lt;&gt;"USD","",IFERROR(INDEX(觀察名單!$Q$2:$Q$533,MATCH($C234,觀察名單!$B$2:$B$533,0)),""))</f>
        <v/>
      </c>
    </row>
    <row r="235">
      <c r="A235" s="15" t="inlineStr">
        <is>
          <t>子板塊</t>
        </is>
      </c>
      <c r="B235" s="15" t="inlineStr">
        <is>
          <t>鋁業</t>
        </is>
      </c>
      <c r="C235" s="15" t="inlineStr">
        <is>
          <t>KALU</t>
        </is>
      </c>
      <c r="D235" s="15" t="str">
        <f>IFERROR(INDEX(觀察名單!$F$2:$F$533,MATCH($C235,觀察名單!$B$2:$B$533,0)),"")</f>
        <v>USD</v>
      </c>
      <c r="E235" s="16">
        <f>IF($D235&lt;&gt;"USD","",IFERROR(INDEX(觀察名單!$L$2:$L$533,MATCH($C235,觀察名單!$B$2:$B$533,0)),""))</f>
        <v>1256.6</v>
      </c>
      <c r="F235" s="16">
        <f>IF($D235&lt;&gt;"USD","",IFERROR(INDEX(觀察名單!$Q$2:$Q$533,MATCH($C235,觀察名單!$B$2:$B$533,0)),""))</f>
        <v>133.7</v>
      </c>
    </row>
    <row r="236">
      <c r="A236" s="15" t="inlineStr">
        <is>
          <t>子板塊</t>
        </is>
      </c>
      <c r="B236" s="15" t="inlineStr">
        <is>
          <t>非酒精飲品</t>
        </is>
      </c>
      <c r="C236" s="15" t="inlineStr">
        <is>
          <t>KDP</t>
        </is>
      </c>
      <c r="D236" s="15" t="str">
        <f>IFERROR(INDEX(觀察名單!$F$2:$F$533,MATCH($C236,觀察名單!$B$2:$B$533,0)),"")</f>
        <v>USD</v>
      </c>
      <c r="E236" s="16">
        <f>IF($D236&lt;&gt;"USD","",IFERROR(INDEX(觀察名單!$L$2:$L$533,MATCH($C236,觀察名單!$B$2:$B$533,0)),""))</f>
        <v>7309.0</v>
      </c>
      <c r="F236" s="16">
        <f>IF($D236&lt;&gt;"USD","",IFERROR(INDEX(觀察名單!$Q$2:$Q$533,MATCH($C236,觀察名單!$B$2:$B$533,0)),""))</f>
        <v>628.0</v>
      </c>
    </row>
    <row r="237">
      <c r="A237" s="15" t="inlineStr">
        <is>
          <t>子板塊</t>
        </is>
      </c>
      <c r="B237" s="15" t="inlineStr">
        <is>
          <t>黃金與貴金屬礦</t>
        </is>
      </c>
      <c r="C237" s="15" t="inlineStr">
        <is>
          <t>KGC</t>
        </is>
      </c>
      <c r="D237" s="15" t="str">
        <f>IFERROR(INDEX(觀察名單!$F$2:$F$533,MATCH($C237,觀察名單!$B$2:$B$533,0)),"")</f>
        <v>USD</v>
      </c>
      <c r="E237" s="16">
        <f>IF($D237&lt;&gt;"USD","",IFERROR(INDEX(觀察名單!$L$2:$L$533,MATCH($C237,觀察名單!$B$2:$B$533,0)),""))</f>
        <v>2238.1</v>
      </c>
      <c r="F237" s="16">
        <f>IF($D237&lt;&gt;"USD","",IFERROR(INDEX(觀察名單!$Q$2:$Q$533,MATCH($C237,觀察名單!$B$2:$B$533,0)),""))</f>
        <v>1174.5</v>
      </c>
    </row>
    <row r="238">
      <c r="A238" s="15" t="inlineStr">
        <is>
          <t>子板塊</t>
        </is>
      </c>
      <c r="B238" s="15" t="inlineStr">
        <is>
          <t>食品加工</t>
        </is>
      </c>
      <c r="C238" s="15" t="inlineStr">
        <is>
          <t>KHC</t>
        </is>
      </c>
      <c r="D238" s="15" t="str">
        <f>IFERROR(INDEX(觀察名單!$F$2:$F$533,MATCH($C238,觀察名單!$B$2:$B$533,0)),"")</f>
        <v>USD</v>
      </c>
      <c r="E238" s="16">
        <f>IF($D238&lt;&gt;"USD","",IFERROR(INDEX(觀察名單!$L$2:$L$533,MATCH($C238,觀察名單!$B$2:$B$533,0)),""))</f>
        <v>6262.0</v>
      </c>
      <c r="F238" s="16">
        <f>IF($D238&lt;&gt;"USD","",IFERROR(INDEX(觀察名單!$Q$2:$Q$533,MATCH($C238,觀察名單!$B$2:$B$533,0)),""))</f>
        <v>921.0</v>
      </c>
    </row>
    <row r="239">
      <c r="A239" s="15" t="inlineStr">
        <is>
          <t>子板塊</t>
        </is>
      </c>
      <c r="B239" s="15" t="inlineStr">
        <is>
          <t>零售與購物中心REIT</t>
        </is>
      </c>
      <c r="C239" s="15" t="inlineStr">
        <is>
          <t>KIM</t>
        </is>
      </c>
      <c r="D239" s="15" t="str">
        <f>IFERROR(INDEX(觀察名單!$F$2:$F$533,MATCH($C239,觀察名單!$B$2:$B$533,0)),"")</f>
        <v>USD</v>
      </c>
      <c r="E239" s="16">
        <f>IF($D239&lt;&gt;"USD","",IFERROR(INDEX(觀察名單!$L$2:$L$533,MATCH($C239,觀察名單!$B$2:$B$533,0)),""))</f>
        <v>550.801</v>
      </c>
      <c r="F239" s="16">
        <f>IF($D239&lt;&gt;"USD","",IFERROR(INDEX(觀察名單!$Q$2:$Q$533,MATCH($C239,觀察名單!$B$2:$B$533,0)),""))</f>
        <v>201.398</v>
      </c>
    </row>
    <row r="240">
      <c r="A240" s="15" t="inlineStr">
        <is>
          <t>子板塊</t>
        </is>
      </c>
      <c r="B240" s="15" t="inlineStr">
        <is>
          <t>另類資產與私募信貸</t>
        </is>
      </c>
      <c r="C240" s="15" t="inlineStr">
        <is>
          <t>KKR</t>
        </is>
      </c>
      <c r="D240" s="15" t="str">
        <f>IFERROR(INDEX(觀察名單!$F$2:$F$533,MATCH($C240,觀察名單!$B$2:$B$533,0)),"")</f>
        <v>USD</v>
      </c>
      <c r="E240" s="16">
        <f>IF($D240&lt;&gt;"USD","",IFERROR(INDEX(觀察名單!$L$2:$L$533,MATCH($C240,觀察名單!$B$2:$B$533,0)),""))</f>
        <v>5657.34</v>
      </c>
      <c r="F240" s="16">
        <f>IF($D240&lt;&gt;"USD","",IFERROR(INDEX(觀察名單!$Q$2:$Q$533,MATCH($C240,觀察名單!$B$2:$B$533,0)),""))</f>
        <v>325.714</v>
      </c>
    </row>
    <row r="241">
      <c r="A241" s="15" t="inlineStr">
        <is>
          <t>子板塊</t>
        </is>
      </c>
      <c r="B241" s="15" t="inlineStr">
        <is>
          <t>半導體設備</t>
        </is>
      </c>
      <c r="C241" s="15" t="inlineStr">
        <is>
          <t>KLAC</t>
        </is>
      </c>
      <c r="D241" s="15" t="str">
        <f>IFERROR(INDEX(觀察名單!$F$2:$F$533,MATCH($C241,觀察名單!$B$2:$B$533,0)),"")</f>
        <v>USD</v>
      </c>
      <c r="E241" s="16">
        <f>IF($D241&lt;&gt;"USD","",IFERROR(INDEX(觀察名單!$L$2:$L$533,MATCH($C241,觀察名單!$B$2:$B$533,0)),""))</f>
        <v>3657.556</v>
      </c>
      <c r="F241" s="16">
        <f>IF($D241&lt;&gt;"USD","",IFERROR(INDEX(觀察名單!$Q$2:$Q$533,MATCH($C241,觀察名單!$B$2:$B$533,0)),""))</f>
        <v>1553.948</v>
      </c>
    </row>
    <row r="242">
      <c r="A242" s="15" t="inlineStr">
        <is>
          <t>子板塊</t>
        </is>
      </c>
      <c r="B242" s="15" t="inlineStr">
        <is>
          <t>家庭與個人護理</t>
        </is>
      </c>
      <c r="C242" s="15" t="inlineStr">
        <is>
          <t>KMB</t>
        </is>
      </c>
      <c r="D242" s="15" t="str">
        <f>IFERROR(INDEX(觀察名單!$F$2:$F$533,MATCH($C242,觀察名單!$B$2:$B$533,0)),"")</f>
        <v>USD</v>
      </c>
      <c r="E242" s="16">
        <f>IF($D242&lt;&gt;"USD","",IFERROR(INDEX(觀察名單!$L$2:$L$533,MATCH($C242,觀察名單!$B$2:$B$533,0)),""))</f>
        <v>4189.0</v>
      </c>
      <c r="F242" s="16">
        <f>IF($D242&lt;&gt;"USD","",IFERROR(INDEX(觀察名單!$Q$2:$Q$533,MATCH($C242,觀察名單!$B$2:$B$533,0)),""))</f>
        <v>633.0</v>
      </c>
    </row>
    <row r="243">
      <c r="A243" s="15" t="inlineStr">
        <is>
          <t>子板塊</t>
        </is>
      </c>
      <c r="B243" s="15" t="inlineStr">
        <is>
          <t>中游與管道</t>
        </is>
      </c>
      <c r="C243" s="15" t="inlineStr">
        <is>
          <t>KMI</t>
        </is>
      </c>
      <c r="D243" s="15" t="str">
        <f>IFERROR(INDEX(觀察名單!$F$2:$F$533,MATCH($C243,觀察名單!$B$2:$B$533,0)),"")</f>
        <v>USD</v>
      </c>
      <c r="E243" s="16">
        <f>IF($D243&lt;&gt;"USD","",IFERROR(INDEX(觀察名單!$L$2:$L$533,MATCH($C243,觀察名單!$B$2:$B$533,0)),""))</f>
        <v>4477.0</v>
      </c>
      <c r="F243" s="16">
        <f>IF($D243&lt;&gt;"USD","",IFERROR(INDEX(觀察名單!$Q$2:$Q$533,MATCH($C243,觀察名單!$B$2:$B$533,0)),""))</f>
        <v>1346.0</v>
      </c>
    </row>
    <row r="244">
      <c r="A244" s="15" t="inlineStr">
        <is>
          <t>子板塊</t>
        </is>
      </c>
      <c r="B244" s="15" t="inlineStr">
        <is>
          <t>非酒精飲品</t>
        </is>
      </c>
      <c r="C244" s="15" t="inlineStr">
        <is>
          <t>KO</t>
        </is>
      </c>
      <c r="D244" s="15" t="str">
        <f>IFERROR(INDEX(觀察名單!$F$2:$F$533,MATCH($C244,觀察名單!$B$2:$B$533,0)),"")</f>
        <v>USD</v>
      </c>
      <c r="E244" s="16">
        <f>IF($D244&lt;&gt;"USD","",IFERROR(INDEX(觀察名單!$L$2:$L$533,MATCH($C244,觀察名單!$B$2:$B$533,0)),""))</f>
        <v>13380.0</v>
      </c>
      <c r="F244" s="16">
        <f>IF($D244&lt;&gt;"USD","",IFERROR(INDEX(觀察名單!$Q$2:$Q$533,MATCH($C244,觀察名單!$B$2:$B$533,0)),""))</f>
        <v>4695.0</v>
      </c>
    </row>
    <row r="245">
      <c r="A245" s="15" t="inlineStr">
        <is>
          <t>子板塊</t>
        </is>
      </c>
      <c r="B245" s="15" t="inlineStr">
        <is>
          <t>大賣場與超巿</t>
        </is>
      </c>
      <c r="C245" s="15" t="inlineStr">
        <is>
          <t>KR</t>
        </is>
      </c>
      <c r="D245" s="15" t="str">
        <f>IFERROR(INDEX(觀察名單!$F$2:$F$533,MATCH($C245,觀察名單!$B$2:$B$533,0)),"")</f>
        <v>USD</v>
      </c>
      <c r="E245" s="16">
        <f>IF($D245&lt;&gt;"USD","",IFERROR(INDEX(觀察名單!$L$2:$L$533,MATCH($C245,觀察名單!$B$2:$B$533,0)),""))</f>
        <v>46121.0</v>
      </c>
      <c r="F245" s="16">
        <f>IF($D245&lt;&gt;"USD","",IFERROR(INDEX(觀察名單!$Q$2:$Q$533,MATCH($C245,觀察名單!$B$2:$B$533,0)),""))</f>
        <v>1407.0</v>
      </c>
    </row>
    <row r="246">
      <c r="A246" s="15" t="inlineStr">
        <is>
          <t>子板塊</t>
        </is>
      </c>
      <c r="B246" s="15" t="inlineStr">
        <is>
          <t>國防科技與無人機</t>
        </is>
      </c>
      <c r="C246" s="15" t="inlineStr">
        <is>
          <t>KTOS</t>
        </is>
      </c>
      <c r="D246" s="15" t="str">
        <f>IFERROR(INDEX(觀察名單!$F$2:$F$533,MATCH($C246,觀察名單!$B$2:$B$533,0)),"")</f>
        <v>USD</v>
      </c>
      <c r="E246" s="16">
        <f>IF($D246&lt;&gt;"USD","",IFERROR(INDEX(觀察名單!$L$2:$L$533,MATCH($C246,觀察名單!$B$2:$B$533,0)),""))</f>
        <v>458.8</v>
      </c>
      <c r="F246" s="16">
        <f>IF($D246&lt;&gt;"USD","",IFERROR(INDEX(觀察名單!$Q$2:$Q$533,MATCH($C246,觀察名單!$B$2:$B$533,0)),""))</f>
        <v>-0.8</v>
      </c>
    </row>
    <row r="247">
      <c r="A247" s="15" t="inlineStr">
        <is>
          <t>子板塊</t>
        </is>
      </c>
      <c r="B247" s="15" t="inlineStr">
        <is>
          <t>特殊型REIT（自存倉/賭場/廣告牌）</t>
        </is>
      </c>
      <c r="C247" s="15" t="inlineStr">
        <is>
          <t>LAMR</t>
        </is>
      </c>
      <c r="D247" s="15" t="str">
        <f>IFERROR(INDEX(觀察名單!$F$2:$F$533,MATCH($C247,觀察名單!$B$2:$B$533,0)),"")</f>
        <v>USD</v>
      </c>
      <c r="E247" s="16">
        <f>IF($D247&lt;&gt;"USD","",IFERROR(INDEX(觀察名單!$L$2:$L$533,MATCH($C247,觀察名單!$B$2:$B$533,0)),""))</f>
        <v>616.749</v>
      </c>
      <c r="F247" s="16">
        <f>IF($D247&lt;&gt;"USD","",IFERROR(INDEX(觀察名單!$Q$2:$Q$533,MATCH($C247,觀察名單!$B$2:$B$533,0)),""))</f>
        <v>205.275</v>
      </c>
    </row>
    <row r="248">
      <c r="A248" s="15" t="inlineStr">
        <is>
          <t>子板塊</t>
        </is>
      </c>
      <c r="B248" s="15" t="inlineStr">
        <is>
          <t>投行與資本巿場</t>
        </is>
      </c>
      <c r="C248" s="15" t="inlineStr">
        <is>
          <t>LAZ</t>
        </is>
      </c>
      <c r="D248" s="15" t="str">
        <f>IFERROR(INDEX(觀察名單!$F$2:$F$533,MATCH($C248,觀察名單!$B$2:$B$533,0)),"")</f>
        <v>USD</v>
      </c>
      <c r="E248" s="16" t="str">
        <f>IF($D248&lt;&gt;"USD","",IFERROR(INDEX(觀察名單!$L$2:$L$533,MATCH($C248,觀察名單!$B$2:$B$533,0)),""))</f>
        <v/>
      </c>
      <c r="F248" s="16" t="str">
        <f>IF($D248&lt;&gt;"USD","",IFERROR(INDEX(觀察名單!$Q$2:$Q$533,MATCH($C248,觀察名單!$B$2:$B$533,0)),""))</f>
        <v/>
      </c>
    </row>
    <row r="249">
      <c r="A249" s="15" t="inlineStr">
        <is>
          <t>子板塊</t>
        </is>
      </c>
      <c r="B249" s="15" t="inlineStr">
        <is>
          <t>電動車與新能源車</t>
        </is>
      </c>
      <c r="C249" s="15" t="inlineStr">
        <is>
          <t>LCID</t>
        </is>
      </c>
      <c r="D249" s="15" t="str">
        <f>IFERROR(INDEX(觀察名單!$F$2:$F$533,MATCH($C249,觀察名單!$B$2:$B$533,0)),"")</f>
        <v>USD</v>
      </c>
      <c r="E249" s="16">
        <f>IF($D249&lt;&gt;"USD","",IFERROR(INDEX(觀察名單!$L$2:$L$533,MATCH($C249,觀察名單!$B$2:$B$533,0)),""))</f>
        <v>405.347</v>
      </c>
      <c r="F249" s="16">
        <f>IF($D249&lt;&gt;"USD","",IFERROR(INDEX(觀察名單!$Q$2:$Q$533,MATCH($C249,觀察名單!$B$2:$B$533,0)),""))</f>
        <v>-1048.493</v>
      </c>
    </row>
    <row r="250">
      <c r="A250" s="15" t="inlineStr">
        <is>
          <t>子板塊</t>
        </is>
      </c>
      <c r="B250" s="15" t="inlineStr">
        <is>
          <t>傳統汽車與零部件</t>
        </is>
      </c>
      <c r="C250" s="15" t="inlineStr">
        <is>
          <t>LEA</t>
        </is>
      </c>
      <c r="D250" s="15" t="str">
        <f>IFERROR(INDEX(觀察名單!$F$2:$F$533,MATCH($C250,觀察名單!$B$2:$B$533,0)),"")</f>
        <v>USD</v>
      </c>
      <c r="E250" s="16">
        <f>IF($D250&lt;&gt;"USD","",IFERROR(INDEX(觀察名單!$L$2:$L$533,MATCH($C250,觀察名單!$B$2:$B$533,0)),""))</f>
        <v>6209.4</v>
      </c>
      <c r="F250" s="16">
        <f>IF($D250&lt;&gt;"USD","",IFERROR(INDEX(觀察名單!$Q$2:$Q$533,MATCH($C250,觀察名單!$B$2:$B$533,0)),""))</f>
        <v>267.9</v>
      </c>
    </row>
    <row r="251">
      <c r="A251" s="15" t="inlineStr">
        <is>
          <t>子板塊</t>
        </is>
      </c>
      <c r="B251" s="15" t="inlineStr">
        <is>
          <t>腫瘤與細胞治療</t>
        </is>
      </c>
      <c r="C251" s="15" t="inlineStr">
        <is>
          <t>LEGN</t>
        </is>
      </c>
      <c r="D251" s="15" t="str">
        <f>IFERROR(INDEX(觀察名單!$F$2:$F$533,MATCH($C251,觀察名單!$B$2:$B$533,0)),"")</f>
        <v>USD</v>
      </c>
      <c r="E251" s="16">
        <f>IF($D251&lt;&gt;"USD","",IFERROR(INDEX(觀察名單!$L$2:$L$533,MATCH($C251,觀察名單!$B$2:$B$533,0)),""))</f>
        <v>387.5</v>
      </c>
      <c r="F251" s="16">
        <f>IF($D251&lt;&gt;"USD","",IFERROR(INDEX(觀察名單!$Q$2:$Q$533,MATCH($C251,觀察名單!$B$2:$B$533,0)),""))</f>
        <v>57.7</v>
      </c>
    </row>
    <row r="252">
      <c r="A252" s="15" t="inlineStr">
        <is>
          <t>子板塊</t>
        </is>
      </c>
      <c r="B252" s="15" t="inlineStr">
        <is>
          <t>住宅建築商</t>
        </is>
      </c>
      <c r="C252" s="15" t="inlineStr">
        <is>
          <t>LEN</t>
        </is>
      </c>
      <c r="D252" s="15" t="str">
        <f>IFERROR(INDEX(觀察名單!$F$2:$F$533,MATCH($C252,觀察名單!$B$2:$B$533,0)),"")</f>
        <v>USD</v>
      </c>
      <c r="E252" s="16">
        <f>IF($D252&lt;&gt;"USD","",IFERROR(INDEX(觀察名單!$L$2:$L$533,MATCH($C252,觀察名單!$B$2:$B$533,0)),""))</f>
        <v>7939.872</v>
      </c>
      <c r="F252" s="16">
        <f>IF($D252&lt;&gt;"USD","",IFERROR(INDEX(觀察名單!$Q$2:$Q$533,MATCH($C252,觀察名單!$B$2:$B$533,0)),""))</f>
        <v>418.815</v>
      </c>
    </row>
    <row r="253">
      <c r="A253" s="15" t="inlineStr">
        <is>
          <t>子板塊</t>
        </is>
      </c>
      <c r="B253" s="15" t="inlineStr">
        <is>
          <t>鈾與核燃料</t>
        </is>
      </c>
      <c r="C253" s="15" t="inlineStr">
        <is>
          <t>LEU</t>
        </is>
      </c>
      <c r="D253" s="15" t="str">
        <f>IFERROR(INDEX(觀察名單!$F$2:$F$533,MATCH($C253,觀察名單!$B$2:$B$533,0)),"")</f>
        <v>USD</v>
      </c>
      <c r="E253" s="16">
        <f>IF($D253&lt;&gt;"USD","",IFERROR(INDEX(觀察名單!$L$2:$L$533,MATCH($C253,觀察名單!$B$2:$B$533,0)),""))</f>
        <v>176.1</v>
      </c>
      <c r="F253" s="16">
        <f>IF($D253&lt;&gt;"USD","",IFERROR(INDEX(觀察名單!$Q$2:$Q$533,MATCH($C253,觀察名單!$B$2:$B$533,0)),""))</f>
        <v>10.4</v>
      </c>
    </row>
    <row r="254">
      <c r="A254" s="15" t="inlineStr">
        <is>
          <t>子板塊</t>
        </is>
      </c>
      <c r="B254" s="15" t="inlineStr">
        <is>
          <t>航太與國防</t>
        </is>
      </c>
      <c r="C254" s="15" t="inlineStr">
        <is>
          <t>LHX</t>
        </is>
      </c>
      <c r="D254" s="15" t="str">
        <f>IFERROR(INDEX(觀察名單!$F$2:$F$533,MATCH($C254,觀察名單!$B$2:$B$533,0)),"")</f>
        <v>USD</v>
      </c>
      <c r="E254" s="16">
        <f>IF($D254&lt;&gt;"USD","",IFERROR(INDEX(觀察名單!$L$2:$L$533,MATCH($C254,觀察名單!$B$2:$B$533,0)),""))</f>
        <v>5881.0</v>
      </c>
      <c r="F254" s="16">
        <f>IF($D254&lt;&gt;"USD","",IFERROR(INDEX(觀察名單!$Q$2:$Q$533,MATCH($C254,觀察名單!$B$2:$B$533,0)),""))</f>
        <v>664.0</v>
      </c>
    </row>
    <row r="255">
      <c r="A255" s="15" t="inlineStr">
        <is>
          <t>子板塊</t>
        </is>
      </c>
      <c r="B255" s="15" t="inlineStr">
        <is>
          <t>樓宇產品與HVAC</t>
        </is>
      </c>
      <c r="C255" s="15" t="inlineStr">
        <is>
          <t>LII</t>
        </is>
      </c>
      <c r="D255" s="15" t="str">
        <f>IFERROR(INDEX(觀察名單!$F$2:$F$533,MATCH($C255,觀察名單!$B$2:$B$533,0)),"")</f>
        <v>USD</v>
      </c>
      <c r="E255" s="16">
        <f>IF($D255&lt;&gt;"USD","",IFERROR(INDEX(觀察名單!$L$2:$L$533,MATCH($C255,觀察名單!$B$2:$B$533,0)),""))</f>
        <v>1545.3</v>
      </c>
      <c r="F255" s="16">
        <f>IF($D255&lt;&gt;"USD","",IFERROR(INDEX(觀察名單!$Q$2:$Q$533,MATCH($C255,觀察名單!$B$2:$B$533,0)),""))</f>
        <v>356.4</v>
      </c>
    </row>
    <row r="256">
      <c r="A256" s="15" t="inlineStr">
        <is>
          <t>子板塊</t>
        </is>
      </c>
      <c r="B256" s="15" t="inlineStr">
        <is>
          <t>特種化工</t>
        </is>
      </c>
      <c r="C256" s="15" t="inlineStr">
        <is>
          <t>LIN</t>
        </is>
      </c>
      <c r="D256" s="15" t="str">
        <f>IFERROR(INDEX(觀察名單!$F$2:$F$533,MATCH($C256,觀察名單!$B$2:$B$533,0)),"")</f>
        <v>USD</v>
      </c>
      <c r="E256" s="16">
        <f>IF($D256&lt;&gt;"USD","",IFERROR(INDEX(觀察名單!$L$2:$L$533,MATCH($C256,觀察名單!$B$2:$B$533,0)),""))</f>
        <v>9289.0</v>
      </c>
      <c r="F256" s="16">
        <f>IF($D256&lt;&gt;"USD","",IFERROR(INDEX(觀察名單!$Q$2:$Q$533,MATCH($C256,觀察名單!$B$2:$B$533,0)),""))</f>
        <v>2537.0</v>
      </c>
    </row>
    <row r="257">
      <c r="A257" s="15" t="inlineStr">
        <is>
          <t>子板塊</t>
        </is>
      </c>
      <c r="B257" s="15" t="inlineStr">
        <is>
          <t>光通訊/CPO</t>
        </is>
      </c>
      <c r="C257" s="15" t="inlineStr">
        <is>
          <t>LITE</t>
        </is>
      </c>
      <c r="D257" s="15" t="str">
        <f>IFERROR(INDEX(觀察名單!$F$2:$F$533,MATCH($C257,觀察名單!$B$2:$B$533,0)),"")</f>
        <v>USD</v>
      </c>
      <c r="E257" s="16">
        <f>IF($D257&lt;&gt;"USD","",IFERROR(INDEX(觀察名單!$L$2:$L$533,MATCH($C257,觀察名單!$B$2:$B$533,0)),""))</f>
        <v>1006.3</v>
      </c>
      <c r="F257" s="16">
        <f>IF($D257&lt;&gt;"USD","",IFERROR(INDEX(觀察名單!$Q$2:$Q$533,MATCH($C257,觀察名單!$B$2:$B$533,0)),""))</f>
        <v>281.7</v>
      </c>
    </row>
    <row r="258">
      <c r="A258" s="15" t="inlineStr">
        <is>
          <t>子板塊</t>
        </is>
      </c>
      <c r="B258" s="15" t="inlineStr">
        <is>
          <t>GLP-1減重與代謝</t>
        </is>
      </c>
      <c r="C258" s="15" t="inlineStr">
        <is>
          <t>LLY</t>
        </is>
      </c>
      <c r="D258" s="15" t="str">
        <f>IFERROR(INDEX(觀察名單!$F$2:$F$533,MATCH($C258,觀察名單!$B$2:$B$533,0)),"")</f>
        <v>USD</v>
      </c>
      <c r="E258" s="16">
        <f>IF($D258&lt;&gt;"USD","",IFERROR(INDEX(觀察名單!$L$2:$L$533,MATCH($C258,觀察名單!$B$2:$B$533,0)),""))</f>
        <v>22974.0</v>
      </c>
      <c r="F258" s="16">
        <f>IF($D258&lt;&gt;"USD","",IFERROR(INDEX(觀察名單!$Q$2:$Q$533,MATCH($C258,觀察名單!$B$2:$B$533,0)),""))</f>
        <v>12457.0</v>
      </c>
    </row>
    <row r="259">
      <c r="A259" s="15" t="inlineStr">
        <is>
          <t>子板塊</t>
        </is>
      </c>
      <c r="B259" s="15" t="inlineStr">
        <is>
          <t>大型藥廠</t>
        </is>
      </c>
      <c r="C259" s="15" t="inlineStr">
        <is>
          <t>LLY</t>
        </is>
      </c>
      <c r="D259" s="15" t="str">
        <f>IFERROR(INDEX(觀察名單!$F$2:$F$533,MATCH($C259,觀察名單!$B$2:$B$533,0)),"")</f>
        <v>USD</v>
      </c>
      <c r="E259" s="16">
        <f>IF($D259&lt;&gt;"USD","",IFERROR(INDEX(觀察名單!$L$2:$L$533,MATCH($C259,觀察名單!$B$2:$B$533,0)),""))</f>
        <v>22974.0</v>
      </c>
      <c r="F259" s="16">
        <f>IF($D259&lt;&gt;"USD","",IFERROR(INDEX(觀察名單!$Q$2:$Q$533,MATCH($C259,觀察名單!$B$2:$B$533,0)),""))</f>
        <v>12457.0</v>
      </c>
    </row>
    <row r="260">
      <c r="A260" s="15" t="inlineStr">
        <is>
          <t>子板塊</t>
        </is>
      </c>
      <c r="B260" s="15" t="inlineStr">
        <is>
          <t>航太與國防</t>
        </is>
      </c>
      <c r="C260" s="15" t="inlineStr">
        <is>
          <t>LMT</t>
        </is>
      </c>
      <c r="D260" s="15" t="str">
        <f>IFERROR(INDEX(觀察名單!$F$2:$F$533,MATCH($C260,觀察名單!$B$2:$B$533,0)),"")</f>
        <v>USD</v>
      </c>
      <c r="E260" s="16">
        <f>IF($D260&lt;&gt;"USD","",IFERROR(INDEX(觀察名單!$L$2:$L$533,MATCH($C260,觀察名單!$B$2:$B$533,0)),""))</f>
        <v>20063.0</v>
      </c>
      <c r="F260" s="16">
        <f>IF($D260&lt;&gt;"USD","",IFERROR(INDEX(觀察名單!$Q$2:$Q$533,MATCH($C260,觀察名單!$B$2:$B$533,0)),""))</f>
        <v>2479.0</v>
      </c>
    </row>
    <row r="261">
      <c r="A261" s="15" t="inlineStr">
        <is>
          <t>子板塊</t>
        </is>
      </c>
      <c r="B261" s="15" t="inlineStr">
        <is>
          <t>壽險與年金</t>
        </is>
      </c>
      <c r="C261" s="15" t="inlineStr">
        <is>
          <t>LNC</t>
        </is>
      </c>
      <c r="D261" s="15" t="str">
        <f>IFERROR(INDEX(觀察名單!$F$2:$F$533,MATCH($C261,觀察名單!$B$2:$B$533,0)),"")</f>
        <v>USD</v>
      </c>
      <c r="E261" s="16">
        <f>IF($D261&lt;&gt;"USD","",IFERROR(INDEX(觀察名單!$L$2:$L$533,MATCH($C261,觀察名單!$B$2:$B$533,0)),""))</f>
        <v>4574.0</v>
      </c>
      <c r="F261" s="16">
        <f>IF($D261&lt;&gt;"USD","",IFERROR(INDEX(觀察名單!$Q$2:$Q$533,MATCH($C261,觀察名單!$B$2:$B$533,0)),""))</f>
        <v>1725.0</v>
      </c>
    </row>
    <row r="262">
      <c r="A262" s="15" t="inlineStr">
        <is>
          <t>子板塊</t>
        </is>
      </c>
      <c r="B262" s="15" t="inlineStr">
        <is>
          <t>LNG液化天然氣</t>
        </is>
      </c>
      <c r="C262" s="15" t="inlineStr">
        <is>
          <t>LNG</t>
        </is>
      </c>
      <c r="D262" s="15" t="str">
        <f>IFERROR(INDEX(觀察名單!$F$2:$F$533,MATCH($C262,觀察名單!$B$2:$B$533,0)),"")</f>
        <v>USD</v>
      </c>
      <c r="E262" s="16">
        <f>IF($D262&lt;&gt;"USD","",IFERROR(INDEX(觀察名單!$L$2:$L$533,MATCH($C262,觀察名單!$B$2:$B$533,0)),""))</f>
        <v>5732.0</v>
      </c>
      <c r="F262" s="16">
        <f>IF($D262&lt;&gt;"USD","",IFERROR(INDEX(觀察名單!$Q$2:$Q$533,MATCH($C262,觀察名單!$B$2:$B$533,0)),""))</f>
        <v>4290.0</v>
      </c>
    </row>
    <row r="263">
      <c r="A263" s="15" t="inlineStr">
        <is>
          <t>子板塊</t>
        </is>
      </c>
      <c r="B263" s="15" t="inlineStr">
        <is>
          <t>專門零售</t>
        </is>
      </c>
      <c r="C263" s="15" t="inlineStr">
        <is>
          <t>LOW</t>
        </is>
      </c>
      <c r="D263" s="15" t="str">
        <f>IFERROR(INDEX(觀察名單!$F$2:$F$533,MATCH($C263,觀察名單!$B$2:$B$533,0)),"")</f>
        <v>USD</v>
      </c>
      <c r="E263" s="16">
        <f>IF($D263&lt;&gt;"USD","",IFERROR(INDEX(觀察名單!$L$2:$L$533,MATCH($C263,觀察名單!$B$2:$B$533,0)),""))</f>
        <v>25956.0</v>
      </c>
      <c r="F263" s="16">
        <f>IF($D263&lt;&gt;"USD","",IFERROR(INDEX(觀察名單!$Q$2:$Q$533,MATCH($C263,觀察名單!$B$2:$B$533,0)),""))</f>
        <v>3549.0</v>
      </c>
    </row>
    <row r="264">
      <c r="A264" s="15" t="inlineStr">
        <is>
          <t>子板塊</t>
        </is>
      </c>
      <c r="B264" s="15" t="inlineStr">
        <is>
          <t>半導體設備</t>
        </is>
      </c>
      <c r="C264" s="15" t="inlineStr">
        <is>
          <t>LRCX</t>
        </is>
      </c>
      <c r="D264" s="15" t="str">
        <f>IFERROR(INDEX(觀察名單!$F$2:$F$533,MATCH($C264,觀察名單!$B$2:$B$533,0)),"")</f>
        <v>USD</v>
      </c>
      <c r="E264" s="16">
        <f>IF($D264&lt;&gt;"USD","",IFERROR(INDEX(觀察名單!$L$2:$L$533,MATCH($C264,觀察名單!$B$2:$B$533,0)),""))</f>
        <v>6722.238</v>
      </c>
      <c r="F264" s="16">
        <f>IF($D264&lt;&gt;"USD","",IFERROR(INDEX(觀察名單!$Q$2:$Q$533,MATCH($C264,觀察名單!$B$2:$B$533,0)),""))</f>
        <v>2513.488</v>
      </c>
    </row>
    <row r="265">
      <c r="A265" s="15" t="inlineStr">
        <is>
          <t>子板塊</t>
        </is>
      </c>
      <c r="B265" s="15" t="inlineStr">
        <is>
          <t>教育與消費服務</t>
        </is>
      </c>
      <c r="C265" s="15" t="inlineStr">
        <is>
          <t>LRN</t>
        </is>
      </c>
      <c r="D265" s="15" t="str">
        <f>IFERROR(INDEX(觀察名單!$F$2:$F$533,MATCH($C265,觀察名單!$B$2:$B$533,0)),"")</f>
        <v>USD</v>
      </c>
      <c r="E265" s="16">
        <f>IF($D265&lt;&gt;"USD","",IFERROR(INDEX(觀察名單!$L$2:$L$533,MATCH($C265,觀察名單!$B$2:$B$533,0)),""))</f>
        <v>636.064</v>
      </c>
      <c r="F265" s="16">
        <f>IF($D265&lt;&gt;"USD","",IFERROR(INDEX(觀察名單!$Q$2:$Q$533,MATCH($C265,觀察名單!$B$2:$B$533,0)),""))</f>
        <v>105.852</v>
      </c>
    </row>
    <row r="266">
      <c r="A266" s="15" t="inlineStr">
        <is>
          <t>子板塊</t>
        </is>
      </c>
      <c r="B266" s="15" t="inlineStr">
        <is>
          <t>服裝與奢侈品</t>
        </is>
      </c>
      <c r="C266" s="15" t="inlineStr">
        <is>
          <t>LULU</t>
        </is>
      </c>
      <c r="D266" s="15" t="str">
        <f>IFERROR(INDEX(觀察名單!$F$2:$F$533,MATCH($C266,觀察名單!$B$2:$B$533,0)),"")</f>
        <v>USD</v>
      </c>
      <c r="E266" s="16">
        <f>IF($D266&lt;&gt;"USD","",IFERROR(INDEX(觀察名單!$L$2:$L$533,MATCH($C266,觀察名單!$B$2:$B$533,0)),""))</f>
        <v>2415.631</v>
      </c>
      <c r="F266" s="16">
        <f>IF($D266&lt;&gt;"USD","",IFERROR(INDEX(觀察名單!$Q$2:$Q$533,MATCH($C266,觀察名單!$B$2:$B$533,0)),""))</f>
        <v>453.653</v>
      </c>
    </row>
    <row r="267">
      <c r="A267" s="15" t="inlineStr">
        <is>
          <t>子板塊</t>
        </is>
      </c>
      <c r="B267" s="15" t="inlineStr">
        <is>
          <t>太空與衛星</t>
        </is>
      </c>
      <c r="C267" s="15" t="inlineStr">
        <is>
          <t>LUNR</t>
        </is>
      </c>
      <c r="D267" s="15" t="str">
        <f>IFERROR(INDEX(觀察名單!$F$2:$F$533,MATCH($C267,觀察名單!$B$2:$B$533,0)),"")</f>
        <v>USD</v>
      </c>
      <c r="E267" s="16">
        <f>IF($D267&lt;&gt;"USD","",IFERROR(INDEX(觀察名單!$L$2:$L$533,MATCH($C267,觀察名單!$B$2:$B$533,0)),""))</f>
        <v>203.412</v>
      </c>
      <c r="F267" s="16">
        <f>IF($D267&lt;&gt;"USD","",IFERROR(INDEX(觀察名單!$Q$2:$Q$533,MATCH($C267,觀察名單!$B$2:$B$533,0)),""))</f>
        <v>-47.136</v>
      </c>
    </row>
    <row r="268">
      <c r="A268" s="15" t="inlineStr">
        <is>
          <t>子板塊</t>
        </is>
      </c>
      <c r="B268" s="15" t="inlineStr">
        <is>
          <t>航空公司</t>
        </is>
      </c>
      <c r="C268" s="15" t="inlineStr">
        <is>
          <t>LUV</t>
        </is>
      </c>
      <c r="D268" s="15" t="str">
        <f>IFERROR(INDEX(觀察名單!$F$2:$F$533,MATCH($C268,觀察名單!$B$2:$B$533,0)),"")</f>
        <v>USD</v>
      </c>
      <c r="E268" s="16">
        <f>IF($D268&lt;&gt;"USD","",IFERROR(INDEX(觀察名單!$L$2:$L$533,MATCH($C268,觀察名單!$B$2:$B$533,0)),""))</f>
        <v>8432.0</v>
      </c>
      <c r="F268" s="16">
        <f>IF($D268&lt;&gt;"USD","",IFERROR(INDEX(觀察名單!$Q$2:$Q$533,MATCH($C268,觀察名單!$B$2:$B$533,0)),""))</f>
        <v>285.0</v>
      </c>
    </row>
    <row r="269">
      <c r="A269" s="15" t="inlineStr">
        <is>
          <t>子板塊</t>
        </is>
      </c>
      <c r="B269" s="15" t="inlineStr">
        <is>
          <t>博彩與線上博彩</t>
        </is>
      </c>
      <c r="C269" s="15" t="inlineStr">
        <is>
          <t>LVS</t>
        </is>
      </c>
      <c r="D269" s="15" t="str">
        <f>IFERROR(INDEX(觀察名單!$F$2:$F$533,MATCH($C269,觀察名單!$B$2:$B$533,0)),"")</f>
        <v>USD</v>
      </c>
      <c r="E269" s="16">
        <f>IF($D269&lt;&gt;"USD","",IFERROR(INDEX(觀察名單!$L$2:$L$533,MATCH($C269,觀察名單!$B$2:$B$533,0)),""))</f>
        <v>3154.0</v>
      </c>
      <c r="F269" s="16">
        <f>IF($D269&lt;&gt;"USD","",IFERROR(INDEX(觀察名單!$Q$2:$Q$533,MATCH($C269,觀察名單!$B$2:$B$533,0)),""))</f>
        <v>625.0</v>
      </c>
    </row>
    <row r="270">
      <c r="A270" s="15" t="inlineStr">
        <is>
          <t>子板塊</t>
        </is>
      </c>
      <c r="B270" s="15" t="inlineStr">
        <is>
          <t>基礎化工與化肥</t>
        </is>
      </c>
      <c r="C270" s="15" t="inlineStr">
        <is>
          <t>LYB</t>
        </is>
      </c>
      <c r="D270" s="15" t="str">
        <f>IFERROR(INDEX(觀察名單!$F$2:$F$533,MATCH($C270,觀察名單!$B$2:$B$533,0)),"")</f>
        <v>USD</v>
      </c>
      <c r="E270" s="16">
        <f>IF($D270&lt;&gt;"USD","",IFERROR(INDEX(觀察名單!$L$2:$L$533,MATCH($C270,觀察名單!$B$2:$B$533,0)),""))</f>
        <v>9177.0</v>
      </c>
      <c r="F270" s="16">
        <f>IF($D270&lt;&gt;"USD","",IFERROR(INDEX(觀察名單!$Q$2:$Q$533,MATCH($C270,觀察名單!$B$2:$B$533,0)),""))</f>
        <v>1617.0</v>
      </c>
    </row>
    <row r="271">
      <c r="A271" s="15" t="inlineStr">
        <is>
          <t>子板塊</t>
        </is>
      </c>
      <c r="B271" s="15" t="inlineStr">
        <is>
          <t>傳媒與娛樂內容</t>
        </is>
      </c>
      <c r="C271" s="15" t="inlineStr">
        <is>
          <t>LYV</t>
        </is>
      </c>
      <c r="D271" s="15" t="str">
        <f>IFERROR(INDEX(觀察名單!$F$2:$F$533,MATCH($C271,觀察名單!$B$2:$B$533,0)),"")</f>
        <v>USD</v>
      </c>
      <c r="E271" s="16">
        <f>IF($D271&lt;&gt;"USD","",IFERROR(INDEX(觀察名單!$L$2:$L$533,MATCH($C271,觀察名單!$B$2:$B$533,0)),""))</f>
        <v>7666.858</v>
      </c>
      <c r="F271" s="16">
        <f>IF($D271&lt;&gt;"USD","",IFERROR(INDEX(觀察名單!$Q$2:$Q$533,MATCH($C271,觀察名單!$B$2:$B$533,0)),""))</f>
        <v>513.401</v>
      </c>
    </row>
    <row r="272">
      <c r="A272" s="15" t="inlineStr">
        <is>
          <t>子板塊</t>
        </is>
      </c>
      <c r="B272" s="15" t="inlineStr">
        <is>
          <t>支付與收單</t>
        </is>
      </c>
      <c r="C272" s="15" t="inlineStr">
        <is>
          <t>MA</t>
        </is>
      </c>
      <c r="D272" s="15" t="str">
        <f>IFERROR(INDEX(觀察名單!$F$2:$F$533,MATCH($C272,觀察名單!$B$2:$B$533,0)),"")</f>
        <v>USD</v>
      </c>
      <c r="E272" s="16">
        <f>IF($D272&lt;&gt;"USD","",IFERROR(INDEX(觀察名單!$L$2:$L$533,MATCH($C272,觀察名單!$B$2:$B$533,0)),""))</f>
        <v>9277.0</v>
      </c>
      <c r="F272" s="16">
        <f>IF($D272&lt;&gt;"USD","",IFERROR(INDEX(觀察名單!$Q$2:$Q$533,MATCH($C272,觀察名單!$B$2:$B$533,0)),""))</f>
        <v>5728.0</v>
      </c>
    </row>
    <row r="273">
      <c r="A273" s="15" t="inlineStr">
        <is>
          <t>子板塊</t>
        </is>
      </c>
      <c r="B273" s="15" t="inlineStr">
        <is>
          <t>住宅公寓REIT</t>
        </is>
      </c>
      <c r="C273" s="15" t="inlineStr">
        <is>
          <t>MAA</t>
        </is>
      </c>
      <c r="D273" s="15" t="str">
        <f>IFERROR(INDEX(觀察名單!$F$2:$F$533,MATCH($C273,觀察名單!$B$2:$B$533,0)),"")</f>
        <v>USD</v>
      </c>
      <c r="E273" s="16">
        <f>IF($D273&lt;&gt;"USD","",IFERROR(INDEX(觀察名單!$L$2:$L$533,MATCH($C273,觀察名單!$B$2:$B$533,0)),""))</f>
        <v>555.127</v>
      </c>
      <c r="F273" s="16">
        <f>IF($D273&lt;&gt;"USD","",IFERROR(INDEX(觀察名單!$Q$2:$Q$533,MATCH($C273,觀察名單!$B$2:$B$533,0)),""))</f>
        <v>140.758</v>
      </c>
    </row>
    <row r="274">
      <c r="A274" s="15" t="inlineStr">
        <is>
          <t>子板塊</t>
        </is>
      </c>
      <c r="B274" s="15" t="inlineStr">
        <is>
          <t>人力與商業服務</t>
        </is>
      </c>
      <c r="C274" s="15" t="inlineStr">
        <is>
          <t>MAN</t>
        </is>
      </c>
      <c r="D274" s="15" t="str">
        <f>IFERROR(INDEX(觀察名單!$F$2:$F$533,MATCH($C274,觀察名單!$B$2:$B$533,0)),"")</f>
        <v>USD</v>
      </c>
      <c r="E274" s="16">
        <f>IF($D274&lt;&gt;"USD","",IFERROR(INDEX(觀察名單!$L$2:$L$533,MATCH($C274,觀察名單!$B$2:$B$533,0)),""))</f>
        <v>4860.2</v>
      </c>
      <c r="F274" s="16">
        <f>IF($D274&lt;&gt;"USD","",IFERROR(INDEX(觀察名單!$Q$2:$Q$533,MATCH($C274,觀察名單!$B$2:$B$533,0)),""))</f>
        <v>112.0</v>
      </c>
    </row>
    <row r="275">
      <c r="A275" s="15" t="inlineStr">
        <is>
          <t>子板塊</t>
        </is>
      </c>
      <c r="B275" s="15" t="inlineStr">
        <is>
          <t>酒店與郵輪</t>
        </is>
      </c>
      <c r="C275" s="15" t="inlineStr">
        <is>
          <t>MAR</t>
        </is>
      </c>
      <c r="D275" s="15" t="str">
        <f>IFERROR(INDEX(觀察名單!$F$2:$F$533,MATCH($C275,觀察名單!$B$2:$B$533,0)),"")</f>
        <v>USD</v>
      </c>
      <c r="E275" s="16">
        <f>IF($D275&lt;&gt;"USD","",IFERROR(INDEX(觀察名單!$L$2:$L$533,MATCH($C275,觀察名單!$B$2:$B$533,0)),""))</f>
        <v>7071.0</v>
      </c>
      <c r="F275" s="16">
        <f>IF($D275&lt;&gt;"USD","",IFERROR(INDEX(觀察名單!$Q$2:$Q$533,MATCH($C275,觀察名單!$B$2:$B$533,0)),""))</f>
        <v>1219.0</v>
      </c>
    </row>
    <row r="276">
      <c r="A276" s="15" t="inlineStr">
        <is>
          <t>子板塊</t>
        </is>
      </c>
      <c r="B276" s="15" t="inlineStr">
        <is>
          <t>數位資產金融與礦業轉HPC</t>
        </is>
      </c>
      <c r="C276" s="15" t="inlineStr">
        <is>
          <t>MARA</t>
        </is>
      </c>
      <c r="D276" s="15" t="str">
        <f>IFERROR(INDEX(觀察名單!$F$2:$F$533,MATCH($C276,觀察名單!$B$2:$B$533,0)),"")</f>
        <v>USD</v>
      </c>
      <c r="E276" s="16">
        <f>IF($D276&lt;&gt;"USD","",IFERROR(INDEX(觀察名單!$L$2:$L$533,MATCH($C276,觀察名單!$B$2:$B$533,0)),""))</f>
        <v>174.881</v>
      </c>
      <c r="F276" s="16">
        <f>IF($D276&lt;&gt;"USD","",IFERROR(INDEX(觀察名單!$Q$2:$Q$533,MATCH($C276,觀察名單!$B$2:$B$533,0)),""))</f>
        <v>-267.989</v>
      </c>
    </row>
    <row r="277">
      <c r="A277" s="15" t="inlineStr">
        <is>
          <t>子板塊</t>
        </is>
      </c>
      <c r="B277" s="15" t="inlineStr">
        <is>
          <t>餐飲連鎖</t>
        </is>
      </c>
      <c r="C277" s="15" t="inlineStr">
        <is>
          <t>MCD</t>
        </is>
      </c>
      <c r="D277" s="15" t="str">
        <f>IFERROR(INDEX(觀察名單!$F$2:$F$533,MATCH($C277,觀察名單!$B$2:$B$533,0)),"")</f>
        <v>USD</v>
      </c>
      <c r="E277" s="16">
        <f>IF($D277&lt;&gt;"USD","",IFERROR(INDEX(觀察名單!$L$2:$L$533,MATCH($C277,觀察名單!$B$2:$B$533,0)),""))</f>
        <v>7100.0</v>
      </c>
      <c r="F277" s="16">
        <f>IF($D277&lt;&gt;"USD","",IFERROR(INDEX(觀察名單!$Q$2:$Q$533,MATCH($C277,觀察名單!$B$2:$B$533,0)),""))</f>
        <v>3302.0</v>
      </c>
    </row>
    <row r="278">
      <c r="A278" s="15" t="inlineStr">
        <is>
          <t>子板塊</t>
        </is>
      </c>
      <c r="B278" s="15" t="inlineStr">
        <is>
          <t>藥品分銷與藥房</t>
        </is>
      </c>
      <c r="C278" s="15" t="inlineStr">
        <is>
          <t>MCK</t>
        </is>
      </c>
      <c r="D278" s="15" t="str">
        <f>IFERROR(INDEX(觀察名單!$F$2:$F$533,MATCH($C278,觀察名單!$B$2:$B$533,0)),"")</f>
        <v>USD</v>
      </c>
      <c r="E278" s="16">
        <f>IF($D278&lt;&gt;"USD","",IFERROR(INDEX(觀察名單!$L$2:$L$533,MATCH($C278,觀察名單!$B$2:$B$533,0)),""))</f>
        <v>105380.0</v>
      </c>
      <c r="F278" s="16">
        <f>IF($D278&lt;&gt;"USD","",IFERROR(INDEX(觀察名單!$Q$2:$Q$533,MATCH($C278,觀察名單!$B$2:$B$533,0)),""))</f>
        <v>1421.0</v>
      </c>
    </row>
    <row r="279">
      <c r="A279" s="15" t="inlineStr">
        <is>
          <t>子板塊</t>
        </is>
      </c>
      <c r="B279" s="15" t="inlineStr">
        <is>
          <t>資料/分析平台</t>
        </is>
      </c>
      <c r="C279" s="15" t="inlineStr">
        <is>
          <t>MDB</t>
        </is>
      </c>
      <c r="D279" s="15" t="str">
        <f>IFERROR(INDEX(觀察名單!$F$2:$F$533,MATCH($C279,觀察名單!$B$2:$B$533,0)),"")</f>
        <v>USD</v>
      </c>
      <c r="E279" s="16">
        <f>IF($D279&lt;&gt;"USD","",IFERROR(INDEX(觀察名單!$L$2:$L$533,MATCH($C279,觀察名單!$B$2:$B$533,0)),""))</f>
        <v>771.773</v>
      </c>
      <c r="F279" s="16">
        <f>IF($D279&lt;&gt;"USD","",IFERROR(INDEX(觀察名單!$Q$2:$Q$533,MATCH($C279,觀察名單!$B$2:$B$533,0)),""))</f>
        <v>28.4</v>
      </c>
    </row>
    <row r="280">
      <c r="A280" s="15" t="inlineStr">
        <is>
          <t>子板塊</t>
        </is>
      </c>
      <c r="B280" s="15" t="inlineStr">
        <is>
          <t>臨床期中小型生技</t>
        </is>
      </c>
      <c r="C280" s="15" t="inlineStr">
        <is>
          <t>MDGL</t>
        </is>
      </c>
      <c r="D280" s="15" t="str">
        <f>IFERROR(INDEX(觀察名單!$F$2:$F$533,MATCH($C280,觀察名單!$B$2:$B$533,0)),"")</f>
        <v>USD</v>
      </c>
      <c r="E280" s="16">
        <f>IF($D280&lt;&gt;"USD","",IFERROR(INDEX(觀察名單!$L$2:$L$533,MATCH($C280,觀察名單!$B$2:$B$533,0)),""))</f>
        <v>364.252</v>
      </c>
      <c r="F280" s="16">
        <f>IF($D280&lt;&gt;"USD","",IFERROR(INDEX(觀察名單!$Q$2:$Q$533,MATCH($C280,觀察名單!$B$2:$B$533,0)),""))</f>
        <v>-56.308</v>
      </c>
    </row>
    <row r="281">
      <c r="A281" s="15" t="inlineStr">
        <is>
          <t>子板塊</t>
        </is>
      </c>
      <c r="B281" s="15" t="inlineStr">
        <is>
          <t>醫療器械</t>
        </is>
      </c>
      <c r="C281" s="15" t="inlineStr">
        <is>
          <t>MDT</t>
        </is>
      </c>
      <c r="D281" s="15" t="str">
        <f>IFERROR(INDEX(觀察名單!$F$2:$F$533,MATCH($C281,觀察名單!$B$2:$B$533,0)),"")</f>
        <v>USD</v>
      </c>
      <c r="E281" s="16">
        <f>IF($D281&lt;&gt;"USD","",IFERROR(INDEX(觀察名單!$L$2:$L$533,MATCH($C281,觀察名單!$B$2:$B$533,0)),""))</f>
        <v>9807.0</v>
      </c>
      <c r="F281" s="16">
        <f>IF($D281&lt;&gt;"USD","",IFERROR(INDEX(觀察名單!$Q$2:$Q$533,MATCH($C281,觀察名單!$B$2:$B$533,0)),""))</f>
        <v>2013.0</v>
      </c>
    </row>
    <row r="282">
      <c r="A282" s="15" t="inlineStr">
        <is>
          <t>子板塊</t>
        </is>
      </c>
      <c r="B282" s="15" t="inlineStr">
        <is>
          <t>壽險與年金</t>
        </is>
      </c>
      <c r="C282" s="15" t="inlineStr">
        <is>
          <t>MET</t>
        </is>
      </c>
      <c r="D282" s="15" t="str">
        <f>IFERROR(INDEX(觀察名單!$F$2:$F$533,MATCH($C282,觀察名單!$B$2:$B$533,0)),"")</f>
        <v>USD</v>
      </c>
      <c r="E282" s="16">
        <f>IF($D282&lt;&gt;"USD","",IFERROR(INDEX(觀察名單!$L$2:$L$533,MATCH($C282,觀察名單!$B$2:$B$533,0)),""))</f>
        <v>18877.0</v>
      </c>
      <c r="F282" s="16">
        <f>IF($D282&lt;&gt;"USD","",IFERROR(INDEX(觀察名單!$Q$2:$Q$533,MATCH($C282,觀察名單!$B$2:$B$533,0)),""))</f>
        <v>1327.0</v>
      </c>
    </row>
    <row r="283">
      <c r="A283" s="15" t="inlineStr">
        <is>
          <t>子板塊</t>
        </is>
      </c>
      <c r="B283" s="15" t="inlineStr">
        <is>
          <t>大型網絡平台與數位廣告</t>
        </is>
      </c>
      <c r="C283" s="15" t="inlineStr">
        <is>
          <t>META</t>
        </is>
      </c>
      <c r="D283" s="15" t="str">
        <f>IFERROR(INDEX(觀察名單!$F$2:$F$533,MATCH($C283,觀察名單!$B$2:$B$533,0)),"")</f>
        <v>USD</v>
      </c>
      <c r="E283" s="16">
        <f>IF($D283&lt;&gt;"USD","",IFERROR(INDEX(觀察名單!$L$2:$L$533,MATCH($C283,觀察名單!$B$2:$B$533,0)),""))</f>
        <v>60801.0</v>
      </c>
      <c r="F283" s="16">
        <f>IF($D283&lt;&gt;"USD","",IFERROR(INDEX(觀察名單!$Q$2:$Q$533,MATCH($C283,觀察名單!$B$2:$B$533,0)),""))</f>
        <v>18775.0</v>
      </c>
    </row>
    <row r="284">
      <c r="A284" s="15" t="inlineStr">
        <is>
          <t>子板塊</t>
        </is>
      </c>
      <c r="B284" s="15" t="inlineStr">
        <is>
          <t>煤炭</t>
        </is>
      </c>
      <c r="C284" s="15" t="inlineStr">
        <is>
          <t>METC</t>
        </is>
      </c>
      <c r="D284" s="15" t="str">
        <f>IFERROR(INDEX(觀察名單!$F$2:$F$533,MATCH($C284,觀察名單!$B$2:$B$533,0)),"")</f>
        <v>USD</v>
      </c>
      <c r="E284" s="16">
        <f>IF($D284&lt;&gt;"USD","",IFERROR(INDEX(觀察名單!$L$2:$L$533,MATCH($C284,觀察名單!$B$2:$B$533,0)),""))</f>
        <v>144.799</v>
      </c>
      <c r="F284" s="16">
        <f>IF($D284&lt;&gt;"USD","",IFERROR(INDEX(觀察名單!$Q$2:$Q$533,MATCH($C284,觀察名單!$B$2:$B$533,0)),""))</f>
        <v>-18.248</v>
      </c>
    </row>
    <row r="285">
      <c r="A285" s="15" t="inlineStr">
        <is>
          <t>子板塊</t>
        </is>
      </c>
      <c r="B285" s="15" t="inlineStr">
        <is>
          <t>傳統汽車與零部件</t>
        </is>
      </c>
      <c r="C285" s="15" t="inlineStr">
        <is>
          <t>MGA</t>
        </is>
      </c>
      <c r="D285" s="15" t="str">
        <f>IFERROR(INDEX(觀察名單!$F$2:$F$533,MATCH($C285,觀察名單!$B$2:$B$533,0)),"")</f>
        <v>USD</v>
      </c>
      <c r="E285" s="16">
        <f>IF($D285&lt;&gt;"USD","",IFERROR(INDEX(觀察名單!$L$2:$L$533,MATCH($C285,觀察名單!$B$2:$B$533,0)),""))</f>
        <v>10980.0</v>
      </c>
      <c r="F285" s="16">
        <f>IF($D285&lt;&gt;"USD","",IFERROR(INDEX(觀察名單!$Q$2:$Q$533,MATCH($C285,觀察名單!$B$2:$B$533,0)),""))</f>
        <v>615.0</v>
      </c>
    </row>
    <row r="286">
      <c r="A286" s="15" t="inlineStr">
        <is>
          <t>子板塊</t>
        </is>
      </c>
      <c r="B286" s="15" t="inlineStr">
        <is>
          <t>博彩與線上博彩</t>
        </is>
      </c>
      <c r="C286" s="15" t="inlineStr">
        <is>
          <t>MGM</t>
        </is>
      </c>
      <c r="D286" s="15" t="str">
        <f>IFERROR(INDEX(觀察名單!$F$2:$F$533,MATCH($C286,觀察名單!$B$2:$B$533,0)),"")</f>
        <v>USD</v>
      </c>
      <c r="E286" s="16">
        <f>IF($D286&lt;&gt;"USD","",IFERROR(INDEX(觀察名單!$L$2:$L$533,MATCH($C286,觀察名單!$B$2:$B$533,0)),""))</f>
        <v>4450.993</v>
      </c>
      <c r="F286" s="16">
        <f>IF($D286&lt;&gt;"USD","",IFERROR(INDEX(觀察名單!$Q$2:$Q$533,MATCH($C286,觀察名單!$B$2:$B$533,0)),""))</f>
        <v>302.234</v>
      </c>
    </row>
    <row r="287">
      <c r="A287" s="15" t="inlineStr">
        <is>
          <t>子板塊</t>
        </is>
      </c>
      <c r="B287" s="15" t="inlineStr">
        <is>
          <t>家居耐用與休閒用品</t>
        </is>
      </c>
      <c r="C287" s="15" t="inlineStr">
        <is>
          <t>MHK</t>
        </is>
      </c>
      <c r="D287" s="15" t="str">
        <f>IFERROR(INDEX(觀察名單!$F$2:$F$533,MATCH($C287,觀察名單!$B$2:$B$533,0)),"")</f>
        <v>USD</v>
      </c>
      <c r="E287" s="16" t="str">
        <f>IF($D287&lt;&gt;"USD","",IFERROR(INDEX(觀察名單!$L$2:$L$533,MATCH($C287,觀察名單!$B$2:$B$533,0)),""))</f>
        <v/>
      </c>
      <c r="F287" s="16" t="str">
        <f>IF($D287&lt;&gt;"USD","",IFERROR(INDEX(觀察名單!$Q$2:$Q$533,MATCH($C287,觀察名單!$B$2:$B$533,0)),""))</f>
        <v/>
      </c>
    </row>
    <row r="288">
      <c r="A288" s="15" t="inlineStr">
        <is>
          <t>子板塊</t>
        </is>
      </c>
      <c r="B288" s="15" t="inlineStr">
        <is>
          <t>包裝與建材</t>
        </is>
      </c>
      <c r="C288" s="15" t="inlineStr">
        <is>
          <t>MLM</t>
        </is>
      </c>
      <c r="D288" s="15" t="str">
        <f>IFERROR(INDEX(觀察名單!$F$2:$F$533,MATCH($C288,觀察名單!$B$2:$B$533,0)),"")</f>
        <v>USD</v>
      </c>
      <c r="E288" s="16">
        <f>IF($D288&lt;&gt;"USD","",IFERROR(INDEX(觀察名單!$L$2:$L$533,MATCH($C288,觀察名單!$B$2:$B$533,0)),""))</f>
        <v>1947.0</v>
      </c>
      <c r="F288" s="16">
        <f>IF($D288&lt;&gt;"USD","",IFERROR(INDEX(觀察名單!$Q$2:$Q$533,MATCH($C288,觀察名單!$B$2:$B$533,0)),""))</f>
        <v>390.0</v>
      </c>
    </row>
    <row r="289">
      <c r="A289" s="15" t="inlineStr">
        <is>
          <t>子板塊</t>
        </is>
      </c>
      <c r="B289" s="15" t="inlineStr">
        <is>
          <t>非酒精飲品</t>
        </is>
      </c>
      <c r="C289" s="15" t="inlineStr">
        <is>
          <t>MNST</t>
        </is>
      </c>
      <c r="D289" s="15" t="str">
        <f>IFERROR(INDEX(觀察名單!$F$2:$F$533,MATCH($C289,觀察名單!$B$2:$B$533,0)),"")</f>
        <v>USD</v>
      </c>
      <c r="E289" s="16">
        <f>IF($D289&lt;&gt;"USD","",IFERROR(INDEX(觀察名單!$L$2:$L$533,MATCH($C289,觀察名單!$B$2:$B$533,0)),""))</f>
        <v>2537.473</v>
      </c>
      <c r="F289" s="16">
        <f>IF($D289&lt;&gt;"USD","",IFERROR(INDEX(觀察名單!$Q$2:$Q$533,MATCH($C289,觀察名單!$B$2:$B$533,0)),""))</f>
        <v>740.442</v>
      </c>
    </row>
    <row r="290">
      <c r="A290" s="15" t="inlineStr">
        <is>
          <t>子板塊</t>
        </is>
      </c>
      <c r="B290" s="15" t="inlineStr">
        <is>
          <t>煙草與尼古丁</t>
        </is>
      </c>
      <c r="C290" s="15" t="inlineStr">
        <is>
          <t>MO</t>
        </is>
      </c>
      <c r="D290" s="15" t="str">
        <f>IFERROR(INDEX(觀察名單!$F$2:$F$533,MATCH($C290,觀察名單!$B$2:$B$533,0)),"")</f>
        <v>USD</v>
      </c>
      <c r="E290" s="16">
        <f>IF($D290&lt;&gt;"USD","",IFERROR(INDEX(觀察名單!$L$2:$L$533,MATCH($C290,觀察名單!$B$2:$B$533,0)),""))</f>
        <v>5356.0</v>
      </c>
      <c r="F290" s="16">
        <f>IF($D290&lt;&gt;"USD","",IFERROR(INDEX(觀察名單!$Q$2:$Q$533,MATCH($C290,觀察名單!$B$2:$B$533,0)),""))</f>
        <v>3157.0</v>
      </c>
    </row>
    <row r="291">
      <c r="A291" s="15" t="inlineStr">
        <is>
          <t>子板塊</t>
        </is>
      </c>
      <c r="B291" s="15" t="inlineStr">
        <is>
          <t>AI資料中心建設</t>
        </is>
      </c>
      <c r="C291" s="15" t="inlineStr">
        <is>
          <t>MOD</t>
        </is>
      </c>
      <c r="D291" s="15" t="str">
        <f>IFERROR(INDEX(觀察名單!$F$2:$F$533,MATCH($C291,觀察名單!$B$2:$B$533,0)),"")</f>
        <v>USD</v>
      </c>
      <c r="E291" s="16">
        <f>IF($D291&lt;&gt;"USD","",IFERROR(INDEX(觀察名單!$L$2:$L$533,MATCH($C291,觀察名單!$B$2:$B$533,0)),""))</f>
        <v>874.1</v>
      </c>
      <c r="F291" s="16">
        <f>IF($D291&lt;&gt;"USD","",IFERROR(INDEX(觀察名單!$Q$2:$Q$533,MATCH($C291,觀察名單!$B$2:$B$533,0)),""))</f>
        <v>78.7</v>
      </c>
    </row>
    <row r="292">
      <c r="A292" s="15" t="inlineStr">
        <is>
          <t>子板塊</t>
        </is>
      </c>
      <c r="B292" s="15" t="inlineStr">
        <is>
          <t>基礎化工與化肥</t>
        </is>
      </c>
      <c r="C292" s="15" t="inlineStr">
        <is>
          <t>MOS</t>
        </is>
      </c>
      <c r="D292" s="15" t="str">
        <f>IFERROR(INDEX(觀察名單!$F$2:$F$533,MATCH($C292,觀察名單!$B$2:$B$533,0)),"")</f>
        <v>USD</v>
      </c>
      <c r="E292" s="16">
        <f>IF($D292&lt;&gt;"USD","",IFERROR(INDEX(觀察名單!$L$2:$L$533,MATCH($C292,觀察名單!$B$2:$B$533,0)),""))</f>
        <v>2824.1</v>
      </c>
      <c r="F292" s="16">
        <f>IF($D292&lt;&gt;"USD","",IFERROR(INDEX(觀察名單!$Q$2:$Q$533,MATCH($C292,觀察名單!$B$2:$B$533,0)),""))</f>
        <v>-29.3</v>
      </c>
    </row>
    <row r="293">
      <c r="A293" s="15" t="inlineStr">
        <is>
          <t>子板塊</t>
        </is>
      </c>
      <c r="B293" s="15" t="inlineStr">
        <is>
          <t>稀土與關鍵礦產</t>
        </is>
      </c>
      <c r="C293" s="15" t="inlineStr">
        <is>
          <t>MP</t>
        </is>
      </c>
      <c r="D293" s="15" t="str">
        <f>IFERROR(INDEX(觀察名單!$F$2:$F$533,MATCH($C293,觀察名單!$B$2:$B$533,0)),"")</f>
        <v>USD</v>
      </c>
      <c r="E293" s="16">
        <f>IF($D293&lt;&gt;"USD","",IFERROR(INDEX(觀察名單!$L$2:$L$533,MATCH($C293,觀察名單!$B$2:$B$533,0)),""))</f>
        <v>108.49</v>
      </c>
      <c r="F293" s="16">
        <f>IF($D293&lt;&gt;"USD","",IFERROR(INDEX(觀察名單!$Q$2:$Q$533,MATCH($C293,觀察名單!$B$2:$B$533,0)),""))</f>
        <v>-17.601</v>
      </c>
    </row>
    <row r="294">
      <c r="A294" s="15" t="inlineStr">
        <is>
          <t>子板塊</t>
        </is>
      </c>
      <c r="B294" s="15" t="inlineStr">
        <is>
          <t>煉油與成品油</t>
        </is>
      </c>
      <c r="C294" s="15" t="inlineStr">
        <is>
          <t>MPC</t>
        </is>
      </c>
      <c r="D294" s="15" t="str">
        <f>IFERROR(INDEX(觀察名單!$F$2:$F$533,MATCH($C294,觀察名單!$B$2:$B$533,0)),"")</f>
        <v>USD</v>
      </c>
      <c r="E294" s="16">
        <f>IF($D294&lt;&gt;"USD","",IFERROR(INDEX(觀察名單!$L$2:$L$533,MATCH($C294,觀察名單!$B$2:$B$533,0)),""))</f>
        <v>51994.0</v>
      </c>
      <c r="F294" s="16">
        <f>IF($D294&lt;&gt;"USD","",IFERROR(INDEX(觀察名單!$Q$2:$Q$533,MATCH($C294,觀察名單!$B$2:$B$533,0)),""))</f>
        <v>6979.0</v>
      </c>
    </row>
    <row r="295">
      <c r="A295" s="15" t="inlineStr">
        <is>
          <t>子板塊</t>
        </is>
      </c>
      <c r="B295" s="15" t="inlineStr">
        <is>
          <t>類比/功率半導體</t>
        </is>
      </c>
      <c r="C295" s="15" t="inlineStr">
        <is>
          <t>MPWR</t>
        </is>
      </c>
      <c r="D295" s="15" t="str">
        <f>IFERROR(INDEX(觀察名單!$F$2:$F$533,MATCH($C295,觀察名單!$B$2:$B$533,0)),"")</f>
        <v>USD</v>
      </c>
      <c r="E295" s="16">
        <f>IF($D295&lt;&gt;"USD","",IFERROR(INDEX(觀察名單!$L$2:$L$533,MATCH($C295,觀察名單!$B$2:$B$533,0)),""))</f>
        <v>980.642</v>
      </c>
      <c r="F295" s="16">
        <f>IF($D295&lt;&gt;"USD","",IFERROR(INDEX(觀察名單!$Q$2:$Q$533,MATCH($C295,觀察名單!$B$2:$B$533,0)),""))</f>
        <v>303.894</v>
      </c>
    </row>
    <row r="296">
      <c r="A296" s="15" t="inlineStr">
        <is>
          <t>子板塊</t>
        </is>
      </c>
      <c r="B296" s="15" t="inlineStr">
        <is>
          <t>大型藥廠</t>
        </is>
      </c>
      <c r="C296" s="15" t="inlineStr">
        <is>
          <t>MRK</t>
        </is>
      </c>
      <c r="D296" s="15" t="str">
        <f>IFERROR(INDEX(觀察名單!$F$2:$F$533,MATCH($C296,觀察名單!$B$2:$B$533,0)),"")</f>
        <v>USD</v>
      </c>
      <c r="E296" s="16">
        <f>IF($D296&lt;&gt;"USD","",IFERROR(INDEX(觀察名單!$L$2:$L$533,MATCH($C296,觀察名單!$B$2:$B$533,0)),""))</f>
        <v>16607.0</v>
      </c>
      <c r="F296" s="16">
        <f>IF($D296&lt;&gt;"USD","",IFERROR(INDEX(觀察名單!$Q$2:$Q$533,MATCH($C296,觀察名單!$B$2:$B$533,0)),""))</f>
        <v>-433.0</v>
      </c>
    </row>
    <row r="297">
      <c r="A297" s="15" t="inlineStr">
        <is>
          <t>子板塊</t>
        </is>
      </c>
      <c r="B297" s="15" t="inlineStr">
        <is>
          <t>AI加速晶片/GPU</t>
        </is>
      </c>
      <c r="C297" s="15" t="inlineStr">
        <is>
          <t>MRVL</t>
        </is>
      </c>
      <c r="D297" s="15" t="str">
        <f>IFERROR(INDEX(觀察名單!$F$2:$F$533,MATCH($C297,觀察名單!$B$2:$B$533,0)),"")</f>
        <v>USD</v>
      </c>
      <c r="E297" s="16">
        <f>IF($D297&lt;&gt;"USD","",IFERROR(INDEX(觀察名單!$L$2:$L$533,MATCH($C297,觀察名單!$B$2:$B$533,0)),""))</f>
        <v>2739.3</v>
      </c>
      <c r="F297" s="16">
        <f>IF($D297&lt;&gt;"USD","",IFERROR(INDEX(觀察名單!$Q$2:$Q$533,MATCH($C297,觀察名單!$B$2:$B$533,0)),""))</f>
        <v>456.9</v>
      </c>
    </row>
    <row r="298">
      <c r="A298" s="15" t="inlineStr">
        <is>
          <t>子板塊</t>
        </is>
      </c>
      <c r="B298" s="15" t="inlineStr">
        <is>
          <t>投行與資本巿場</t>
        </is>
      </c>
      <c r="C298" s="15" t="inlineStr">
        <is>
          <t>MS</t>
        </is>
      </c>
      <c r="D298" s="15" t="str">
        <f>IFERROR(INDEX(觀察名單!$F$2:$F$533,MATCH($C298,觀察名單!$B$2:$B$533,0)),"")</f>
        <v>USD</v>
      </c>
      <c r="E298" s="16">
        <f>IF($D298&lt;&gt;"USD","",IFERROR(INDEX(觀察名單!$L$2:$L$533,MATCH($C298,觀察名單!$B$2:$B$533,0)),""))</f>
        <v>19884.0</v>
      </c>
      <c r="F298" s="16" t="str">
        <f>IF($D298&lt;&gt;"USD","",IFERROR(INDEX(觀察名單!$Q$2:$Q$533,MATCH($C298,觀察名單!$B$2:$B$533,0)),""))</f>
        <v/>
      </c>
    </row>
    <row r="299">
      <c r="A299" s="15" t="inlineStr">
        <is>
          <t>子板塊</t>
        </is>
      </c>
      <c r="B299" s="15" t="inlineStr">
        <is>
          <t>雲端基建/IaaS/Neocloud</t>
        </is>
      </c>
      <c r="C299" s="15" t="inlineStr">
        <is>
          <t>MSFT</t>
        </is>
      </c>
      <c r="D299" s="15" t="str">
        <f>IFERROR(INDEX(觀察名單!$F$2:$F$533,MATCH($C299,觀察名單!$B$2:$B$533,0)),"")</f>
        <v>USD</v>
      </c>
      <c r="E299" s="16">
        <f>IF($D299&lt;&gt;"USD","",IFERROR(INDEX(觀察名單!$L$2:$L$533,MATCH($C299,觀察名單!$B$2:$B$533,0)),""))</f>
        <v>90007.0</v>
      </c>
      <c r="F299" s="16">
        <f>IF($D299&lt;&gt;"USD","",IFERROR(INDEX(觀察名單!$Q$2:$Q$533,MATCH($C299,觀察名單!$B$2:$B$533,0)),""))</f>
        <v>40603.0</v>
      </c>
    </row>
    <row r="300">
      <c r="A300" s="15" t="inlineStr">
        <is>
          <t>子板塊</t>
        </is>
      </c>
      <c r="B300" s="15" t="inlineStr">
        <is>
          <t>區域與社區銀行</t>
        </is>
      </c>
      <c r="C300" s="15" t="inlineStr">
        <is>
          <t>MTB</t>
        </is>
      </c>
      <c r="D300" s="15" t="str">
        <f>IFERROR(INDEX(觀察名單!$F$2:$F$533,MATCH($C300,觀察名單!$B$2:$B$533,0)),"")</f>
        <v>USD</v>
      </c>
      <c r="E300" s="16">
        <f>IF($D300&lt;&gt;"USD","",IFERROR(INDEX(觀察名單!$L$2:$L$533,MATCH($C300,觀察名單!$B$2:$B$533,0)),""))</f>
        <v>2485.0</v>
      </c>
      <c r="F300" s="16" t="str">
        <f>IF($D300&lt;&gt;"USD","",IFERROR(INDEX(觀察名單!$Q$2:$Q$533,MATCH($C300,觀察名單!$B$2:$B$533,0)),""))</f>
        <v/>
      </c>
    </row>
    <row r="301">
      <c r="A301" s="15" t="inlineStr">
        <is>
          <t>子板塊</t>
        </is>
      </c>
      <c r="B301" s="15" t="inlineStr">
        <is>
          <t>社交與線上社群</t>
        </is>
      </c>
      <c r="C301" s="15" t="inlineStr">
        <is>
          <t>MTCH</t>
        </is>
      </c>
      <c r="D301" s="15" t="str">
        <f>IFERROR(INDEX(觀察名單!$F$2:$F$533,MATCH($C301,觀察名單!$B$2:$B$533,0)),"")</f>
        <v>USD</v>
      </c>
      <c r="E301" s="16">
        <f>IF($D301&lt;&gt;"USD","",IFERROR(INDEX(觀察名單!$L$2:$L$533,MATCH($C301,觀察名單!$B$2:$B$533,0)),""))</f>
        <v>853.105</v>
      </c>
      <c r="F301" s="16">
        <f>IF($D301&lt;&gt;"USD","",IFERROR(INDEX(觀察名單!$Q$2:$Q$533,MATCH($C301,觀察名單!$B$2:$B$533,0)),""))</f>
        <v>245.45</v>
      </c>
    </row>
    <row r="302">
      <c r="A302" s="15" t="inlineStr">
        <is>
          <t>子板塊</t>
        </is>
      </c>
      <c r="B302" s="15" t="inlineStr">
        <is>
          <t>工程建設/EPC</t>
        </is>
      </c>
      <c r="C302" s="15" t="inlineStr">
        <is>
          <t>MTZ</t>
        </is>
      </c>
      <c r="D302" s="15" t="str">
        <f>IFERROR(INDEX(觀察名單!$F$2:$F$533,MATCH($C302,觀察名單!$B$2:$B$533,0)),"")</f>
        <v>USD</v>
      </c>
      <c r="E302" s="16">
        <f>IF($D302&lt;&gt;"USD","",IFERROR(INDEX(觀察名單!$L$2:$L$533,MATCH($C302,觀察名單!$B$2:$B$533,0)),""))</f>
        <v>4373.554</v>
      </c>
      <c r="F302" s="16">
        <f>IF($D302&lt;&gt;"USD","",IFERROR(INDEX(觀察名單!$Q$2:$Q$533,MATCH($C302,觀察名單!$B$2:$B$533,0)),""))</f>
        <v>226.202</v>
      </c>
    </row>
    <row r="303">
      <c r="A303" s="15" t="inlineStr">
        <is>
          <t>子板塊</t>
        </is>
      </c>
      <c r="B303" s="15" t="inlineStr">
        <is>
          <t>記憶體/HBM</t>
        </is>
      </c>
      <c r="C303" s="15" t="inlineStr">
        <is>
          <t>MU</t>
        </is>
      </c>
      <c r="D303" s="15" t="str">
        <f>IFERROR(INDEX(觀察名單!$F$2:$F$533,MATCH($C303,觀察名單!$B$2:$B$533,0)),"")</f>
        <v>USD</v>
      </c>
      <c r="E303" s="16">
        <f>IF($D303&lt;&gt;"USD","",IFERROR(INDEX(觀察名單!$L$2:$L$533,MATCH($C303,觀察名單!$B$2:$B$533,0)),""))</f>
        <v>41456.0</v>
      </c>
      <c r="F303" s="16">
        <f>IF($D303&lt;&gt;"USD","",IFERROR(INDEX(觀察名單!$Q$2:$Q$533,MATCH($C303,觀察名單!$B$2:$B$533,0)),""))</f>
        <v>33318.0</v>
      </c>
    </row>
    <row r="304">
      <c r="A304" s="15" t="inlineStr">
        <is>
          <t>子板塊</t>
        </is>
      </c>
      <c r="B304" s="15" t="inlineStr">
        <is>
          <t>稀土與關鍵礦產</t>
        </is>
      </c>
      <c r="C304" s="15" t="inlineStr">
        <is>
          <t>NB</t>
        </is>
      </c>
      <c r="D304" s="15" t="str">
        <f>IFERROR(INDEX(觀察名單!$F$2:$F$533,MATCH($C304,觀察名單!$B$2:$B$533,0)),"")</f>
        <v>USD</v>
      </c>
      <c r="E304" s="16">
        <f>IF($D304&lt;&gt;"USD","",IFERROR(INDEX(觀察名單!$L$2:$L$533,MATCH($C304,觀察名單!$B$2:$B$533,0)),""))</f>
        <v>0.0</v>
      </c>
      <c r="F304" s="16">
        <f>IF($D304&lt;&gt;"USD","",IFERROR(INDEX(觀察名單!$Q$2:$Q$533,MATCH($C304,觀察名單!$B$2:$B$533,0)),""))</f>
        <v>-7.33</v>
      </c>
    </row>
    <row r="305">
      <c r="A305" s="15" t="inlineStr">
        <is>
          <t>子板塊</t>
        </is>
      </c>
      <c r="B305" s="15" t="inlineStr">
        <is>
          <t>雲端基建/IaaS/Neocloud</t>
        </is>
      </c>
      <c r="C305" s="15" t="inlineStr">
        <is>
          <t>NBIS</t>
        </is>
      </c>
      <c r="D305" s="15" t="str">
        <f>IFERROR(INDEX(觀察名單!$F$2:$F$533,MATCH($C305,觀察名單!$B$2:$B$533,0)),"")</f>
        <v>USD</v>
      </c>
      <c r="E305" s="16">
        <f>IF($D305&lt;&gt;"USD","",IFERROR(INDEX(觀察名單!$L$2:$L$533,MATCH($C305,觀察名單!$B$2:$B$533,0)),""))</f>
        <v>582.3</v>
      </c>
      <c r="F305" s="16">
        <f>IF($D305&lt;&gt;"USD","",IFERROR(INDEX(觀察名單!$Q$2:$Q$533,MATCH($C305,觀察名單!$B$2:$B$533,0)),""))</f>
        <v>-175.9</v>
      </c>
    </row>
    <row r="306">
      <c r="A306" s="15" t="inlineStr">
        <is>
          <t>子板塊</t>
        </is>
      </c>
      <c r="B306" s="15" t="inlineStr">
        <is>
          <t>酒店與郵輪</t>
        </is>
      </c>
      <c r="C306" s="15" t="inlineStr">
        <is>
          <t>NCLH</t>
        </is>
      </c>
      <c r="D306" s="15" t="str">
        <f>IFERROR(INDEX(觀察名單!$F$2:$F$533,MATCH($C306,觀察名單!$B$2:$B$533,0)),"")</f>
        <v>USD</v>
      </c>
      <c r="E306" s="16">
        <f>IF($D306&lt;&gt;"USD","",IFERROR(INDEX(觀察名單!$L$2:$L$533,MATCH($C306,觀察名單!$B$2:$B$533,0)),""))</f>
        <v>2640.544</v>
      </c>
      <c r="F306" s="16">
        <f>IF($D306&lt;&gt;"USD","",IFERROR(INDEX(觀察名單!$Q$2:$Q$533,MATCH($C306,觀察名單!$B$2:$B$533,0)),""))</f>
        <v>363.327</v>
      </c>
    </row>
    <row r="307">
      <c r="A307" s="15" t="inlineStr">
        <is>
          <t>子板塊</t>
        </is>
      </c>
      <c r="B307" s="15" t="inlineStr">
        <is>
          <t>交易所與金融數據</t>
        </is>
      </c>
      <c r="C307" s="15" t="inlineStr">
        <is>
          <t>NDAQ</t>
        </is>
      </c>
      <c r="D307" s="15" t="str">
        <f>IFERROR(INDEX(觀察名單!$F$2:$F$533,MATCH($C307,觀察名單!$B$2:$B$533,0)),"")</f>
        <v>USD</v>
      </c>
      <c r="E307" s="16">
        <f>IF($D307&lt;&gt;"USD","",IFERROR(INDEX(觀察名單!$L$2:$L$533,MATCH($C307,觀察名單!$B$2:$B$533,0)),""))</f>
        <v>2532.0</v>
      </c>
      <c r="F307" s="16">
        <f>IF($D307&lt;&gt;"USD","",IFERROR(INDEX(觀察名單!$Q$2:$Q$533,MATCH($C307,觀察名單!$B$2:$B$533,0)),""))</f>
        <v>731.0</v>
      </c>
    </row>
    <row r="308">
      <c r="A308" s="15" t="inlineStr">
        <is>
          <t>子板塊</t>
        </is>
      </c>
      <c r="B308" s="15" t="inlineStr">
        <is>
          <t>工業自動化與機器人</t>
        </is>
      </c>
      <c r="C308" s="15" t="inlineStr">
        <is>
          <t>NDSN</t>
        </is>
      </c>
      <c r="D308" s="15" t="str">
        <f>IFERROR(INDEX(觀察名單!$F$2:$F$533,MATCH($C308,觀察名單!$B$2:$B$533,0)),"")</f>
        <v>USD</v>
      </c>
      <c r="E308" s="16">
        <f>IF($D308&lt;&gt;"USD","",IFERROR(INDEX(觀察名單!$L$2:$L$533,MATCH($C308,觀察名單!$B$2:$B$533,0)),""))</f>
        <v>817.667</v>
      </c>
      <c r="F308" s="16">
        <f>IF($D308&lt;&gt;"USD","",IFERROR(INDEX(觀察名單!$Q$2:$Q$533,MATCH($C308,觀察名單!$B$2:$B$533,0)),""))</f>
        <v>223.092</v>
      </c>
    </row>
    <row r="309">
      <c r="A309" s="15" t="inlineStr">
        <is>
          <t>子板塊</t>
        </is>
      </c>
      <c r="B309" s="15" t="inlineStr">
        <is>
          <t>海上鑽井與設備</t>
        </is>
      </c>
      <c r="C309" s="15" t="inlineStr">
        <is>
          <t>NE</t>
        </is>
      </c>
      <c r="D309" s="15" t="str">
        <f>IFERROR(INDEX(觀察名單!$F$2:$F$533,MATCH($C309,觀察名單!$B$2:$B$533,0)),"")</f>
        <v>USD</v>
      </c>
      <c r="E309" s="16">
        <f>IF($D309&lt;&gt;"USD","",IFERROR(INDEX(觀察名單!$L$2:$L$533,MATCH($C309,觀察名單!$B$2:$B$533,0)),""))</f>
        <v>719.688</v>
      </c>
      <c r="F309" s="16">
        <f>IF($D309&lt;&gt;"USD","",IFERROR(INDEX(觀察名單!$Q$2:$Q$533,MATCH($C309,觀察名單!$B$2:$B$533,0)),""))</f>
        <v>72.745</v>
      </c>
    </row>
    <row r="310">
      <c r="A310" s="15" t="inlineStr">
        <is>
          <t>子板塊</t>
        </is>
      </c>
      <c r="B310" s="15" t="inlineStr">
        <is>
          <t>再生能源與太陽能</t>
        </is>
      </c>
      <c r="C310" s="15" t="inlineStr">
        <is>
          <t>NEE</t>
        </is>
      </c>
      <c r="D310" s="15" t="str">
        <f>IFERROR(INDEX(觀察名單!$F$2:$F$533,MATCH($C310,觀察名單!$B$2:$B$533,0)),"")</f>
        <v>USD</v>
      </c>
      <c r="E310" s="16">
        <f>IF($D310&lt;&gt;"USD","",IFERROR(INDEX(觀察名單!$L$2:$L$533,MATCH($C310,觀察名單!$B$2:$B$533,0)),""))</f>
        <v>7534.0</v>
      </c>
      <c r="F310" s="16">
        <f>IF($D310&lt;&gt;"USD","",IFERROR(INDEX(觀察名單!$Q$2:$Q$533,MATCH($C310,觀察名單!$B$2:$B$533,0)),""))</f>
        <v>2277.0</v>
      </c>
    </row>
    <row r="311">
      <c r="A311" s="15" t="inlineStr">
        <is>
          <t>子板塊</t>
        </is>
      </c>
      <c r="B311" s="15" t="inlineStr">
        <is>
          <t>黃金與貴金屬礦</t>
        </is>
      </c>
      <c r="C311" s="15" t="inlineStr">
        <is>
          <t>NEM</t>
        </is>
      </c>
      <c r="D311" s="15" t="str">
        <f>IFERROR(INDEX(觀察名單!$F$2:$F$533,MATCH($C311,觀察名單!$B$2:$B$533,0)),"")</f>
        <v>USD</v>
      </c>
      <c r="E311" s="16">
        <f>IF($D311&lt;&gt;"USD","",IFERROR(INDEX(觀察名單!$L$2:$L$533,MATCH($C311,觀察名單!$B$2:$B$533,0)),""))</f>
        <v>6118.0</v>
      </c>
      <c r="F311" s="16">
        <f>IF($D311&lt;&gt;"USD","",IFERROR(INDEX(觀察名單!$Q$2:$Q$533,MATCH($C311,觀察名單!$B$2:$B$533,0)),""))</f>
        <v>3155.0</v>
      </c>
    </row>
    <row r="312">
      <c r="A312" s="15" t="inlineStr">
        <is>
          <t>子板塊</t>
        </is>
      </c>
      <c r="B312" s="15" t="inlineStr">
        <is>
          <t>LNG液化天然氣</t>
        </is>
      </c>
      <c r="C312" s="15" t="inlineStr">
        <is>
          <t>NFE</t>
        </is>
      </c>
      <c r="D312" s="15" t="str">
        <f>IFERROR(INDEX(觀察名單!$F$2:$F$533,MATCH($C312,觀察名單!$B$2:$B$533,0)),"")</f>
        <v>USD</v>
      </c>
      <c r="E312" s="16">
        <f>IF($D312&lt;&gt;"USD","",IFERROR(INDEX(觀察名單!$L$2:$L$533,MATCH($C312,觀察名單!$B$2:$B$533,0)),""))</f>
        <v>312.502</v>
      </c>
      <c r="F312" s="16">
        <f>IF($D312&lt;&gt;"USD","",IFERROR(INDEX(觀察名單!$Q$2:$Q$533,MATCH($C312,觀察名單!$B$2:$B$533,0)),""))</f>
        <v>-75.831</v>
      </c>
    </row>
    <row r="313">
      <c r="A313" s="15" t="inlineStr">
        <is>
          <t>子板塊</t>
        </is>
      </c>
      <c r="B313" s="15" t="inlineStr">
        <is>
          <t>串流影音</t>
        </is>
      </c>
      <c r="C313" s="15" t="inlineStr">
        <is>
          <t>NFLX</t>
        </is>
      </c>
      <c r="D313" s="15" t="str">
        <f>IFERROR(INDEX(觀察名單!$F$2:$F$533,MATCH($C313,觀察名單!$B$2:$B$533,0)),"")</f>
        <v>USD</v>
      </c>
      <c r="E313" s="16">
        <f>IF($D313&lt;&gt;"USD","",IFERROR(INDEX(觀察名單!$L$2:$L$533,MATCH($C313,觀察名單!$B$2:$B$533,0)),""))</f>
        <v>12559.938</v>
      </c>
      <c r="F313" s="16">
        <f>IF($D313&lt;&gt;"USD","",IFERROR(INDEX(觀察名單!$Q$2:$Q$533,MATCH($C313,觀察名單!$B$2:$B$533,0)),""))</f>
        <v>4192.61</v>
      </c>
    </row>
    <row r="314">
      <c r="A314" s="15" t="inlineStr">
        <is>
          <t>子板塊</t>
        </is>
      </c>
      <c r="B314" s="15" t="inlineStr">
        <is>
          <t>燃氣公用</t>
        </is>
      </c>
      <c r="C314" s="15" t="inlineStr">
        <is>
          <t>NI</t>
        </is>
      </c>
      <c r="D314" s="15" t="str">
        <f>IFERROR(INDEX(觀察名單!$F$2:$F$533,MATCH($C314,觀察名單!$B$2:$B$533,0)),"")</f>
        <v>USD</v>
      </c>
      <c r="E314" s="16">
        <f>IF($D314&lt;&gt;"USD","",IFERROR(INDEX(觀察名單!$L$2:$L$533,MATCH($C314,觀察名單!$B$2:$B$533,0)),""))</f>
        <v>1342.4</v>
      </c>
      <c r="F314" s="16">
        <f>IF($D314&lt;&gt;"USD","",IFERROR(INDEX(觀察名單!$Q$2:$Q$533,MATCH($C314,觀察名單!$B$2:$B$533,0)),""))</f>
        <v>228.1</v>
      </c>
    </row>
    <row r="315">
      <c r="A315" s="15" t="inlineStr">
        <is>
          <t>子板塊</t>
        </is>
      </c>
      <c r="B315" s="15" t="inlineStr">
        <is>
          <t>燃氣公用</t>
        </is>
      </c>
      <c r="C315" s="15" t="inlineStr">
        <is>
          <t>NJR</t>
        </is>
      </c>
      <c r="D315" s="15" t="str">
        <f>IFERROR(INDEX(觀察名單!$F$2:$F$533,MATCH($C315,觀察名單!$B$2:$B$533,0)),"")</f>
        <v>USD</v>
      </c>
      <c r="E315" s="16">
        <f>IF($D315&lt;&gt;"USD","",IFERROR(INDEX(觀察名單!$L$2:$L$533,MATCH($C315,觀察名單!$B$2:$B$533,0)),""))</f>
        <v>349.18</v>
      </c>
      <c r="F315" s="16">
        <f>IF($D315&lt;&gt;"USD","",IFERROR(INDEX(觀察名單!$Q$2:$Q$533,MATCH($C315,觀察名單!$B$2:$B$533,0)),""))</f>
        <v>31.892</v>
      </c>
    </row>
    <row r="316">
      <c r="A316" s="15" t="inlineStr">
        <is>
          <t>子板塊</t>
        </is>
      </c>
      <c r="B316" s="15" t="inlineStr">
        <is>
          <t>服裝與奢侈品</t>
        </is>
      </c>
      <c r="C316" s="15" t="inlineStr">
        <is>
          <t>NKE</t>
        </is>
      </c>
      <c r="D316" s="15" t="str">
        <f>IFERROR(INDEX(觀察名單!$F$2:$F$533,MATCH($C316,觀察名單!$B$2:$B$533,0)),"")</f>
        <v>USD</v>
      </c>
      <c r="E316" s="16">
        <f>IF($D316&lt;&gt;"USD","",IFERROR(INDEX(觀察名單!$L$2:$L$533,MATCH($C316,觀察名單!$B$2:$B$533,0)),""))</f>
        <v>10972.0</v>
      </c>
      <c r="F316" s="16">
        <f>IF($D316&lt;&gt;"USD","",IFERROR(INDEX(觀察名單!$Q$2:$Q$533,MATCH($C316,觀察名單!$B$2:$B$533,0)),""))</f>
        <v>1311.0</v>
      </c>
    </row>
    <row r="317">
      <c r="A317" s="15" t="inlineStr">
        <is>
          <t>子板塊</t>
        </is>
      </c>
      <c r="B317" s="15" t="inlineStr">
        <is>
          <t>腫瘤與細胞治療</t>
        </is>
      </c>
      <c r="C317" s="15" t="inlineStr">
        <is>
          <t>NKTX</t>
        </is>
      </c>
      <c r="D317" s="15" t="str">
        <f>IFERROR(INDEX(觀察名單!$F$2:$F$533,MATCH($C317,觀察名單!$B$2:$B$533,0)),"")</f>
        <v>USD</v>
      </c>
      <c r="E317" s="16">
        <f>IF($D317&lt;&gt;"USD","",IFERROR(INDEX(觀察名單!$L$2:$L$533,MATCH($C317,觀察名單!$B$2:$B$533,0)),""))</f>
        <v>0.0</v>
      </c>
      <c r="F317" s="16">
        <f>IF($D317&lt;&gt;"USD","",IFERROR(INDEX(觀察名單!$Q$2:$Q$533,MATCH($C317,觀察名單!$B$2:$B$533,0)),""))</f>
        <v>-43.128</v>
      </c>
    </row>
    <row r="318">
      <c r="A318" s="15" t="inlineStr">
        <is>
          <t>子板塊</t>
        </is>
      </c>
      <c r="B318" s="15" t="inlineStr">
        <is>
          <t>小型模組化核能SMR</t>
        </is>
      </c>
      <c r="C318" s="15" t="inlineStr">
        <is>
          <t>NNE</t>
        </is>
      </c>
      <c r="D318" s="15" t="str">
        <f>IFERROR(INDEX(觀察名單!$F$2:$F$533,MATCH($C318,觀察名單!$B$2:$B$533,0)),"")</f>
        <v>USD</v>
      </c>
      <c r="E318" s="16">
        <f>IF($D318&lt;&gt;"USD","",IFERROR(INDEX(觀察名單!$L$2:$L$533,MATCH($C318,觀察名單!$B$2:$B$533,0)),""))</f>
        <v>0.214042</v>
      </c>
      <c r="F318" s="16">
        <f>IF($D318&lt;&gt;"USD","",IFERROR(INDEX(觀察名單!$Q$2:$Q$533,MATCH($C318,觀察名單!$B$2:$B$533,0)),""))</f>
        <v>-15.418458</v>
      </c>
    </row>
    <row r="319">
      <c r="A319" s="15" t="inlineStr">
        <is>
          <t>子板塊</t>
        </is>
      </c>
      <c r="B319" s="15" t="inlineStr">
        <is>
          <t>航太與國防</t>
        </is>
      </c>
      <c r="C319" s="15" t="inlineStr">
        <is>
          <t>NOC</t>
        </is>
      </c>
      <c r="D319" s="15" t="str">
        <f>IFERROR(INDEX(觀察名單!$F$2:$F$533,MATCH($C319,觀察名單!$B$2:$B$533,0)),"")</f>
        <v>USD</v>
      </c>
      <c r="E319" s="16">
        <f>IF($D319&lt;&gt;"USD","",IFERROR(INDEX(觀察名單!$L$2:$L$533,MATCH($C319,觀察名單!$B$2:$B$533,0)),""))</f>
        <v>10876.0</v>
      </c>
      <c r="F319" s="16">
        <f>IF($D319&lt;&gt;"USD","",IFERROR(INDEX(觀察名單!$Q$2:$Q$533,MATCH($C319,觀察名單!$B$2:$B$533,0)),""))</f>
        <v>1096.0</v>
      </c>
    </row>
    <row r="320">
      <c r="A320" s="15" t="inlineStr">
        <is>
          <t>子板塊</t>
        </is>
      </c>
      <c r="B320" s="15" t="inlineStr">
        <is>
          <t>企業軟體/SaaS</t>
        </is>
      </c>
      <c r="C320" s="15" t="inlineStr">
        <is>
          <t>NOW</t>
        </is>
      </c>
      <c r="D320" s="15" t="str">
        <f>IFERROR(INDEX(觀察名單!$F$2:$F$533,MATCH($C320,觀察名單!$B$2:$B$533,0)),"")</f>
        <v>USD</v>
      </c>
      <c r="E320" s="16">
        <f>IF($D320&lt;&gt;"USD","",IFERROR(INDEX(觀察名單!$L$2:$L$533,MATCH($C320,觀察名單!$B$2:$B$533,0)),""))</f>
        <v>3987.0</v>
      </c>
      <c r="F320" s="16">
        <f>IF($D320&lt;&gt;"USD","",IFERROR(INDEX(觀察名單!$Q$2:$Q$533,MATCH($C320,觀察名單!$B$2:$B$533,0)),""))</f>
        <v>162.0</v>
      </c>
    </row>
    <row r="321">
      <c r="A321" s="15" t="inlineStr">
        <is>
          <t>子板塊</t>
        </is>
      </c>
      <c r="B321" s="15" t="inlineStr">
        <is>
          <t>IPP與電力交易商</t>
        </is>
      </c>
      <c r="C321" s="15" t="inlineStr">
        <is>
          <t>NRG</t>
        </is>
      </c>
      <c r="D321" s="15" t="str">
        <f>IFERROR(INDEX(觀察名單!$F$2:$F$533,MATCH($C321,觀察名單!$B$2:$B$533,0)),"")</f>
        <v>USD</v>
      </c>
      <c r="E321" s="16">
        <f>IF($D321&lt;&gt;"USD","",IFERROR(INDEX(觀察名單!$L$2:$L$533,MATCH($C321,觀察名單!$B$2:$B$533,0)),""))</f>
        <v>7481.0</v>
      </c>
      <c r="F321" s="16">
        <f>IF($D321&lt;&gt;"USD","",IFERROR(INDEX(觀察名單!$Q$2:$Q$533,MATCH($C321,觀察名單!$B$2:$B$533,0)),""))</f>
        <v>955.0</v>
      </c>
    </row>
    <row r="322">
      <c r="A322" s="15" t="inlineStr">
        <is>
          <t>子板塊</t>
        </is>
      </c>
      <c r="B322" s="15" t="inlineStr">
        <is>
          <t>鐵路運輸</t>
        </is>
      </c>
      <c r="C322" s="15" t="inlineStr">
        <is>
          <t>NSC</t>
        </is>
      </c>
      <c r="D322" s="15" t="str">
        <f>IFERROR(INDEX(觀察名單!$F$2:$F$533,MATCH($C322,觀察名單!$B$2:$B$533,0)),"")</f>
        <v>USD</v>
      </c>
      <c r="E322" s="16">
        <f>IF($D322&lt;&gt;"USD","",IFERROR(INDEX(觀察名單!$L$2:$L$533,MATCH($C322,觀察名單!$B$2:$B$533,0)),""))</f>
        <v>3465.0</v>
      </c>
      <c r="F322" s="16">
        <f>IF($D322&lt;&gt;"USD","",IFERROR(INDEX(觀察名單!$Q$2:$Q$533,MATCH($C322,觀察名單!$B$2:$B$533,0)),""))</f>
        <v>1266.0</v>
      </c>
    </row>
    <row r="323">
      <c r="A323" s="15" t="inlineStr">
        <is>
          <t>子板塊</t>
        </is>
      </c>
      <c r="B323" s="15" t="inlineStr">
        <is>
          <t>基因治療與基因編輯</t>
        </is>
      </c>
      <c r="C323" s="15" t="inlineStr">
        <is>
          <t>NTLA</t>
        </is>
      </c>
      <c r="D323" s="15" t="str">
        <f>IFERROR(INDEX(觀察名單!$F$2:$F$533,MATCH($C323,觀察名單!$B$2:$B$533,0)),"")</f>
        <v>USD</v>
      </c>
      <c r="E323" s="16">
        <f>IF($D323&lt;&gt;"USD","",IFERROR(INDEX(觀察名單!$L$2:$L$533,MATCH($C323,觀察名單!$B$2:$B$533,0)),""))</f>
        <v>7.659</v>
      </c>
      <c r="F323" s="16">
        <f>IF($D323&lt;&gt;"USD","",IFERROR(INDEX(觀察名單!$Q$2:$Q$533,MATCH($C323,觀察名單!$B$2:$B$533,0)),""))</f>
        <v>-112.76</v>
      </c>
    </row>
    <row r="324">
      <c r="A324" s="15" t="inlineStr">
        <is>
          <t>子板塊</t>
        </is>
      </c>
      <c r="B324" s="15" t="inlineStr">
        <is>
          <t>基礎化工與化肥</t>
        </is>
      </c>
      <c r="C324" s="15" t="inlineStr">
        <is>
          <t>NTR</t>
        </is>
      </c>
      <c r="D324" s="15" t="str">
        <f>IFERROR(INDEX(觀察名單!$F$2:$F$533,MATCH($C324,觀察名單!$B$2:$B$533,0)),"")</f>
        <v>USD</v>
      </c>
      <c r="E324" s="16">
        <f>IF($D324&lt;&gt;"USD","",IFERROR(INDEX(觀察名單!$L$2:$L$533,MATCH($C324,觀察名單!$B$2:$B$533,0)),""))</f>
        <v>10812.0</v>
      </c>
      <c r="F324" s="16">
        <f>IF($D324&lt;&gt;"USD","",IFERROR(INDEX(觀察名單!$Q$2:$Q$533,MATCH($C324,觀察名單!$B$2:$B$533,0)),""))</f>
        <v>1989.0</v>
      </c>
    </row>
    <row r="325">
      <c r="A325" s="15" t="inlineStr">
        <is>
          <t>子板塊</t>
        </is>
      </c>
      <c r="B325" s="15" t="inlineStr">
        <is>
          <t>鋼鐵</t>
        </is>
      </c>
      <c r="C325" s="15" t="inlineStr">
        <is>
          <t>NUE</t>
        </is>
      </c>
      <c r="D325" s="15" t="str">
        <f>IFERROR(INDEX(觀察名單!$F$2:$F$533,MATCH($C325,觀察名單!$B$2:$B$533,0)),"")</f>
        <v>USD</v>
      </c>
      <c r="E325" s="16">
        <f>IF($D325&lt;&gt;"USD","",IFERROR(INDEX(觀察名單!$L$2:$L$533,MATCH($C325,觀察名單!$B$2:$B$533,0)),""))</f>
        <v>10397.0</v>
      </c>
      <c r="F325" s="16">
        <f>IF($D325&lt;&gt;"USD","",IFERROR(INDEX(觀察名單!$Q$2:$Q$533,MATCH($C325,觀察名單!$B$2:$B$533,0)),""))</f>
        <v>1629.0</v>
      </c>
    </row>
    <row r="326">
      <c r="A326" s="15" t="inlineStr">
        <is>
          <t>子板塊</t>
        </is>
      </c>
      <c r="B326" s="15" t="inlineStr">
        <is>
          <t>AI加速晶片/GPU</t>
        </is>
      </c>
      <c r="C326" s="15" t="inlineStr">
        <is>
          <t>NVDA</t>
        </is>
      </c>
      <c r="D326" s="15" t="str">
        <f>IFERROR(INDEX(觀察名單!$F$2:$F$533,MATCH($C326,觀察名單!$B$2:$B$533,0)),"")</f>
        <v>USD</v>
      </c>
      <c r="E326" s="16">
        <f>IF($D326&lt;&gt;"USD","",IFERROR(INDEX(觀察名單!$L$2:$L$533,MATCH($C326,觀察名單!$B$2:$B$533,0)),""))</f>
        <v>96221.0</v>
      </c>
      <c r="F326" s="16">
        <f>IF($D326&lt;&gt;"USD","",IFERROR(INDEX(觀察名單!$Q$2:$Q$533,MATCH($C326,觀察名單!$B$2:$B$533,0)),""))</f>
        <v>63734.0</v>
      </c>
    </row>
    <row r="327">
      <c r="A327" s="15" t="inlineStr">
        <is>
          <t>子板塊</t>
        </is>
      </c>
      <c r="B327" s="15" t="inlineStr">
        <is>
          <t>GLP-1減重與代謝</t>
        </is>
      </c>
      <c r="C327" s="15" t="inlineStr">
        <is>
          <t>NVO</t>
        </is>
      </c>
      <c r="D327" s="15" t="str">
        <f>IFERROR(INDEX(觀察名單!$F$2:$F$533,MATCH($C327,觀察名單!$B$2:$B$533,0)),"")</f>
        <v>DKK</v>
      </c>
      <c r="E327" s="16" t="str">
        <f>IF($D327&lt;&gt;"USD","",IFERROR(INDEX(觀察名單!$L$2:$L$533,MATCH($C327,觀察名單!$B$2:$B$533,0)),""))</f>
        <v/>
      </c>
      <c r="F327" s="16" t="str">
        <f>IF($D327&lt;&gt;"USD","",IFERROR(INDEX(觀察名單!$Q$2:$Q$533,MATCH($C327,觀察名單!$B$2:$B$533,0)),""))</f>
        <v/>
      </c>
    </row>
    <row r="328">
      <c r="A328" s="15" t="inlineStr">
        <is>
          <t>子板塊</t>
        </is>
      </c>
      <c r="B328" s="15" t="inlineStr">
        <is>
          <t>住宅建築商</t>
        </is>
      </c>
      <c r="C328" s="15" t="inlineStr">
        <is>
          <t>NVR</t>
        </is>
      </c>
      <c r="D328" s="15" t="str">
        <f>IFERROR(INDEX(觀察名單!$F$2:$F$533,MATCH($C328,觀察名單!$B$2:$B$533,0)),"")</f>
        <v>USD</v>
      </c>
      <c r="E328" s="16">
        <f>IF($D328&lt;&gt;"USD","",IFERROR(INDEX(觀察名單!$L$2:$L$533,MATCH($C328,觀察名單!$B$2:$B$533,0)),""))</f>
        <v>2330.339</v>
      </c>
      <c r="F328" s="16">
        <f>IF($D328&lt;&gt;"USD","",IFERROR(INDEX(觀察名單!$Q$2:$Q$533,MATCH($C328,觀察名單!$B$2:$B$533,0)),""))</f>
        <v>312.248</v>
      </c>
    </row>
    <row r="329">
      <c r="A329" s="15" t="inlineStr">
        <is>
          <t>子板塊</t>
        </is>
      </c>
      <c r="B329" s="15" t="inlineStr">
        <is>
          <t>傳媒與娛樂內容</t>
        </is>
      </c>
      <c r="C329" s="15" t="inlineStr">
        <is>
          <t>NWSA</t>
        </is>
      </c>
      <c r="D329" s="15" t="str">
        <f>IFERROR(INDEX(觀察名單!$F$2:$F$533,MATCH($C329,觀察名單!$B$2:$B$533,0)),"")</f>
        <v>USD</v>
      </c>
      <c r="E329" s="16">
        <f>IF($D329&lt;&gt;"USD","",IFERROR(INDEX(觀察名單!$L$2:$L$533,MATCH($C329,觀察名單!$B$2:$B$533,0)),""))</f>
        <v>2337.0</v>
      </c>
      <c r="F329" s="16">
        <f>IF($D329&lt;&gt;"USD","",IFERROR(INDEX(觀察名單!$Q$2:$Q$533,MATCH($C329,觀察名單!$B$2:$B$533,0)),""))</f>
        <v>295.0</v>
      </c>
    </row>
    <row r="330">
      <c r="A330" s="15" t="inlineStr">
        <is>
          <t>子板塊</t>
        </is>
      </c>
      <c r="B330" s="15" t="inlineStr">
        <is>
          <t>類比/功率半導體</t>
        </is>
      </c>
      <c r="C330" s="15" t="inlineStr">
        <is>
          <t>NXPI</t>
        </is>
      </c>
      <c r="D330" s="15" t="str">
        <f>IFERROR(INDEX(觀察名單!$F$2:$F$533,MATCH($C330,觀察名單!$B$2:$B$533,0)),"")</f>
        <v>USD</v>
      </c>
      <c r="E330" s="16">
        <f>IF($D330&lt;&gt;"USD","",IFERROR(INDEX(觀察名單!$L$2:$L$533,MATCH($C330,觀察名單!$B$2:$B$533,0)),""))</f>
        <v>3496.0</v>
      </c>
      <c r="F330" s="16">
        <f>IF($D330&lt;&gt;"USD","",IFERROR(INDEX(觀察名單!$Q$2:$Q$533,MATCH($C330,觀察名單!$B$2:$B$533,0)),""))</f>
        <v>1076.0</v>
      </c>
    </row>
    <row r="331">
      <c r="A331" s="15" t="inlineStr">
        <is>
          <t>子板塊</t>
        </is>
      </c>
      <c r="B331" s="15" t="inlineStr">
        <is>
          <t>再生能源與太陽能</t>
        </is>
      </c>
      <c r="C331" s="15" t="inlineStr">
        <is>
          <t>NXT</t>
        </is>
      </c>
      <c r="D331" s="15" t="str">
        <f>IFERROR(INDEX(觀察名單!$F$2:$F$533,MATCH($C331,觀察名單!$B$2:$B$533,0)),"")</f>
        <v>USD</v>
      </c>
      <c r="E331" s="16">
        <f>IF($D331&lt;&gt;"USD","",IFERROR(INDEX(觀察名單!$L$2:$L$533,MATCH($C331,觀察名單!$B$2:$B$533,0)),""))</f>
        <v>935.17</v>
      </c>
      <c r="F331" s="16">
        <f>IF($D331&lt;&gt;"USD","",IFERROR(INDEX(觀察名單!$Q$2:$Q$533,MATCH($C331,觀察名單!$B$2:$B$533,0)),""))</f>
        <v>190.907</v>
      </c>
    </row>
    <row r="332">
      <c r="A332" s="15" t="inlineStr">
        <is>
          <t>子板塊</t>
        </is>
      </c>
      <c r="B332" s="15" t="inlineStr">
        <is>
          <t>零售與購物中心REIT</t>
        </is>
      </c>
      <c r="C332" s="15" t="inlineStr">
        <is>
          <t>O</t>
        </is>
      </c>
      <c r="D332" s="15" t="str">
        <f>IFERROR(INDEX(觀察名單!$F$2:$F$533,MATCH($C332,觀察名單!$B$2:$B$533,0)),"")</f>
        <v>USD</v>
      </c>
      <c r="E332" s="16">
        <f>IF($D332&lt;&gt;"USD","",IFERROR(INDEX(觀察名單!$L$2:$L$533,MATCH($C332,觀察名單!$B$2:$B$533,0)),""))</f>
        <v>1427.17</v>
      </c>
      <c r="F332" s="16">
        <f>IF($D332&lt;&gt;"USD","",IFERROR(INDEX(觀察名單!$Q$2:$Q$533,MATCH($C332,觀察名單!$B$2:$B$533,0)),""))</f>
        <v>605.191</v>
      </c>
    </row>
    <row r="333">
      <c r="A333" s="15" t="inlineStr">
        <is>
          <t>子板塊</t>
        </is>
      </c>
      <c r="B333" s="15" t="inlineStr">
        <is>
          <t>貨運與物流</t>
        </is>
      </c>
      <c r="C333" s="15" t="inlineStr">
        <is>
          <t>ODFL</t>
        </is>
      </c>
      <c r="D333" s="15" t="str">
        <f>IFERROR(INDEX(觀察名單!$F$2:$F$533,MATCH($C333,觀察名單!$B$2:$B$533,0)),"")</f>
        <v>USD</v>
      </c>
      <c r="E333" s="16">
        <f>IF($D333&lt;&gt;"USD","",IFERROR(INDEX(觀察名單!$L$2:$L$533,MATCH($C333,觀察名單!$B$2:$B$533,0)),""))</f>
        <v>1554.004</v>
      </c>
      <c r="F333" s="16">
        <f>IF($D333&lt;&gt;"USD","",IFERROR(INDEX(觀察名單!$Q$2:$Q$533,MATCH($C333,觀察名單!$B$2:$B$533,0)),""))</f>
        <v>465.301</v>
      </c>
    </row>
    <row r="334">
      <c r="A334" s="15" t="inlineStr">
        <is>
          <t>子板塊</t>
        </is>
      </c>
      <c r="B334" s="15" t="inlineStr">
        <is>
          <t>醫療與長者住宅REIT</t>
        </is>
      </c>
      <c r="C334" s="15" t="inlineStr">
        <is>
          <t>OHI</t>
        </is>
      </c>
      <c r="D334" s="15" t="str">
        <f>IFERROR(INDEX(觀察名單!$F$2:$F$533,MATCH($C334,觀察名單!$B$2:$B$533,0)),"")</f>
        <v>USD</v>
      </c>
      <c r="E334" s="16">
        <f>IF($D334&lt;&gt;"USD","",IFERROR(INDEX(觀察名單!$L$2:$L$533,MATCH($C334,觀察名單!$B$2:$B$533,0)),""))</f>
        <v>328.246</v>
      </c>
      <c r="F334" s="16">
        <f>IF($D334&lt;&gt;"USD","",IFERROR(INDEX(觀察名單!$Q$2:$Q$533,MATCH($C334,觀察名單!$B$2:$B$533,0)),""))</f>
        <v>193.229</v>
      </c>
    </row>
    <row r="335">
      <c r="A335" s="15" t="inlineStr">
        <is>
          <t>子板塊</t>
        </is>
      </c>
      <c r="B335" s="15" t="inlineStr">
        <is>
          <t>中游與管道</t>
        </is>
      </c>
      <c r="C335" s="15" t="inlineStr">
        <is>
          <t>OKE</t>
        </is>
      </c>
      <c r="D335" s="15" t="str">
        <f>IFERROR(INDEX(觀察名單!$F$2:$F$533,MATCH($C335,觀察名單!$B$2:$B$533,0)),"")</f>
        <v>USD</v>
      </c>
      <c r="E335" s="16">
        <f>IF($D335&lt;&gt;"USD","",IFERROR(INDEX(觀察名單!$L$2:$L$533,MATCH($C335,觀察名單!$B$2:$B$533,0)),""))</f>
        <v>12049.0</v>
      </c>
      <c r="F335" s="16">
        <f>IF($D335&lt;&gt;"USD","",IFERROR(INDEX(觀察名單!$Q$2:$Q$533,MATCH($C335,觀察名單!$B$2:$B$533,0)),""))</f>
        <v>1597.0</v>
      </c>
    </row>
    <row r="336">
      <c r="A336" s="15" t="inlineStr">
        <is>
          <t>子板塊</t>
        </is>
      </c>
      <c r="B336" s="15" t="inlineStr">
        <is>
          <t>小型模組化核能SMR</t>
        </is>
      </c>
      <c r="C336" s="15" t="inlineStr">
        <is>
          <t>OKLO</t>
        </is>
      </c>
      <c r="D336" s="15" t="str">
        <f>IFERROR(INDEX(觀察名單!$F$2:$F$533,MATCH($C336,觀察名單!$B$2:$B$533,0)),"")</f>
        <v>USD</v>
      </c>
      <c r="E336" s="16">
        <f>IF($D336&lt;&gt;"USD","",IFERROR(INDEX(觀察名單!$L$2:$L$533,MATCH($C336,觀察名單!$B$2:$B$533,0)),""))</f>
        <v>1.21</v>
      </c>
      <c r="F336" s="16">
        <f>IF($D336&lt;&gt;"USD","",IFERROR(INDEX(觀察名單!$Q$2:$Q$533,MATCH($C336,觀察名單!$B$2:$B$533,0)),""))</f>
        <v>-73.19</v>
      </c>
    </row>
    <row r="337">
      <c r="A337" s="15" t="inlineStr">
        <is>
          <t>子板塊</t>
        </is>
      </c>
      <c r="B337" s="15" t="inlineStr">
        <is>
          <t>類比/功率半導體</t>
        </is>
      </c>
      <c r="C337" s="15" t="inlineStr">
        <is>
          <t>ON</t>
        </is>
      </c>
      <c r="D337" s="15" t="str">
        <f>IFERROR(INDEX(觀察名單!$F$2:$F$533,MATCH($C337,觀察名單!$B$2:$B$533,0)),"")</f>
        <v>USD</v>
      </c>
      <c r="E337" s="16">
        <f>IF($D337&lt;&gt;"USD","",IFERROR(INDEX(觀察名單!$L$2:$L$533,MATCH($C337,觀察名單!$B$2:$B$533,0)),""))</f>
        <v>1603.5</v>
      </c>
      <c r="F337" s="16">
        <f>IF($D337&lt;&gt;"USD","",IFERROR(INDEX(觀察名單!$Q$2:$Q$533,MATCH($C337,觀察名單!$B$2:$B$533,0)),""))</f>
        <v>299.8</v>
      </c>
    </row>
    <row r="338">
      <c r="A338" s="15" t="inlineStr">
        <is>
          <t>子板塊</t>
        </is>
      </c>
      <c r="B338" s="15" t="inlineStr">
        <is>
          <t>國防科技與無人機</t>
        </is>
      </c>
      <c r="C338" s="15" t="inlineStr">
        <is>
          <t>ONDS</t>
        </is>
      </c>
      <c r="D338" s="15" t="str">
        <f>IFERROR(INDEX(觀察名單!$F$2:$F$533,MATCH($C338,觀察名單!$B$2:$B$533,0)),"")</f>
        <v>USD</v>
      </c>
      <c r="E338" s="16">
        <f>IF($D338&lt;&gt;"USD","",IFERROR(INDEX(觀察名單!$L$2:$L$533,MATCH($C338,觀察名單!$B$2:$B$533,0)),""))</f>
        <v>83.772</v>
      </c>
      <c r="F338" s="16">
        <f>IF($D338&lt;&gt;"USD","",IFERROR(INDEX(觀察名單!$Q$2:$Q$533,MATCH($C338,觀察名單!$B$2:$B$533,0)),""))</f>
        <v>-143.712</v>
      </c>
    </row>
    <row r="339">
      <c r="A339" s="15" t="inlineStr">
        <is>
          <t>子板塊</t>
        </is>
      </c>
      <c r="B339" s="15" t="inlineStr">
        <is>
          <t>服裝與奢侈品</t>
        </is>
      </c>
      <c r="C339" s="15" t="inlineStr">
        <is>
          <t>ONON</t>
        </is>
      </c>
      <c r="D339" s="15" t="str">
        <f>IFERROR(INDEX(觀察名單!$F$2:$F$533,MATCH($C339,觀察名單!$B$2:$B$533,0)),"")</f>
        <v>CHF</v>
      </c>
      <c r="E339" s="16" t="str">
        <f>IF($D339&lt;&gt;"USD","",IFERROR(INDEX(觀察名單!$L$2:$L$533,MATCH($C339,觀察名單!$B$2:$B$533,0)),""))</f>
        <v/>
      </c>
      <c r="F339" s="16" t="str">
        <f>IF($D339&lt;&gt;"USD","",IFERROR(INDEX(觀察名單!$Q$2:$Q$533,MATCH($C339,觀察名單!$B$2:$B$533,0)),""))</f>
        <v/>
      </c>
    </row>
    <row r="340">
      <c r="A340" s="15" t="inlineStr">
        <is>
          <t>子板塊</t>
        </is>
      </c>
      <c r="B340" s="15" t="inlineStr">
        <is>
          <t>地產開發與服務</t>
        </is>
      </c>
      <c r="C340" s="15" t="inlineStr">
        <is>
          <t>OPEN</t>
        </is>
      </c>
      <c r="D340" s="15" t="str">
        <f>IFERROR(INDEX(觀察名單!$F$2:$F$533,MATCH($C340,觀察名單!$B$2:$B$533,0)),"")</f>
        <v>USD</v>
      </c>
      <c r="E340" s="16">
        <f>IF($D340&lt;&gt;"USD","",IFERROR(INDEX(觀察名單!$L$2:$L$533,MATCH($C340,觀察名單!$B$2:$B$533,0)),""))</f>
        <v>883.0</v>
      </c>
      <c r="F340" s="16">
        <f>IF($D340&lt;&gt;"USD","",IFERROR(INDEX(觀察名單!$Q$2:$Q$533,MATCH($C340,觀察名單!$B$2:$B$533,0)),""))</f>
        <v>-141.0</v>
      </c>
    </row>
    <row r="341">
      <c r="A341" s="15" t="inlineStr">
        <is>
          <t>子板塊</t>
        </is>
      </c>
      <c r="B341" s="15" t="inlineStr">
        <is>
          <t>數位醫療與遠距醫療</t>
        </is>
      </c>
      <c r="C341" s="15" t="inlineStr">
        <is>
          <t>OSCR</t>
        </is>
      </c>
      <c r="D341" s="15" t="str">
        <f>IFERROR(INDEX(觀察名單!$F$2:$F$533,MATCH($C341,觀察名單!$B$2:$B$533,0)),"")</f>
        <v>USD</v>
      </c>
      <c r="E341" s="16">
        <f>IF($D341&lt;&gt;"USD","",IFERROR(INDEX(觀察名單!$L$2:$L$533,MATCH($C341,觀察名單!$B$2:$B$533,0)),""))</f>
        <v>4880.22</v>
      </c>
      <c r="F341" s="16">
        <f>IF($D341&lt;&gt;"USD","",IFERROR(INDEX(觀察名單!$Q$2:$Q$533,MATCH($C341,觀察名單!$B$2:$B$533,0)),""))</f>
        <v>387.72</v>
      </c>
    </row>
    <row r="342">
      <c r="A342" s="15" t="inlineStr">
        <is>
          <t>子板塊</t>
        </is>
      </c>
      <c r="B342" s="15" t="inlineStr">
        <is>
          <t>另類資產與私募信貸</t>
        </is>
      </c>
      <c r="C342" s="15" t="inlineStr">
        <is>
          <t>OWL</t>
        </is>
      </c>
      <c r="D342" s="15" t="str">
        <f>IFERROR(INDEX(觀察名單!$F$2:$F$533,MATCH($C342,觀察名單!$B$2:$B$533,0)),"")</f>
        <v>USD</v>
      </c>
      <c r="E342" s="16">
        <f>IF($D342&lt;&gt;"USD","",IFERROR(INDEX(觀察名單!$L$2:$L$533,MATCH($C342,觀察名單!$B$2:$B$533,0)),""))</f>
        <v>753.052</v>
      </c>
      <c r="F342" s="16">
        <f>IF($D342&lt;&gt;"USD","",IFERROR(INDEX(觀察名單!$Q$2:$Q$533,MATCH($C342,觀察名單!$B$2:$B$533,0)),""))</f>
        <v>116.411</v>
      </c>
    </row>
    <row r="343">
      <c r="A343" s="15" t="inlineStr">
        <is>
          <t>子板塊</t>
        </is>
      </c>
      <c r="B343" s="15" t="inlineStr">
        <is>
          <t>頁岩E&amp;P勘探生產</t>
        </is>
      </c>
      <c r="C343" s="15" t="inlineStr">
        <is>
          <t>OXY</t>
        </is>
      </c>
      <c r="D343" s="15" t="str">
        <f>IFERROR(INDEX(觀察名單!$F$2:$F$533,MATCH($C343,觀察名單!$B$2:$B$533,0)),"")</f>
        <v>USD</v>
      </c>
      <c r="E343" s="16">
        <f>IF($D343&lt;&gt;"USD","",IFERROR(INDEX(觀察名單!$L$2:$L$533,MATCH($C343,觀察名單!$B$2:$B$533,0)),""))</f>
        <v>8065.0</v>
      </c>
      <c r="F343" s="16">
        <f>IF($D343&lt;&gt;"USD","",IFERROR(INDEX(觀察名單!$Q$2:$Q$533,MATCH($C343,觀察名單!$B$2:$B$533,0)),""))</f>
        <v>3665.0</v>
      </c>
    </row>
    <row r="344">
      <c r="A344" s="15" t="inlineStr">
        <is>
          <t>子板塊</t>
        </is>
      </c>
      <c r="B344" s="15" t="inlineStr">
        <is>
          <t>白銀礦</t>
        </is>
      </c>
      <c r="C344" s="15" t="inlineStr">
        <is>
          <t>PAAS</t>
        </is>
      </c>
      <c r="D344" s="15" t="str">
        <f>IFERROR(INDEX(觀察名單!$F$2:$F$533,MATCH($C344,觀察名單!$B$2:$B$533,0)),"")</f>
        <v>USD</v>
      </c>
      <c r="E344" s="16">
        <f>IF($D344&lt;&gt;"USD","",IFERROR(INDEX(觀察名單!$L$2:$L$533,MATCH($C344,觀察名單!$B$2:$B$533,0)),""))</f>
        <v>1124.0</v>
      </c>
      <c r="F344" s="16">
        <f>IF($D344&lt;&gt;"USD","",IFERROR(INDEX(觀察名單!$Q$2:$Q$533,MATCH($C344,觀察名單!$B$2:$B$533,0)),""))</f>
        <v>427.0</v>
      </c>
    </row>
    <row r="345">
      <c r="A345" s="15" t="inlineStr">
        <is>
          <t>子板塊</t>
        </is>
      </c>
      <c r="B345" s="15" t="inlineStr">
        <is>
          <t>網絡安全</t>
        </is>
      </c>
      <c r="C345" s="15" t="inlineStr">
        <is>
          <t>PANW</t>
        </is>
      </c>
      <c r="D345" s="15" t="str">
        <f>IFERROR(INDEX(觀察名單!$F$2:$F$533,MATCH($C345,觀察名單!$B$2:$B$533,0)),"")</f>
        <v>USD</v>
      </c>
      <c r="E345" s="16">
        <f>IF($D345&lt;&gt;"USD","",IFERROR(INDEX(觀察名單!$L$2:$L$533,MATCH($C345,觀察名單!$B$2:$B$533,0)),""))</f>
        <v>3002.0</v>
      </c>
      <c r="F345" s="16">
        <f>IF($D345&lt;&gt;"USD","",IFERROR(INDEX(觀察名單!$Q$2:$Q$533,MATCH($C345,觀察名單!$B$2:$B$533,0)),""))</f>
        <v>-183.0</v>
      </c>
    </row>
    <row r="346">
      <c r="A346" s="15" t="inlineStr">
        <is>
          <t>子板塊</t>
        </is>
      </c>
      <c r="B346" s="15" t="inlineStr">
        <is>
          <t>傳媒與娛樂內容</t>
        </is>
      </c>
      <c r="C346" s="15" t="inlineStr">
        <is>
          <t>PARA</t>
        </is>
      </c>
      <c r="D346" s="15" t="str">
        <f>IFERROR(INDEX(觀察名單!$F$2:$F$533,MATCH($C346,觀察名單!$B$2:$B$533,0)),"")</f>
        <v>USD</v>
      </c>
      <c r="E346" s="16">
        <f>IF($D346&lt;&gt;"USD","",IFERROR(INDEX(觀察名單!$L$2:$L$533,MATCH($C346,觀察名單!$B$2:$B$533,0)),""))</f>
        <v>2.273</v>
      </c>
      <c r="F346" s="16">
        <f>IF($D346&lt;&gt;"USD","",IFERROR(INDEX(觀察名單!$Q$2:$Q$533,MATCH($C346,觀察名單!$B$2:$B$533,0)),""))</f>
        <v>-4.386</v>
      </c>
    </row>
    <row r="347">
      <c r="A347" s="15" t="inlineStr">
        <is>
          <t>子板塊</t>
        </is>
      </c>
      <c r="B347" s="15" t="inlineStr">
        <is>
          <t>人力與商業服務</t>
        </is>
      </c>
      <c r="C347" s="15" t="inlineStr">
        <is>
          <t>PAYX</t>
        </is>
      </c>
      <c r="D347" s="15" t="str">
        <f>IFERROR(INDEX(觀察名單!$F$2:$F$533,MATCH($C347,觀察名單!$B$2:$B$533,0)),"")</f>
        <v>USD</v>
      </c>
      <c r="E347" s="16">
        <f>IF($D347&lt;&gt;"USD","",IFERROR(INDEX(觀察名單!$L$2:$L$533,MATCH($C347,觀察名單!$B$2:$B$533,0)),""))</f>
        <v>1605.5</v>
      </c>
      <c r="F347" s="16">
        <f>IF($D347&lt;&gt;"USD","",IFERROR(INDEX(觀察名單!$Q$2:$Q$533,MATCH($C347,觀察名單!$B$2:$B$533,0)),""))</f>
        <v>604.7</v>
      </c>
    </row>
    <row r="348">
      <c r="A348" s="15" t="inlineStr">
        <is>
          <t>子板塊</t>
        </is>
      </c>
      <c r="B348" s="15" t="inlineStr">
        <is>
          <t>機械與重工</t>
        </is>
      </c>
      <c r="C348" s="15" t="inlineStr">
        <is>
          <t>PCAR</t>
        </is>
      </c>
      <c r="D348" s="15" t="str">
        <f>IFERROR(INDEX(觀察名單!$F$2:$F$533,MATCH($C348,觀察名單!$B$2:$B$533,0)),"")</f>
        <v>USD</v>
      </c>
      <c r="E348" s="16">
        <f>IF($D348&lt;&gt;"USD","",IFERROR(INDEX(觀察名單!$L$2:$L$533,MATCH($C348,觀察名單!$B$2:$B$533,0)),""))</f>
        <v>7546.7</v>
      </c>
      <c r="F348" s="16">
        <f>IF($D348&lt;&gt;"USD","",IFERROR(INDEX(觀察名單!$Q$2:$Q$533,MATCH($C348,觀察名單!$B$2:$B$533,0)),""))</f>
        <v>879.2</v>
      </c>
    </row>
    <row r="349">
      <c r="A349" s="15" t="inlineStr">
        <is>
          <t>子板塊</t>
        </is>
      </c>
      <c r="B349" s="15" t="inlineStr">
        <is>
          <t>非酒精飲品</t>
        </is>
      </c>
      <c r="C349" s="15" t="inlineStr">
        <is>
          <t>PEP</t>
        </is>
      </c>
      <c r="D349" s="15" t="str">
        <f>IFERROR(INDEX(觀察名單!$F$2:$F$533,MATCH($C349,觀察名單!$B$2:$B$533,0)),"")</f>
        <v>USD</v>
      </c>
      <c r="E349" s="16">
        <f>IF($D349&lt;&gt;"USD","",IFERROR(INDEX(觀察名單!$L$2:$L$533,MATCH($C349,觀察名單!$B$2:$B$533,0)),""))</f>
        <v>24181.0</v>
      </c>
      <c r="F349" s="16">
        <f>IF($D349&lt;&gt;"USD","",IFERROR(INDEX(觀察名單!$Q$2:$Q$533,MATCH($C349,觀察名單!$B$2:$B$533,0)),""))</f>
        <v>4023.0</v>
      </c>
    </row>
    <row r="350">
      <c r="A350" s="15" t="inlineStr">
        <is>
          <t>子板塊</t>
        </is>
      </c>
      <c r="B350" s="15" t="inlineStr">
        <is>
          <t>大型藥廠</t>
        </is>
      </c>
      <c r="C350" s="15" t="inlineStr">
        <is>
          <t>PFE</t>
        </is>
      </c>
      <c r="D350" s="15" t="str">
        <f>IFERROR(INDEX(觀察名單!$F$2:$F$533,MATCH($C350,觀察名單!$B$2:$B$533,0)),"")</f>
        <v>USD</v>
      </c>
      <c r="E350" s="16">
        <f>IF($D350&lt;&gt;"USD","",IFERROR(INDEX(觀察名單!$L$2:$L$533,MATCH($C350,觀察名單!$B$2:$B$533,0)),""))</f>
        <v>15034.0</v>
      </c>
      <c r="F350" s="16">
        <f>IF($D350&lt;&gt;"USD","",IFERROR(INDEX(觀察名單!$Q$2:$Q$533,MATCH($C350,觀察名單!$B$2:$B$533,0)),""))</f>
        <v>3537.0</v>
      </c>
    </row>
    <row r="351">
      <c r="A351" s="15" t="inlineStr">
        <is>
          <t>子板塊</t>
        </is>
      </c>
      <c r="B351" s="15" t="inlineStr">
        <is>
          <t>必需品分銷</t>
        </is>
      </c>
      <c r="C351" s="15" t="inlineStr">
        <is>
          <t>PFGC</t>
        </is>
      </c>
      <c r="D351" s="15" t="str">
        <f>IFERROR(INDEX(觀察名單!$F$2:$F$533,MATCH($C351,觀察名單!$B$2:$B$533,0)),"")</f>
        <v>USD</v>
      </c>
      <c r="E351" s="16">
        <f>IF($D351&lt;&gt;"USD","",IFERROR(INDEX(觀察名單!$L$2:$L$533,MATCH($C351,觀察名單!$B$2:$B$533,0)),""))</f>
        <v>18028.9</v>
      </c>
      <c r="F351" s="16">
        <f>IF($D351&lt;&gt;"USD","",IFERROR(INDEX(觀察名單!$Q$2:$Q$533,MATCH($C351,觀察名單!$B$2:$B$533,0)),""))</f>
        <v>323.8</v>
      </c>
    </row>
    <row r="352">
      <c r="A352" s="15" t="inlineStr">
        <is>
          <t>子板塊</t>
        </is>
      </c>
      <c r="B352" s="15" t="inlineStr">
        <is>
          <t>家庭與個人護理</t>
        </is>
      </c>
      <c r="C352" s="15" t="inlineStr">
        <is>
          <t>PG</t>
        </is>
      </c>
      <c r="D352" s="15" t="str">
        <f>IFERROR(INDEX(觀察名單!$F$2:$F$533,MATCH($C352,觀察名單!$B$2:$B$533,0)),"")</f>
        <v>USD</v>
      </c>
      <c r="E352" s="16">
        <f>IF($D352&lt;&gt;"USD","",IFERROR(INDEX(觀察名單!$L$2:$L$533,MATCH($C352,觀察名單!$B$2:$B$533,0)),""))</f>
        <v>21204.0</v>
      </c>
      <c r="F352" s="16">
        <f>IF($D352&lt;&gt;"USD","",IFERROR(INDEX(觀察名單!$Q$2:$Q$533,MATCH($C352,觀察名單!$B$2:$B$533,0)),""))</f>
        <v>3950.0</v>
      </c>
    </row>
    <row r="353">
      <c r="A353" s="15" t="inlineStr">
        <is>
          <t>子板塊</t>
        </is>
      </c>
      <c r="B353" s="15" t="inlineStr">
        <is>
          <t>產險與再保</t>
        </is>
      </c>
      <c r="C353" s="15" t="inlineStr">
        <is>
          <t>PGR</t>
        </is>
      </c>
      <c r="D353" s="15" t="str">
        <f>IFERROR(INDEX(觀察名單!$F$2:$F$533,MATCH($C353,觀察名單!$B$2:$B$533,0)),"")</f>
        <v>USD</v>
      </c>
      <c r="E353" s="16">
        <f>IF($D353&lt;&gt;"USD","",IFERROR(INDEX(觀察名單!$L$2:$L$533,MATCH($C353,觀察名單!$B$2:$B$533,0)),""))</f>
        <v>23599.0</v>
      </c>
      <c r="F353" s="16">
        <f>IF($D353&lt;&gt;"USD","",IFERROR(INDEX(觀察名單!$Q$2:$Q$533,MATCH($C353,觀察名單!$B$2:$B$533,0)),""))</f>
        <v>4297.0</v>
      </c>
    </row>
    <row r="354">
      <c r="A354" s="15" t="inlineStr">
        <is>
          <t>子板塊</t>
        </is>
      </c>
      <c r="B354" s="15" t="inlineStr">
        <is>
          <t>住宅建築商</t>
        </is>
      </c>
      <c r="C354" s="15" t="inlineStr">
        <is>
          <t>PHM</t>
        </is>
      </c>
      <c r="D354" s="15" t="str">
        <f>IFERROR(INDEX(觀察名單!$F$2:$F$533,MATCH($C354,觀察名單!$B$2:$B$533,0)),"")</f>
        <v>USD</v>
      </c>
      <c r="E354" s="16">
        <f>IF($D354&lt;&gt;"USD","",IFERROR(INDEX(觀察名單!$L$2:$L$533,MATCH($C354,觀察名單!$B$2:$B$533,0)),""))</f>
        <v>3982.957</v>
      </c>
      <c r="F354" s="16">
        <f>IF($D354&lt;&gt;"USD","",IFERROR(INDEX(觀察名單!$Q$2:$Q$533,MATCH($C354,觀察名單!$B$2:$B$533,0)),""))</f>
        <v>613.143</v>
      </c>
    </row>
    <row r="355">
      <c r="A355" s="15" t="inlineStr">
        <is>
          <t>子板塊</t>
        </is>
      </c>
      <c r="B355" s="15" t="inlineStr">
        <is>
          <t>社交與線上社群</t>
        </is>
      </c>
      <c r="C355" s="15" t="inlineStr">
        <is>
          <t>PINS</t>
        </is>
      </c>
      <c r="D355" s="15" t="str">
        <f>IFERROR(INDEX(觀察名單!$F$2:$F$533,MATCH($C355,觀察名單!$B$2:$B$533,0)),"")</f>
        <v>USD</v>
      </c>
      <c r="E355" s="16">
        <f>IF($D355&lt;&gt;"USD","",IFERROR(INDEX(觀察名單!$L$2:$L$533,MATCH($C355,觀察名單!$B$2:$B$533,0)),""))</f>
        <v>1179.654</v>
      </c>
      <c r="F355" s="16">
        <f>IF($D355&lt;&gt;"USD","",IFERROR(INDEX(觀察名單!$Q$2:$Q$533,MATCH($C355,觀察名單!$B$2:$B$533,0)),""))</f>
        <v>-40.863</v>
      </c>
    </row>
    <row r="356">
      <c r="A356" s="15" t="inlineStr">
        <is>
          <t>子板塊</t>
        </is>
      </c>
      <c r="B356" s="15" t="inlineStr">
        <is>
          <t>包裝與建材</t>
        </is>
      </c>
      <c r="C356" s="15" t="inlineStr">
        <is>
          <t>PKG</t>
        </is>
      </c>
      <c r="D356" s="15" t="str">
        <f>IFERROR(INDEX(觀察名單!$F$2:$F$533,MATCH($C356,觀察名單!$B$2:$B$533,0)),"")</f>
        <v>USD</v>
      </c>
      <c r="E356" s="16">
        <f>IF($D356&lt;&gt;"USD","",IFERROR(INDEX(觀察名單!$L$2:$L$533,MATCH($C356,觀察名單!$B$2:$B$533,0)),""))</f>
        <v>2489.9</v>
      </c>
      <c r="F356" s="16">
        <f>IF($D356&lt;&gt;"USD","",IFERROR(INDEX(觀察名單!$Q$2:$Q$533,MATCH($C356,觀察名單!$B$2:$B$533,0)),""))</f>
        <v>333.2</v>
      </c>
    </row>
    <row r="357">
      <c r="A357" s="15" t="inlineStr">
        <is>
          <t>子板塊</t>
        </is>
      </c>
      <c r="B357" s="15" t="inlineStr">
        <is>
          <t>太空與衛星</t>
        </is>
      </c>
      <c r="C357" s="15" t="inlineStr">
        <is>
          <t>PL</t>
        </is>
      </c>
      <c r="D357" s="15" t="str">
        <f>IFERROR(INDEX(觀察名單!$F$2:$F$533,MATCH($C357,觀察名單!$B$2:$B$533,0)),"")</f>
        <v>USD</v>
      </c>
      <c r="E357" s="16">
        <f>IF($D357&lt;&gt;"USD","",IFERROR(INDEX(觀察名單!$L$2:$L$533,MATCH($C357,觀察名單!$B$2:$B$533,0)),""))</f>
        <v>116.052</v>
      </c>
      <c r="F357" s="16">
        <f>IF($D357&lt;&gt;"USD","",IFERROR(INDEX(觀察名單!$Q$2:$Q$533,MATCH($C357,觀察名單!$B$2:$B$533,0)),""))</f>
        <v>-13.509</v>
      </c>
    </row>
    <row r="358">
      <c r="A358" s="15" t="inlineStr">
        <is>
          <t>子板塊</t>
        </is>
      </c>
      <c r="B358" s="15" t="inlineStr">
        <is>
          <t>工業與物流REIT</t>
        </is>
      </c>
      <c r="C358" s="15" t="inlineStr">
        <is>
          <t>PLD</t>
        </is>
      </c>
      <c r="D358" s="15" t="str">
        <f>IFERROR(INDEX(觀察名單!$F$2:$F$533,MATCH($C358,觀察名單!$B$2:$B$533,0)),"")</f>
        <v>USD</v>
      </c>
      <c r="E358" s="16">
        <f>IF($D358&lt;&gt;"USD","",IFERROR(INDEX(觀察名單!$L$2:$L$533,MATCH($C358,觀察名單!$B$2:$B$533,0)),""))</f>
        <v>2425.452</v>
      </c>
      <c r="F358" s="16">
        <f>IF($D358&lt;&gt;"USD","",IFERROR(INDEX(觀察名單!$Q$2:$Q$533,MATCH($C358,觀察名單!$B$2:$B$533,0)),""))</f>
        <v>959.691</v>
      </c>
    </row>
    <row r="359">
      <c r="A359" s="15" t="inlineStr">
        <is>
          <t>子板塊</t>
        </is>
      </c>
      <c r="B359" s="15" t="inlineStr">
        <is>
          <t>互動遊戲</t>
        </is>
      </c>
      <c r="C359" s="15" t="inlineStr">
        <is>
          <t>PLTK</t>
        </is>
      </c>
      <c r="D359" s="15" t="str">
        <f>IFERROR(INDEX(觀察名單!$F$2:$F$533,MATCH($C359,觀察名單!$B$2:$B$533,0)),"")</f>
        <v>USD</v>
      </c>
      <c r="E359" s="16">
        <f>IF($D359&lt;&gt;"USD","",IFERROR(INDEX(觀察名單!$L$2:$L$533,MATCH($C359,觀察名單!$B$2:$B$533,0)),""))</f>
        <v>731.1</v>
      </c>
      <c r="F359" s="16">
        <f>IF($D359&lt;&gt;"USD","",IFERROR(INDEX(觀察名單!$Q$2:$Q$533,MATCH($C359,觀察名單!$B$2:$B$533,0)),""))</f>
        <v>135.1</v>
      </c>
    </row>
    <row r="360">
      <c r="A360" s="15" t="inlineStr">
        <is>
          <t>子板塊</t>
        </is>
      </c>
      <c r="B360" s="15" t="inlineStr">
        <is>
          <t>資料/分析平台</t>
        </is>
      </c>
      <c r="C360" s="15" t="inlineStr">
        <is>
          <t>PLTR</t>
        </is>
      </c>
      <c r="D360" s="15" t="str">
        <f>IFERROR(INDEX(觀察名單!$F$2:$F$533,MATCH($C360,觀察名單!$B$2:$B$533,0)),"")</f>
        <v>USD</v>
      </c>
      <c r="E360" s="16">
        <f>IF($D360&lt;&gt;"USD","",IFERROR(INDEX(觀察名單!$L$2:$L$533,MATCH($C360,觀察名單!$B$2:$B$533,0)),""))</f>
        <v>1935.464</v>
      </c>
      <c r="F360" s="16">
        <f>IF($D360&lt;&gt;"USD","",IFERROR(INDEX(觀察名單!$Q$2:$Q$533,MATCH($C360,觀察名單!$B$2:$B$533,0)),""))</f>
        <v>912.004</v>
      </c>
    </row>
    <row r="361">
      <c r="A361" s="15" t="inlineStr">
        <is>
          <t>子板塊</t>
        </is>
      </c>
      <c r="B361" s="15" t="inlineStr">
        <is>
          <t>煙草與尼古丁</t>
        </is>
      </c>
      <c r="C361" s="15" t="inlineStr">
        <is>
          <t>PM</t>
        </is>
      </c>
      <c r="D361" s="15" t="str">
        <f>IFERROR(INDEX(觀察名單!$F$2:$F$533,MATCH($C361,觀察名單!$B$2:$B$533,0)),"")</f>
        <v>USD</v>
      </c>
      <c r="E361" s="16">
        <f>IF($D361&lt;&gt;"USD","",IFERROR(INDEX(觀察名單!$L$2:$L$533,MATCH($C361,觀察名單!$B$2:$B$533,0)),""))</f>
        <v>11192.0</v>
      </c>
      <c r="F361" s="16">
        <f>IF($D361&lt;&gt;"USD","",IFERROR(INDEX(觀察名單!$Q$2:$Q$533,MATCH($C361,觀察名單!$B$2:$B$533,0)),""))</f>
        <v>4530.0</v>
      </c>
    </row>
    <row r="362">
      <c r="A362" s="15" t="inlineStr">
        <is>
          <t>子板塊</t>
        </is>
      </c>
      <c r="B362" s="15" t="inlineStr">
        <is>
          <t>區域與社區銀行</t>
        </is>
      </c>
      <c r="C362" s="15" t="inlineStr">
        <is>
          <t>PNC</t>
        </is>
      </c>
      <c r="D362" s="15" t="str">
        <f>IFERROR(INDEX(觀察名單!$F$2:$F$533,MATCH($C362,觀察名單!$B$2:$B$533,0)),"")</f>
        <v>USD</v>
      </c>
      <c r="E362" s="16">
        <f>IF($D362&lt;&gt;"USD","",IFERROR(INDEX(觀察名單!$L$2:$L$533,MATCH($C362,觀察名單!$B$2:$B$533,0)),""))</f>
        <v>6429.0</v>
      </c>
      <c r="F362" s="16" t="str">
        <f>IF($D362&lt;&gt;"USD","",IFERROR(INDEX(觀察名單!$Q$2:$Q$533,MATCH($C362,觀察名單!$B$2:$B$533,0)),""))</f>
        <v/>
      </c>
    </row>
    <row r="363">
      <c r="A363" s="15" t="inlineStr">
        <is>
          <t>子板塊</t>
        </is>
      </c>
      <c r="B363" s="15" t="inlineStr">
        <is>
          <t>光通訊/CPO</t>
        </is>
      </c>
      <c r="C363" s="15" t="inlineStr">
        <is>
          <t>POET</t>
        </is>
      </c>
      <c r="D363" s="15" t="str">
        <f>IFERROR(INDEX(觀察名單!$F$2:$F$533,MATCH($C363,觀察名單!$B$2:$B$533,0)),"")</f>
        <v>USD</v>
      </c>
      <c r="E363" s="16">
        <f>IF($D363&lt;&gt;"USD","",IFERROR(INDEX(觀察名單!$L$2:$L$533,MATCH($C363,觀察名單!$B$2:$B$533,0)),""))</f>
        <v>0.569925</v>
      </c>
      <c r="F363" s="16">
        <f>IF($D363&lt;&gt;"USD","",IFERROR(INDEX(觀察名單!$Q$2:$Q$533,MATCH($C363,觀察名單!$B$2:$B$533,0)),""))</f>
        <v>-14.017971</v>
      </c>
    </row>
    <row r="364">
      <c r="A364" s="15" t="inlineStr">
        <is>
          <t>子板塊</t>
        </is>
      </c>
      <c r="B364" s="15" t="inlineStr">
        <is>
          <t>家居耐用與休閒用品</t>
        </is>
      </c>
      <c r="C364" s="15" t="inlineStr">
        <is>
          <t>POOL</t>
        </is>
      </c>
      <c r="D364" s="15" t="str">
        <f>IFERROR(INDEX(觀察名單!$F$2:$F$533,MATCH($C364,觀察名單!$B$2:$B$533,0)),"")</f>
        <v>USD</v>
      </c>
      <c r="E364" s="16">
        <f>IF($D364&lt;&gt;"USD","",IFERROR(INDEX(觀察名單!$L$2:$L$533,MATCH($C364,觀察名單!$B$2:$B$533,0)),""))</f>
        <v>1822.938</v>
      </c>
      <c r="F364" s="16">
        <f>IF($D364&lt;&gt;"USD","",IFERROR(INDEX(觀察名單!$Q$2:$Q$533,MATCH($C364,觀察名單!$B$2:$B$533,0)),""))</f>
        <v>267.679</v>
      </c>
    </row>
    <row r="365">
      <c r="A365" s="15" t="inlineStr">
        <is>
          <t>子板塊</t>
        </is>
      </c>
      <c r="B365" s="15" t="inlineStr">
        <is>
          <t>工程建設/EPC</t>
        </is>
      </c>
      <c r="C365" s="15" t="inlineStr">
        <is>
          <t>PRIM</t>
        </is>
      </c>
      <c r="D365" s="15" t="str">
        <f>IFERROR(INDEX(觀察名單!$F$2:$F$533,MATCH($C365,觀察名單!$B$2:$B$533,0)),"")</f>
        <v>USD</v>
      </c>
      <c r="E365" s="16">
        <f>IF($D365&lt;&gt;"USD","",IFERROR(INDEX(觀察名單!$L$2:$L$533,MATCH($C365,觀察名單!$B$2:$B$533,0)),""))</f>
        <v>1688.2</v>
      </c>
      <c r="F365" s="16">
        <f>IF($D365&lt;&gt;"USD","",IFERROR(INDEX(觀察名單!$Q$2:$Q$533,MATCH($C365,觀察名單!$B$2:$B$533,0)),""))</f>
        <v>-23.9</v>
      </c>
    </row>
    <row r="366">
      <c r="A366" s="15" t="inlineStr">
        <is>
          <t>子板塊</t>
        </is>
      </c>
      <c r="B366" s="15" t="inlineStr">
        <is>
          <t>壽險與年金</t>
        </is>
      </c>
      <c r="C366" s="15" t="inlineStr">
        <is>
          <t>PRU</t>
        </is>
      </c>
      <c r="D366" s="15" t="str">
        <f>IFERROR(INDEX(觀察名單!$F$2:$F$533,MATCH($C366,觀察名單!$B$2:$B$533,0)),"")</f>
        <v>USD</v>
      </c>
      <c r="E366" s="16">
        <f>IF($D366&lt;&gt;"USD","",IFERROR(INDEX(觀察名單!$L$2:$L$533,MATCH($C366,觀察名單!$B$2:$B$533,0)),""))</f>
        <v>15692.0</v>
      </c>
      <c r="F366" s="16" t="str">
        <f>IF($D366&lt;&gt;"USD","",IFERROR(INDEX(觀察名單!$Q$2:$Q$533,MATCH($C366,觀察名單!$B$2:$B$533,0)),""))</f>
        <v/>
      </c>
    </row>
    <row r="367">
      <c r="A367" s="15" t="inlineStr">
        <is>
          <t>子板塊</t>
        </is>
      </c>
      <c r="B367" s="15" t="inlineStr">
        <is>
          <t>特殊型REIT（自存倉/賭場/廣告牌）</t>
        </is>
      </c>
      <c r="C367" s="15" t="inlineStr">
        <is>
          <t>PSA</t>
        </is>
      </c>
      <c r="D367" s="15" t="str">
        <f>IFERROR(INDEX(觀察名單!$F$2:$F$533,MATCH($C367,觀察名單!$B$2:$B$533,0)),"")</f>
        <v>USD</v>
      </c>
      <c r="E367" s="16">
        <f>IF($D367&lt;&gt;"USD","",IFERROR(INDEX(觀察名單!$L$2:$L$533,MATCH($C367,觀察名單!$B$2:$B$533,0)),""))</f>
        <v>1232.881</v>
      </c>
      <c r="F367" s="16">
        <f>IF($D367&lt;&gt;"USD","",IFERROR(INDEX(觀察名單!$Q$2:$Q$533,MATCH($C367,觀察名單!$B$2:$B$533,0)),""))</f>
        <v>556.649</v>
      </c>
    </row>
    <row r="368">
      <c r="A368" s="15" t="inlineStr">
        <is>
          <t>子板塊</t>
        </is>
      </c>
      <c r="B368" s="15" t="inlineStr">
        <is>
          <t>煉油與成品油</t>
        </is>
      </c>
      <c r="C368" s="15" t="inlineStr">
        <is>
          <t>PSX</t>
        </is>
      </c>
      <c r="D368" s="15" t="str">
        <f>IFERROR(INDEX(觀察名單!$F$2:$F$533,MATCH($C368,觀察名單!$B$2:$B$533,0)),"")</f>
        <v>USD</v>
      </c>
      <c r="E368" s="16">
        <f>IF($D368&lt;&gt;"USD","",IFERROR(INDEX(觀察名單!$L$2:$L$533,MATCH($C368,觀察名單!$B$2:$B$533,0)),""))</f>
        <v>51004.0</v>
      </c>
      <c r="F368" s="16">
        <f>IF($D368&lt;&gt;"USD","",IFERROR(INDEX(觀察名單!$Q$2:$Q$533,MATCH($C368,觀察名單!$B$2:$B$533,0)),""))</f>
        <v>4280.0</v>
      </c>
    </row>
    <row r="369">
      <c r="A369" s="15" t="inlineStr">
        <is>
          <t>子板塊</t>
        </is>
      </c>
      <c r="B369" s="15" t="inlineStr">
        <is>
          <t>電氣設備與電網</t>
        </is>
      </c>
      <c r="C369" s="15" t="inlineStr">
        <is>
          <t>PWR</t>
        </is>
      </c>
      <c r="D369" s="15" t="str">
        <f>IFERROR(INDEX(觀察名單!$F$2:$F$533,MATCH($C369,觀察名單!$B$2:$B$533,0)),"")</f>
        <v>USD</v>
      </c>
      <c r="E369" s="16">
        <f>IF($D369&lt;&gt;"USD","",IFERROR(INDEX(觀察名單!$L$2:$L$533,MATCH($C369,觀察名單!$B$2:$B$533,0)),""))</f>
        <v>9556.997</v>
      </c>
      <c r="F369" s="16">
        <f>IF($D369&lt;&gt;"USD","",IFERROR(INDEX(觀察名單!$Q$2:$Q$533,MATCH($C369,觀察名單!$B$2:$B$533,0)),""))</f>
        <v>689.731</v>
      </c>
    </row>
    <row r="370">
      <c r="A370" s="15" t="inlineStr">
        <is>
          <t>子板塊</t>
        </is>
      </c>
      <c r="B370" s="15" t="inlineStr">
        <is>
          <t>支付與收單</t>
        </is>
      </c>
      <c r="C370" s="15" t="inlineStr">
        <is>
          <t>PYPL</t>
        </is>
      </c>
      <c r="D370" s="15" t="str">
        <f>IFERROR(INDEX(觀察名單!$F$2:$F$533,MATCH($C370,觀察名單!$B$2:$B$533,0)),"")</f>
        <v>USD</v>
      </c>
      <c r="E370" s="16">
        <f>IF($D370&lt;&gt;"USD","",IFERROR(INDEX(觀察名單!$L$2:$L$533,MATCH($C370,觀察名單!$B$2:$B$533,0)),""))</f>
        <v>8682.0</v>
      </c>
      <c r="F370" s="16">
        <f>IF($D370&lt;&gt;"USD","",IFERROR(INDEX(觀察名單!$Q$2:$Q$533,MATCH($C370,觀察名單!$B$2:$B$533,0)),""))</f>
        <v>1540.0</v>
      </c>
    </row>
    <row r="371">
      <c r="A371" s="15" t="inlineStr">
        <is>
          <t>子板塊</t>
        </is>
      </c>
      <c r="B371" s="15" t="inlineStr">
        <is>
          <t>量子運算</t>
        </is>
      </c>
      <c r="C371" s="15" t="inlineStr">
        <is>
          <t>QBTS</t>
        </is>
      </c>
      <c r="D371" s="15" t="str">
        <f>IFERROR(INDEX(觀察名單!$F$2:$F$533,MATCH($C371,觀察名單!$B$2:$B$533,0)),"")</f>
        <v>USD</v>
      </c>
      <c r="E371" s="16">
        <f>IF($D371&lt;&gt;"USD","",IFERROR(INDEX(觀察名單!$L$2:$L$533,MATCH($C371,觀察名單!$B$2:$B$533,0)),""))</f>
        <v>3.076</v>
      </c>
      <c r="F371" s="16">
        <f>IF($D371&lt;&gt;"USD","",IFERROR(INDEX(觀察名單!$Q$2:$Q$533,MATCH($C371,觀察名單!$B$2:$B$533,0)),""))</f>
        <v>-53.278</v>
      </c>
    </row>
    <row r="372">
      <c r="A372" s="15" t="inlineStr">
        <is>
          <t>子板塊</t>
        </is>
      </c>
      <c r="B372" s="15" t="inlineStr">
        <is>
          <t>量子運算</t>
        </is>
      </c>
      <c r="C372" s="15" t="inlineStr">
        <is>
          <t>QUBT</t>
        </is>
      </c>
      <c r="D372" s="15" t="str">
        <f>IFERROR(INDEX(觀察名單!$F$2:$F$533,MATCH($C372,觀察名單!$B$2:$B$533,0)),"")</f>
        <v>USD</v>
      </c>
      <c r="E372" s="16">
        <f>IF($D372&lt;&gt;"USD","",IFERROR(INDEX(觀察名單!$L$2:$L$533,MATCH($C372,觀察名單!$B$2:$B$533,0)),""))</f>
        <v>5.551</v>
      </c>
      <c r="F372" s="16">
        <f>IF($D372&lt;&gt;"USD","",IFERROR(INDEX(觀察名單!$Q$2:$Q$533,MATCH($C372,觀察名單!$B$2:$B$533,0)),""))</f>
        <v>-23.013</v>
      </c>
    </row>
    <row r="373">
      <c r="A373" s="15" t="inlineStr">
        <is>
          <t>子板塊</t>
        </is>
      </c>
      <c r="B373" s="15" t="inlineStr">
        <is>
          <t>互動遊戲</t>
        </is>
      </c>
      <c r="C373" s="15" t="inlineStr">
        <is>
          <t>RBLX</t>
        </is>
      </c>
      <c r="D373" s="15" t="str">
        <f>IFERROR(INDEX(觀察名單!$F$2:$F$533,MATCH($C373,觀察名單!$B$2:$B$533,0)),"")</f>
        <v>USD</v>
      </c>
      <c r="E373" s="16">
        <f>IF($D373&lt;&gt;"USD","",IFERROR(INDEX(觀察名單!$L$2:$L$533,MATCH($C373,觀察名單!$B$2:$B$533,0)),""))</f>
        <v>1469.0</v>
      </c>
      <c r="F373" s="16">
        <f>IF($D373&lt;&gt;"USD","",IFERROR(INDEX(觀察名單!$Q$2:$Q$533,MATCH($C373,觀察名單!$B$2:$B$533,0)),""))</f>
        <v>-229.0</v>
      </c>
    </row>
    <row r="374">
      <c r="A374" s="15" t="inlineStr">
        <is>
          <t>子板塊</t>
        </is>
      </c>
      <c r="B374" s="15" t="inlineStr">
        <is>
          <t>國防科技與無人機</t>
        </is>
      </c>
      <c r="C374" s="15" t="inlineStr">
        <is>
          <t>RCAT</t>
        </is>
      </c>
      <c r="D374" s="15" t="str">
        <f>IFERROR(INDEX(觀察名單!$F$2:$F$533,MATCH($C374,觀察名單!$B$2:$B$533,0)),"")</f>
        <v>USD</v>
      </c>
      <c r="E374" s="16">
        <f>IF($D374&lt;&gt;"USD","",IFERROR(INDEX(觀察名單!$L$2:$L$533,MATCH($C374,觀察名單!$B$2:$B$533,0)),""))</f>
        <v>20.189</v>
      </c>
      <c r="F374" s="16">
        <f>IF($D374&lt;&gt;"USD","",IFERROR(INDEX(觀察名單!$Q$2:$Q$533,MATCH($C374,觀察名單!$B$2:$B$533,0)),""))</f>
        <v>-38.645</v>
      </c>
    </row>
    <row r="375">
      <c r="A375" s="15" t="inlineStr">
        <is>
          <t>子板塊</t>
        </is>
      </c>
      <c r="B375" s="15" t="inlineStr">
        <is>
          <t>酒店與郵輪</t>
        </is>
      </c>
      <c r="C375" s="15" t="inlineStr">
        <is>
          <t>RCL</t>
        </is>
      </c>
      <c r="D375" s="15" t="str">
        <f>IFERROR(INDEX(觀察名單!$F$2:$F$533,MATCH($C375,觀察名單!$B$2:$B$533,0)),"")</f>
        <v>USD</v>
      </c>
      <c r="E375" s="16">
        <f>IF($D375&lt;&gt;"USD","",IFERROR(INDEX(觀察名單!$L$2:$L$533,MATCH($C375,觀察名單!$B$2:$B$533,0)),""))</f>
        <v>4832.0</v>
      </c>
      <c r="F375" s="16">
        <f>IF($D375&lt;&gt;"USD","",IFERROR(INDEX(觀察名單!$Q$2:$Q$533,MATCH($C375,觀察名單!$B$2:$B$533,0)),""))</f>
        <v>1308.0</v>
      </c>
    </row>
    <row r="376">
      <c r="A376" s="15" t="inlineStr">
        <is>
          <t>子板塊</t>
        </is>
      </c>
      <c r="B376" s="15" t="inlineStr">
        <is>
          <t>社交與線上社群</t>
        </is>
      </c>
      <c r="C376" s="15" t="inlineStr">
        <is>
          <t>RDDT</t>
        </is>
      </c>
      <c r="D376" s="15" t="str">
        <f>IFERROR(INDEX(觀察名單!$F$2:$F$533,MATCH($C376,觀察名單!$B$2:$B$533,0)),"")</f>
        <v>USD</v>
      </c>
      <c r="E376" s="16">
        <f>IF($D376&lt;&gt;"USD","",IFERROR(INDEX(觀察名單!$L$2:$L$533,MATCH($C376,觀察名單!$B$2:$B$533,0)),""))</f>
        <v>804.905</v>
      </c>
      <c r="F376" s="16">
        <f>IF($D376&lt;&gt;"USD","",IFERROR(INDEX(觀察名單!$Q$2:$Q$533,MATCH($C376,觀察名單!$B$2:$B$533,0)),""))</f>
        <v>231.716</v>
      </c>
    </row>
    <row r="377">
      <c r="A377" s="15" t="inlineStr">
        <is>
          <t>子板塊</t>
        </is>
      </c>
      <c r="B377" s="15" t="inlineStr">
        <is>
          <t>太空與衛星</t>
        </is>
      </c>
      <c r="C377" s="15" t="inlineStr">
        <is>
          <t>RDW</t>
        </is>
      </c>
      <c r="D377" s="15" t="str">
        <f>IFERROR(INDEX(觀察名單!$F$2:$F$533,MATCH($C377,觀察名單!$B$2:$B$533,0)),"")</f>
        <v>USD</v>
      </c>
      <c r="E377" s="16">
        <f>IF($D377&lt;&gt;"USD","",IFERROR(INDEX(觀察名單!$L$2:$L$533,MATCH($C377,觀察名單!$B$2:$B$533,0)),""))</f>
        <v>117.074</v>
      </c>
      <c r="F377" s="16">
        <f>IF($D377&lt;&gt;"USD","",IFERROR(INDEX(觀察名單!$Q$2:$Q$533,MATCH($C377,觀察名單!$B$2:$B$533,0)),""))</f>
        <v>-22.079</v>
      </c>
    </row>
    <row r="378">
      <c r="A378" s="15" t="inlineStr">
        <is>
          <t>子板塊</t>
        </is>
      </c>
      <c r="B378" s="15" t="inlineStr">
        <is>
          <t>零售與購物中心REIT</t>
        </is>
      </c>
      <c r="C378" s="15" t="inlineStr">
        <is>
          <t>REG</t>
        </is>
      </c>
      <c r="D378" s="15" t="str">
        <f>IFERROR(INDEX(觀察名單!$F$2:$F$533,MATCH($C378,觀察名單!$B$2:$B$533,0)),"")</f>
        <v>USD</v>
      </c>
      <c r="E378" s="16" t="str">
        <f>IF($D378&lt;&gt;"USD","",IFERROR(INDEX(觀察名單!$L$2:$L$533,MATCH($C378,觀察名單!$B$2:$B$533,0)),""))</f>
        <v/>
      </c>
      <c r="F378" s="16" t="str">
        <f>IF($D378&lt;&gt;"USD","",IFERROR(INDEX(觀察名單!$Q$2:$Q$533,MATCH($C378,觀察名單!$B$2:$B$533,0)),""))</f>
        <v/>
      </c>
    </row>
    <row r="379">
      <c r="A379" s="15" t="inlineStr">
        <is>
          <t>子板塊</t>
        </is>
      </c>
      <c r="B379" s="15" t="inlineStr">
        <is>
          <t>大型生物科技</t>
        </is>
      </c>
      <c r="C379" s="15" t="inlineStr">
        <is>
          <t>REGN</t>
        </is>
      </c>
      <c r="D379" s="15" t="str">
        <f>IFERROR(INDEX(觀察名單!$F$2:$F$533,MATCH($C379,觀察名單!$B$2:$B$533,0)),"")</f>
        <v>USD</v>
      </c>
      <c r="E379" s="16">
        <f>IF($D379&lt;&gt;"USD","",IFERROR(INDEX(觀察名單!$L$2:$L$533,MATCH($C379,觀察名單!$B$2:$B$533,0)),""))</f>
        <v>4290.7</v>
      </c>
      <c r="F379" s="16">
        <f>IF($D379&lt;&gt;"USD","",IFERROR(INDEX(觀察名單!$Q$2:$Q$533,MATCH($C379,觀察名單!$B$2:$B$533,0)),""))</f>
        <v>1420.5</v>
      </c>
    </row>
    <row r="380">
      <c r="A380" s="15" t="inlineStr">
        <is>
          <t>子板塊</t>
        </is>
      </c>
      <c r="B380" s="15" t="inlineStr">
        <is>
          <t>黃金與貴金屬礦</t>
        </is>
      </c>
      <c r="C380" s="15" t="inlineStr">
        <is>
          <t>RGLD</t>
        </is>
      </c>
      <c r="D380" s="15" t="str">
        <f>IFERROR(INDEX(觀察名單!$F$2:$F$533,MATCH($C380,觀察名單!$B$2:$B$533,0)),"")</f>
        <v>USD</v>
      </c>
      <c r="E380" s="16">
        <f>IF($D380&lt;&gt;"USD","",IFERROR(INDEX(觀察名單!$L$2:$L$533,MATCH($C380,觀察名單!$B$2:$B$533,0)),""))</f>
        <v>450.539</v>
      </c>
      <c r="F380" s="16">
        <f>IF($D380&lt;&gt;"USD","",IFERROR(INDEX(觀察名單!$Q$2:$Q$533,MATCH($C380,觀察名單!$B$2:$B$533,0)),""))</f>
        <v>277.363</v>
      </c>
    </row>
    <row r="381">
      <c r="A381" s="15" t="inlineStr">
        <is>
          <t>子板塊</t>
        </is>
      </c>
      <c r="B381" s="15" t="inlineStr">
        <is>
          <t>量子運算</t>
        </is>
      </c>
      <c r="C381" s="15" t="inlineStr">
        <is>
          <t>RGTI</t>
        </is>
      </c>
      <c r="D381" s="15" t="str">
        <f>IFERROR(INDEX(觀察名單!$F$2:$F$533,MATCH($C381,觀察名單!$B$2:$B$533,0)),"")</f>
        <v>USD</v>
      </c>
      <c r="E381" s="16">
        <f>IF($D381&lt;&gt;"USD","",IFERROR(INDEX(觀察名單!$L$2:$L$533,MATCH($C381,觀察名單!$B$2:$B$533,0)),""))</f>
        <v>5.138</v>
      </c>
      <c r="F381" s="16">
        <f>IF($D381&lt;&gt;"USD","",IFERROR(INDEX(觀察名單!$Q$2:$Q$533,MATCH($C381,觀察名單!$B$2:$B$533,0)),""))</f>
        <v>-28.062</v>
      </c>
    </row>
    <row r="382">
      <c r="A382" s="15" t="inlineStr">
        <is>
          <t>子板塊</t>
        </is>
      </c>
      <c r="B382" s="15" t="inlineStr">
        <is>
          <t>人力與商業服務</t>
        </is>
      </c>
      <c r="C382" s="15" t="inlineStr">
        <is>
          <t>RHI</t>
        </is>
      </c>
      <c r="D382" s="15" t="str">
        <f>IFERROR(INDEX(觀察名單!$F$2:$F$533,MATCH($C382,觀察名單!$B$2:$B$533,0)),"")</f>
        <v>USD</v>
      </c>
      <c r="E382" s="16">
        <f>IF($D382&lt;&gt;"USD","",IFERROR(INDEX(觀察名單!$L$2:$L$533,MATCH($C382,觀察名單!$B$2:$B$533,0)),""))</f>
        <v>1336.365</v>
      </c>
      <c r="F382" s="16">
        <f>IF($D382&lt;&gt;"USD","",IFERROR(INDEX(觀察名單!$Q$2:$Q$533,MATCH($C382,觀察名單!$B$2:$B$533,0)),""))</f>
        <v>-62.299</v>
      </c>
    </row>
    <row r="383">
      <c r="A383" s="15" t="inlineStr">
        <is>
          <t>子板塊</t>
        </is>
      </c>
      <c r="B383" s="15" t="inlineStr">
        <is>
          <t>海上鑽井與設備</t>
        </is>
      </c>
      <c r="C383" s="15" t="inlineStr">
        <is>
          <t>RIG</t>
        </is>
      </c>
      <c r="D383" s="15" t="str">
        <f>IFERROR(INDEX(觀察名單!$F$2:$F$533,MATCH($C383,觀察名單!$B$2:$B$533,0)),"")</f>
        <v>USD</v>
      </c>
      <c r="E383" s="16">
        <f>IF($D383&lt;&gt;"USD","",IFERROR(INDEX(觀察名單!$L$2:$L$533,MATCH($C383,觀察名單!$B$2:$B$533,0)),""))</f>
        <v>966.0</v>
      </c>
      <c r="F383" s="16">
        <f>IF($D383&lt;&gt;"USD","",IFERROR(INDEX(觀察名單!$Q$2:$Q$533,MATCH($C383,觀察名單!$B$2:$B$533,0)),""))</f>
        <v>154.0</v>
      </c>
    </row>
    <row r="384">
      <c r="A384" s="15" t="inlineStr">
        <is>
          <t>子板塊</t>
        </is>
      </c>
      <c r="B384" s="15" t="inlineStr">
        <is>
          <t>數位資產金融與礦業轉HPC</t>
        </is>
      </c>
      <c r="C384" s="15" t="inlineStr">
        <is>
          <t>RIOT</t>
        </is>
      </c>
      <c r="D384" s="15" t="str">
        <f>IFERROR(INDEX(觀察名單!$F$2:$F$533,MATCH($C384,觀察名單!$B$2:$B$533,0)),"")</f>
        <v>USD</v>
      </c>
      <c r="E384" s="16">
        <f>IF($D384&lt;&gt;"USD","",IFERROR(INDEX(觀察名單!$L$2:$L$533,MATCH($C384,觀察名單!$B$2:$B$533,0)),""))</f>
        <v>174.235</v>
      </c>
      <c r="F384" s="16">
        <f>IF($D384&lt;&gt;"USD","",IFERROR(INDEX(觀察名單!$Q$2:$Q$533,MATCH($C384,觀察名單!$B$2:$B$533,0)),""))</f>
        <v>-128.488</v>
      </c>
    </row>
    <row r="385">
      <c r="A385" s="15" t="inlineStr">
        <is>
          <t>子板塊</t>
        </is>
      </c>
      <c r="B385" s="15" t="inlineStr">
        <is>
          <t>電動車與新能源車</t>
        </is>
      </c>
      <c r="C385" s="15" t="inlineStr">
        <is>
          <t>RIVN</t>
        </is>
      </c>
      <c r="D385" s="15" t="str">
        <f>IFERROR(INDEX(觀察名單!$F$2:$F$533,MATCH($C385,觀察名單!$B$2:$B$533,0)),"")</f>
        <v>USD</v>
      </c>
      <c r="E385" s="16">
        <f>IF($D385&lt;&gt;"USD","",IFERROR(INDEX(觀察名單!$L$2:$L$533,MATCH($C385,觀察名單!$B$2:$B$533,0)),""))</f>
        <v>1658.0</v>
      </c>
      <c r="F385" s="16">
        <f>IF($D385&lt;&gt;"USD","",IFERROR(INDEX(觀察名單!$Q$2:$Q$533,MATCH($C385,觀察名單!$B$2:$B$533,0)),""))</f>
        <v>-836.0</v>
      </c>
    </row>
    <row r="386">
      <c r="A386" s="15" t="inlineStr">
        <is>
          <t>子板塊</t>
        </is>
      </c>
      <c r="B386" s="15" t="inlineStr">
        <is>
          <t>太空與衛星</t>
        </is>
      </c>
      <c r="C386" s="15" t="inlineStr">
        <is>
          <t>RKLB</t>
        </is>
      </c>
      <c r="D386" s="15" t="str">
        <f>IFERROR(INDEX(觀察名單!$F$2:$F$533,MATCH($C386,觀察名單!$B$2:$B$533,0)),"")</f>
        <v>USD</v>
      </c>
      <c r="E386" s="16">
        <f>IF($D386&lt;&gt;"USD","",IFERROR(INDEX(觀察名單!$L$2:$L$533,MATCH($C386,觀察名單!$B$2:$B$533,0)),""))</f>
        <v>234.066</v>
      </c>
      <c r="F386" s="16">
        <f>IF($D386&lt;&gt;"USD","",IFERROR(INDEX(觀察名單!$Q$2:$Q$533,MATCH($C386,觀察名單!$B$2:$B$533,0)),""))</f>
        <v>-57.514</v>
      </c>
    </row>
    <row r="387">
      <c r="A387" s="15" t="inlineStr">
        <is>
          <t>子板塊</t>
        </is>
      </c>
      <c r="B387" s="15" t="inlineStr">
        <is>
          <t>服裝與奢侈品</t>
        </is>
      </c>
      <c r="C387" s="15" t="inlineStr">
        <is>
          <t>RL</t>
        </is>
      </c>
      <c r="D387" s="15" t="str">
        <f>IFERROR(INDEX(觀察名單!$F$2:$F$533,MATCH($C387,觀察名單!$B$2:$B$533,0)),"")</f>
        <v>USD</v>
      </c>
      <c r="E387" s="16">
        <f>IF($D387&lt;&gt;"USD","",IFERROR(INDEX(觀察名單!$L$2:$L$533,MATCH($C387,觀察名單!$B$2:$B$533,0)),""))</f>
        <v>1959.8</v>
      </c>
      <c r="F387" s="16">
        <f>IF($D387&lt;&gt;"USD","",IFERROR(INDEX(觀察名單!$Q$2:$Q$533,MATCH($C387,觀察名單!$B$2:$B$533,0)),""))</f>
        <v>367.2</v>
      </c>
    </row>
    <row r="388">
      <c r="A388" s="15" t="inlineStr">
        <is>
          <t>子板塊</t>
        </is>
      </c>
      <c r="B388" s="15" t="inlineStr">
        <is>
          <t>產險與再保</t>
        </is>
      </c>
      <c r="C388" s="15" t="inlineStr">
        <is>
          <t>RNR</t>
        </is>
      </c>
      <c r="D388" s="15" t="str">
        <f>IFERROR(INDEX(觀察名單!$F$2:$F$533,MATCH($C388,觀察名單!$B$2:$B$533,0)),"")</f>
        <v>USD</v>
      </c>
      <c r="E388" s="16">
        <f>IF($D388&lt;&gt;"USD","",IFERROR(INDEX(觀察名單!$L$2:$L$533,MATCH($C388,觀察名單!$B$2:$B$533,0)),""))</f>
        <v>2750.772</v>
      </c>
      <c r="F388" s="16">
        <f>IF($D388&lt;&gt;"USD","",IFERROR(INDEX(觀察名單!$Q$2:$Q$533,MATCH($C388,觀察名單!$B$2:$B$533,0)),""))</f>
        <v>1149.516</v>
      </c>
    </row>
    <row r="389">
      <c r="A389" s="15" t="inlineStr">
        <is>
          <t>子板塊</t>
        </is>
      </c>
      <c r="B389" s="15" t="inlineStr">
        <is>
          <t>工業自動化與機器人</t>
        </is>
      </c>
      <c r="C389" s="15" t="inlineStr">
        <is>
          <t>ROK</t>
        </is>
      </c>
      <c r="D389" s="15" t="str">
        <f>IFERROR(INDEX(觀察名單!$F$2:$F$533,MATCH($C389,觀察名單!$B$2:$B$533,0)),"")</f>
        <v>USD</v>
      </c>
      <c r="E389" s="16">
        <f>IF($D389&lt;&gt;"USD","",IFERROR(INDEX(觀察名單!$L$2:$L$533,MATCH($C389,觀察名單!$B$2:$B$533,0)),""))</f>
        <v>2313.0</v>
      </c>
      <c r="F389" s="16">
        <f>IF($D389&lt;&gt;"USD","",IFERROR(INDEX(觀察名單!$Q$2:$Q$533,MATCH($C389,觀察名單!$B$2:$B$533,0)),""))</f>
        <v>481.0</v>
      </c>
    </row>
    <row r="390">
      <c r="A390" s="15" t="inlineStr">
        <is>
          <t>子板塊</t>
        </is>
      </c>
      <c r="B390" s="15" t="inlineStr">
        <is>
          <t>串流影音</t>
        </is>
      </c>
      <c r="C390" s="15" t="inlineStr">
        <is>
          <t>ROKU</t>
        </is>
      </c>
      <c r="D390" s="15" t="str">
        <f>IFERROR(INDEX(觀察名單!$F$2:$F$533,MATCH($C390,觀察名單!$B$2:$B$533,0)),"")</f>
        <v>USD</v>
      </c>
      <c r="E390" s="16">
        <f>IF($D390&lt;&gt;"USD","",IFERROR(INDEX(觀察名單!$L$2:$L$533,MATCH($C390,觀察名單!$B$2:$B$533,0)),""))</f>
        <v>1354.69</v>
      </c>
      <c r="F390" s="16">
        <f>IF($D390&lt;&gt;"USD","",IFERROR(INDEX(觀察名單!$Q$2:$Q$533,MATCH($C390,觀察名單!$B$2:$B$533,0)),""))</f>
        <v>146.175</v>
      </c>
    </row>
    <row r="391">
      <c r="A391" s="15" t="inlineStr">
        <is>
          <t>子板塊</t>
        </is>
      </c>
      <c r="B391" s="15" t="inlineStr">
        <is>
          <t>專門零售</t>
        </is>
      </c>
      <c r="C391" s="15" t="inlineStr">
        <is>
          <t>ROST</t>
        </is>
      </c>
      <c r="D391" s="15" t="str">
        <f>IFERROR(INDEX(觀察名單!$F$2:$F$533,MATCH($C391,觀察名單!$B$2:$B$533,0)),"")</f>
        <v>USD</v>
      </c>
      <c r="E391" s="16">
        <f>IF($D391&lt;&gt;"USD","",IFERROR(INDEX(觀察名單!$L$2:$L$533,MATCH($C391,觀察名單!$B$2:$B$533,0)),""))</f>
        <v>6264.886</v>
      </c>
      <c r="F391" s="16">
        <f>IF($D391&lt;&gt;"USD","",IFERROR(INDEX(觀察名單!$Q$2:$Q$533,MATCH($C391,觀察名單!$B$2:$B$533,0)),""))</f>
        <v>1103.618</v>
      </c>
    </row>
    <row r="392">
      <c r="A392" s="15" t="inlineStr">
        <is>
          <t>子板塊</t>
        </is>
      </c>
      <c r="B392" s="15" t="inlineStr">
        <is>
          <t>鋼鐵</t>
        </is>
      </c>
      <c r="C392" s="15" t="inlineStr">
        <is>
          <t>RS</t>
        </is>
      </c>
      <c r="D392" s="15" t="str">
        <f>IFERROR(INDEX(觀察名單!$F$2:$F$533,MATCH($C392,觀察名單!$B$2:$B$533,0)),"")</f>
        <v>USD</v>
      </c>
      <c r="E392" s="16">
        <f>IF($D392&lt;&gt;"USD","",IFERROR(INDEX(觀察名單!$L$2:$L$533,MATCH($C392,觀察名單!$B$2:$B$533,0)),""))</f>
        <v>4630.0</v>
      </c>
      <c r="F392" s="16">
        <f>IF($D392&lt;&gt;"USD","",IFERROR(INDEX(觀察名單!$Q$2:$Q$533,MATCH($C392,觀察名單!$B$2:$B$533,0)),""))</f>
        <v>441.6</v>
      </c>
    </row>
    <row r="393">
      <c r="A393" s="15" t="inlineStr">
        <is>
          <t>子板塊</t>
        </is>
      </c>
      <c r="B393" s="15" t="inlineStr">
        <is>
          <t>廢物管理與環境服務</t>
        </is>
      </c>
      <c r="C393" s="15" t="inlineStr">
        <is>
          <t>RSG</t>
        </is>
      </c>
      <c r="D393" s="15" t="str">
        <f>IFERROR(INDEX(觀察名單!$F$2:$F$533,MATCH($C393,觀察名單!$B$2:$B$533,0)),"")</f>
        <v>USD</v>
      </c>
      <c r="E393" s="16">
        <f>IF($D393&lt;&gt;"USD","",IFERROR(INDEX(觀察名單!$L$2:$L$533,MATCH($C393,觀察名單!$B$2:$B$533,0)),""))</f>
        <v>4430.0</v>
      </c>
      <c r="F393" s="16">
        <f>IF($D393&lt;&gt;"USD","",IFERROR(INDEX(觀察名單!$Q$2:$Q$533,MATCH($C393,觀察名單!$B$2:$B$533,0)),""))</f>
        <v>905.0</v>
      </c>
    </row>
    <row r="394">
      <c r="A394" s="15" t="inlineStr">
        <is>
          <t>子板塊</t>
        </is>
      </c>
      <c r="B394" s="15" t="inlineStr">
        <is>
          <t>航太與國防</t>
        </is>
      </c>
      <c r="C394" s="15" t="inlineStr">
        <is>
          <t>RTX</t>
        </is>
      </c>
      <c r="D394" s="15" t="str">
        <f>IFERROR(INDEX(觀察名單!$F$2:$F$533,MATCH($C394,觀察名單!$B$2:$B$533,0)),"")</f>
        <v>USD</v>
      </c>
      <c r="E394" s="16">
        <f>IF($D394&lt;&gt;"USD","",IFERROR(INDEX(觀察名單!$L$2:$L$533,MATCH($C394,觀察名單!$B$2:$B$533,0)),""))</f>
        <v>24708.0</v>
      </c>
      <c r="F394" s="16">
        <f>IF($D394&lt;&gt;"USD","",IFERROR(INDEX(觀察名單!$Q$2:$Q$533,MATCH($C394,觀察名單!$B$2:$B$533,0)),""))</f>
        <v>2811.0</v>
      </c>
    </row>
    <row r="395">
      <c r="A395" s="15" t="inlineStr">
        <is>
          <t>子板塊</t>
        </is>
      </c>
      <c r="B395" s="15" t="inlineStr">
        <is>
          <t>再生能源與太陽能</t>
        </is>
      </c>
      <c r="C395" s="15" t="inlineStr">
        <is>
          <t>RUN</t>
        </is>
      </c>
      <c r="D395" s="15" t="str">
        <f>IFERROR(INDEX(觀察名單!$F$2:$F$533,MATCH($C395,觀察名單!$B$2:$B$533,0)),"")</f>
        <v>USD</v>
      </c>
      <c r="E395" s="16">
        <f>IF($D395&lt;&gt;"USD","",IFERROR(INDEX(觀察名單!$L$2:$L$533,MATCH($C395,觀察名單!$B$2:$B$533,0)),""))</f>
        <v>869.988</v>
      </c>
      <c r="F395" s="16">
        <f>IF($D395&lt;&gt;"USD","",IFERROR(INDEX(觀察名單!$Q$2:$Q$533,MATCH($C395,觀察名單!$B$2:$B$533,0)),""))</f>
        <v>34.788</v>
      </c>
    </row>
    <row r="396">
      <c r="A396" s="15" t="inlineStr">
        <is>
          <t>子板塊</t>
        </is>
      </c>
      <c r="B396" s="15" t="inlineStr">
        <is>
          <t>腫瘤與細胞治療</t>
        </is>
      </c>
      <c r="C396" s="15" t="inlineStr">
        <is>
          <t>RVMD</t>
        </is>
      </c>
      <c r="D396" s="15" t="str">
        <f>IFERROR(INDEX(觀察名單!$F$2:$F$533,MATCH($C396,觀察名單!$B$2:$B$533,0)),"")</f>
        <v>USD</v>
      </c>
      <c r="E396" s="16">
        <f>IF($D396&lt;&gt;"USD","",IFERROR(INDEX(觀察名單!$L$2:$L$533,MATCH($C396,觀察名單!$B$2:$B$533,0)),""))</f>
        <v>0.0</v>
      </c>
      <c r="F396" s="16">
        <f>IF($D396&lt;&gt;"USD","",IFERROR(INDEX(觀察名單!$Q$2:$Q$533,MATCH($C396,觀察名單!$B$2:$B$533,0)),""))</f>
        <v>-505.132</v>
      </c>
    </row>
    <row r="397">
      <c r="A397" s="15" t="inlineStr">
        <is>
          <t>子板塊</t>
        </is>
      </c>
      <c r="B397" s="15" t="inlineStr">
        <is>
          <t>網絡安全</t>
        </is>
      </c>
      <c r="C397" s="15" t="inlineStr">
        <is>
          <t>S</t>
        </is>
      </c>
      <c r="D397" s="15" t="str">
        <f>IFERROR(INDEX(觀察名單!$F$2:$F$533,MATCH($C397,觀察名單!$B$2:$B$533,0)),"")</f>
        <v>USD</v>
      </c>
      <c r="E397" s="16">
        <f>IF($D397&lt;&gt;"USD","",IFERROR(INDEX(觀察名單!$L$2:$L$533,MATCH($C397,觀察名單!$B$2:$B$533,0)),""))</f>
        <v>291.981</v>
      </c>
      <c r="F397" s="16">
        <f>IF($D397&lt;&gt;"USD","",IFERROR(INDEX(觀察名單!$Q$2:$Q$533,MATCH($C397,觀察名單!$B$2:$B$533,0)),""))</f>
        <v>-66.336</v>
      </c>
    </row>
    <row r="398">
      <c r="A398" s="15" t="inlineStr">
        <is>
          <t>子板塊</t>
        </is>
      </c>
      <c r="B398" s="15" t="inlineStr">
        <is>
          <t>臨床期中小型生技</t>
        </is>
      </c>
      <c r="C398" s="15" t="inlineStr">
        <is>
          <t>SANA</t>
        </is>
      </c>
      <c r="D398" s="15" t="str">
        <f>IFERROR(INDEX(觀察名單!$F$2:$F$533,MATCH($C398,觀察名單!$B$2:$B$533,0)),"")</f>
        <v>USD</v>
      </c>
      <c r="E398" s="16">
        <f>IF($D398&lt;&gt;"USD","",IFERROR(INDEX(觀察名單!$L$2:$L$533,MATCH($C398,觀察名單!$B$2:$B$533,0)),""))</f>
        <v>0.0</v>
      </c>
      <c r="F398" s="16">
        <f>IF($D398&lt;&gt;"USD","",IFERROR(INDEX(觀察名單!$Q$2:$Q$533,MATCH($C398,觀察名單!$B$2:$B$533,0)),""))</f>
        <v>-65.42</v>
      </c>
    </row>
    <row r="399">
      <c r="A399" s="15" t="inlineStr">
        <is>
          <t>子板塊</t>
        </is>
      </c>
      <c r="B399" s="15" t="inlineStr">
        <is>
          <t>通訊塔REIT</t>
        </is>
      </c>
      <c r="C399" s="15" t="inlineStr">
        <is>
          <t>SBAC</t>
        </is>
      </c>
      <c r="D399" s="15" t="str">
        <f>IFERROR(INDEX(觀察名單!$F$2:$F$533,MATCH($C399,觀察名單!$B$2:$B$533,0)),"")</f>
        <v>USD</v>
      </c>
      <c r="E399" s="16">
        <f>IF($D399&lt;&gt;"USD","",IFERROR(INDEX(觀察名單!$L$2:$L$533,MATCH($C399,觀察名單!$B$2:$B$533,0)),""))</f>
        <v>715.274</v>
      </c>
      <c r="F399" s="16">
        <f>IF($D399&lt;&gt;"USD","",IFERROR(INDEX(觀察名單!$Q$2:$Q$533,MATCH($C399,觀察名單!$B$2:$B$533,0)),""))</f>
        <v>380.353</v>
      </c>
    </row>
    <row r="400">
      <c r="A400" s="15" t="inlineStr">
        <is>
          <t>子板塊</t>
        </is>
      </c>
      <c r="B400" s="15" t="inlineStr">
        <is>
          <t>餐飲連鎖</t>
        </is>
      </c>
      <c r="C400" s="15" t="inlineStr">
        <is>
          <t>SBUX</t>
        </is>
      </c>
      <c r="D400" s="15" t="str">
        <f>IFERROR(INDEX(觀察名單!$F$2:$F$533,MATCH($C400,觀察名單!$B$2:$B$533,0)),"")</f>
        <v>USD</v>
      </c>
      <c r="E400" s="16">
        <f>IF($D400&lt;&gt;"USD","",IFERROR(INDEX(觀察名單!$L$2:$L$533,MATCH($C400,觀察名單!$B$2:$B$533,0)),""))</f>
        <v>9322.7</v>
      </c>
      <c r="F400" s="16">
        <f>IF($D400&lt;&gt;"USD","",IFERROR(INDEX(觀察名單!$Q$2:$Q$533,MATCH($C400,觀察名單!$B$2:$B$533,0)),""))</f>
        <v>1204.4</v>
      </c>
    </row>
    <row r="401">
      <c r="A401" s="15" t="inlineStr">
        <is>
          <t>子板塊</t>
        </is>
      </c>
      <c r="B401" s="15" t="inlineStr">
        <is>
          <t>銅與基本金屬</t>
        </is>
      </c>
      <c r="C401" s="15" t="inlineStr">
        <is>
          <t>SCCO</t>
        </is>
      </c>
      <c r="D401" s="15" t="str">
        <f>IFERROR(INDEX(觀察名單!$F$2:$F$533,MATCH($C401,觀察名單!$B$2:$B$533,0)),"")</f>
        <v>USD</v>
      </c>
      <c r="E401" s="16">
        <f>IF($D401&lt;&gt;"USD","",IFERROR(INDEX(觀察名單!$L$2:$L$533,MATCH($C401,觀察名單!$B$2:$B$533,0)),""))</f>
        <v>4289.0</v>
      </c>
      <c r="F401" s="16">
        <f>IF($D401&lt;&gt;"USD","",IFERROR(INDEX(觀察名單!$Q$2:$Q$533,MATCH($C401,觀察名單!$B$2:$B$533,0)),""))</f>
        <v>2623.3</v>
      </c>
    </row>
    <row r="402">
      <c r="A402" s="15" t="inlineStr">
        <is>
          <t>子板塊</t>
        </is>
      </c>
      <c r="B402" s="15" t="inlineStr">
        <is>
          <t>教育與消費服務</t>
        </is>
      </c>
      <c r="C402" s="15" t="inlineStr">
        <is>
          <t>SCI</t>
        </is>
      </c>
      <c r="D402" s="15" t="str">
        <f>IFERROR(INDEX(觀察名單!$F$2:$F$533,MATCH($C402,觀察名單!$B$2:$B$533,0)),"")</f>
        <v>USD</v>
      </c>
      <c r="E402" s="16">
        <f>IF($D402&lt;&gt;"USD","",IFERROR(INDEX(觀察名單!$L$2:$L$533,MATCH($C402,觀察名單!$B$2:$B$533,0)),""))</f>
        <v>1103.288</v>
      </c>
      <c r="F402" s="16">
        <f>IF($D402&lt;&gt;"USD","",IFERROR(INDEX(觀察名單!$Q$2:$Q$533,MATCH($C402,觀察名單!$B$2:$B$533,0)),""))</f>
        <v>231.726</v>
      </c>
    </row>
    <row r="403">
      <c r="A403" s="15" t="inlineStr">
        <is>
          <t>子板塊</t>
        </is>
      </c>
      <c r="B403" s="15" t="inlineStr">
        <is>
          <t>電商平台</t>
        </is>
      </c>
      <c r="C403" s="15" t="inlineStr">
        <is>
          <t>SHOP</t>
        </is>
      </c>
      <c r="D403" s="15" t="str">
        <f>IFERROR(INDEX(觀察名單!$F$2:$F$533,MATCH($C403,觀察名單!$B$2:$B$533,0)),"")</f>
        <v>USD</v>
      </c>
      <c r="E403" s="16">
        <f>IF($D403&lt;&gt;"USD","",IFERROR(INDEX(觀察名單!$L$2:$L$533,MATCH($C403,觀察名單!$B$2:$B$533,0)),""))</f>
        <v>3583.0</v>
      </c>
      <c r="F403" s="16">
        <f>IF($D403&lt;&gt;"USD","",IFERROR(INDEX(觀察名單!$Q$2:$Q$533,MATCH($C403,觀察名單!$B$2:$B$533,0)),""))</f>
        <v>629.0</v>
      </c>
    </row>
    <row r="404">
      <c r="A404" s="15" t="inlineStr">
        <is>
          <t>子板塊</t>
        </is>
      </c>
      <c r="B404" s="15" t="inlineStr">
        <is>
          <t>特種化工</t>
        </is>
      </c>
      <c r="C404" s="15" t="inlineStr">
        <is>
          <t>SHW</t>
        </is>
      </c>
      <c r="D404" s="15" t="str">
        <f>IFERROR(INDEX(觀察名單!$F$2:$F$533,MATCH($C404,觀察名單!$B$2:$B$533,0)),"")</f>
        <v>USD</v>
      </c>
      <c r="E404" s="16">
        <f>IF($D404&lt;&gt;"USD","",IFERROR(INDEX(觀察名單!$L$2:$L$533,MATCH($C404,觀察名單!$B$2:$B$533,0)),""))</f>
        <v>6789.3</v>
      </c>
      <c r="F404" s="16">
        <f>IF($D404&lt;&gt;"USD","",IFERROR(INDEX(觀察名單!$Q$2:$Q$533,MATCH($C404,觀察名單!$B$2:$B$533,0)),""))</f>
        <v>1231.0</v>
      </c>
    </row>
    <row r="405">
      <c r="A405" s="15" t="inlineStr">
        <is>
          <t>子板塊</t>
        </is>
      </c>
      <c r="B405" s="15" t="inlineStr">
        <is>
          <t>油田服務</t>
        </is>
      </c>
      <c r="C405" s="15" t="inlineStr">
        <is>
          <t>SLB</t>
        </is>
      </c>
      <c r="D405" s="15" t="str">
        <f>IFERROR(INDEX(觀察名單!$F$2:$F$533,MATCH($C405,觀察名單!$B$2:$B$533,0)),"")</f>
        <v>USD</v>
      </c>
      <c r="E405" s="16">
        <f>IF($D405&lt;&gt;"USD","",IFERROR(INDEX(觀察名單!$L$2:$L$533,MATCH($C405,觀察名單!$B$2:$B$533,0)),""))</f>
        <v>8972.0</v>
      </c>
      <c r="F405" s="16">
        <f>IF($D405&lt;&gt;"USD","",IFERROR(INDEX(觀察名單!$Q$2:$Q$533,MATCH($C405,觀察名單!$B$2:$B$533,0)),""))</f>
        <v>1140.0</v>
      </c>
    </row>
    <row r="406">
      <c r="A406" s="15" t="inlineStr">
        <is>
          <t>子板塊</t>
        </is>
      </c>
      <c r="B406" s="15" t="inlineStr">
        <is>
          <t>辦公樓REIT</t>
        </is>
      </c>
      <c r="C406" s="15" t="inlineStr">
        <is>
          <t>SLG</t>
        </is>
      </c>
      <c r="D406" s="15" t="str">
        <f>IFERROR(INDEX(觀察名單!$F$2:$F$533,MATCH($C406,觀察名單!$B$2:$B$533,0)),"")</f>
        <v>USD</v>
      </c>
      <c r="E406" s="16">
        <f>IF($D406&lt;&gt;"USD","",IFERROR(INDEX(觀察名單!$L$2:$L$533,MATCH($C406,觀察名單!$B$2:$B$533,0)),""))</f>
        <v>249.258</v>
      </c>
      <c r="F406" s="16">
        <f>IF($D406&lt;&gt;"USD","",IFERROR(INDEX(觀察名單!$Q$2:$Q$533,MATCH($C406,觀察名單!$B$2:$B$533,0)),""))</f>
        <v>22.872</v>
      </c>
    </row>
    <row r="407">
      <c r="A407" s="15" t="inlineStr">
        <is>
          <t>子板塊</t>
        </is>
      </c>
      <c r="B407" s="15" t="inlineStr">
        <is>
          <t>AI資料中心建設</t>
        </is>
      </c>
      <c r="C407" s="15" t="inlineStr">
        <is>
          <t>SMCI</t>
        </is>
      </c>
      <c r="D407" s="15" t="str">
        <f>IFERROR(INDEX(觀察名單!$F$2:$F$533,MATCH($C407,觀察名單!$B$2:$B$533,0)),"")</f>
        <v>USD</v>
      </c>
      <c r="E407" s="16">
        <f>IF($D407&lt;&gt;"USD","",IFERROR(INDEX(觀察名單!$L$2:$L$533,MATCH($C407,觀察名單!$B$2:$B$533,0)),""))</f>
        <v>11119.777</v>
      </c>
      <c r="F407" s="16">
        <f>IF($D407&lt;&gt;"USD","",IFERROR(INDEX(觀察名單!$Q$2:$Q$533,MATCH($C407,觀察名單!$B$2:$B$533,0)),""))</f>
        <v>1488.064</v>
      </c>
    </row>
    <row r="408">
      <c r="A408" s="15" t="inlineStr">
        <is>
          <t>子板塊</t>
        </is>
      </c>
      <c r="B408" s="15" t="inlineStr">
        <is>
          <t>小型模組化核能SMR</t>
        </is>
      </c>
      <c r="C408" s="15" t="inlineStr">
        <is>
          <t>SMR</t>
        </is>
      </c>
      <c r="D408" s="15" t="str">
        <f>IFERROR(INDEX(觀察名單!$F$2:$F$533,MATCH($C408,觀察名單!$B$2:$B$533,0)),"")</f>
        <v>USD</v>
      </c>
      <c r="E408" s="16">
        <f>IF($D408&lt;&gt;"USD","",IFERROR(INDEX(觀察名單!$L$2:$L$533,MATCH($C408,觀察名單!$B$2:$B$533,0)),""))</f>
        <v>0.075</v>
      </c>
      <c r="F408" s="16">
        <f>IF($D408&lt;&gt;"USD","",IFERROR(INDEX(觀察名單!$Q$2:$Q$533,MATCH($C408,觀察名單!$B$2:$B$533,0)),""))</f>
        <v>-64.003</v>
      </c>
    </row>
    <row r="409">
      <c r="A409" s="15" t="inlineStr">
        <is>
          <t>子板塊</t>
        </is>
      </c>
      <c r="B409" s="15" t="inlineStr">
        <is>
          <t>社交與線上社群</t>
        </is>
      </c>
      <c r="C409" s="15" t="inlineStr">
        <is>
          <t>SNAP</t>
        </is>
      </c>
      <c r="D409" s="15" t="str">
        <f>IFERROR(INDEX(觀察名單!$F$2:$F$533,MATCH($C409,觀察名單!$B$2:$B$533,0)),"")</f>
        <v>USD</v>
      </c>
      <c r="E409" s="16">
        <f>IF($D409&lt;&gt;"USD","",IFERROR(INDEX(觀察名單!$L$2:$L$533,MATCH($C409,觀察名單!$B$2:$B$533,0)),""))</f>
        <v>1598.993</v>
      </c>
      <c r="F409" s="16">
        <f>IF($D409&lt;&gt;"USD","",IFERROR(INDEX(觀察名單!$Q$2:$Q$533,MATCH($C409,觀察名單!$B$2:$B$533,0)),""))</f>
        <v>-170.721</v>
      </c>
    </row>
    <row r="410">
      <c r="A410" s="15" t="inlineStr">
        <is>
          <t>子板塊</t>
        </is>
      </c>
      <c r="B410" s="15" t="inlineStr">
        <is>
          <t>記憶體/HBM</t>
        </is>
      </c>
      <c r="C410" s="15" t="inlineStr">
        <is>
          <t>SNDK</t>
        </is>
      </c>
      <c r="D410" s="15" t="str">
        <f>IFERROR(INDEX(觀察名單!$F$2:$F$533,MATCH($C410,觀察名單!$B$2:$B$533,0)),"")</f>
        <v>USD</v>
      </c>
      <c r="E410" s="16">
        <f>IF($D410&lt;&gt;"USD","",IFERROR(INDEX(觀察名單!$L$2:$L$533,MATCH($C410,觀察名單!$B$2:$B$533,0)),""))</f>
        <v>8965.0</v>
      </c>
      <c r="F410" s="16">
        <f>IF($D410&lt;&gt;"USD","",IFERROR(INDEX(觀察名單!$Q$2:$Q$533,MATCH($C410,觀察名單!$B$2:$B$533,0)),""))</f>
        <v>7037.0</v>
      </c>
    </row>
    <row r="411">
      <c r="A411" s="15" t="inlineStr">
        <is>
          <t>子板塊</t>
        </is>
      </c>
      <c r="B411" s="15" t="inlineStr">
        <is>
          <t>資料/分析平台</t>
        </is>
      </c>
      <c r="C411" s="15" t="inlineStr">
        <is>
          <t>SNOW</t>
        </is>
      </c>
      <c r="D411" s="15" t="str">
        <f>IFERROR(INDEX(觀察名單!$F$2:$F$533,MATCH($C411,觀察名單!$B$2:$B$533,0)),"")</f>
        <v>USD</v>
      </c>
      <c r="E411" s="16" t="str">
        <f>IF($D411&lt;&gt;"USD","",IFERROR(INDEX(觀察名單!$L$2:$L$533,MATCH($C411,觀察名單!$B$2:$B$533,0)),""))</f>
        <v/>
      </c>
      <c r="F411" s="16" t="str">
        <f>IF($D411&lt;&gt;"USD","",IFERROR(INDEX(觀察名單!$Q$2:$Q$533,MATCH($C411,觀察名單!$B$2:$B$533,0)),""))</f>
        <v/>
      </c>
    </row>
    <row r="412">
      <c r="A412" s="15" t="inlineStr">
        <is>
          <t>子板塊</t>
        </is>
      </c>
      <c r="B412" s="15" t="inlineStr">
        <is>
          <t>EDA與半導體IP</t>
        </is>
      </c>
      <c r="C412" s="15" t="inlineStr">
        <is>
          <t>SNPS</t>
        </is>
      </c>
      <c r="D412" s="15" t="str">
        <f>IFERROR(INDEX(觀察名單!$F$2:$F$533,MATCH($C412,觀察名單!$B$2:$B$533,0)),"")</f>
        <v>USD</v>
      </c>
      <c r="E412" s="16">
        <f>IF($D412&lt;&gt;"USD","",IFERROR(INDEX(觀察名單!$L$2:$L$533,MATCH($C412,觀察名單!$B$2:$B$533,0)),""))</f>
        <v>2476.822</v>
      </c>
      <c r="F412" s="16">
        <f>IF($D412&lt;&gt;"USD","",IFERROR(INDEX(觀察名單!$Q$2:$Q$533,MATCH($C412,觀察名單!$B$2:$B$533,0)),""))</f>
        <v>359.655</v>
      </c>
    </row>
    <row r="413">
      <c r="A413" s="15" t="inlineStr">
        <is>
          <t>子板塊</t>
        </is>
      </c>
      <c r="B413" s="15" t="inlineStr">
        <is>
          <t>受監管電力公用</t>
        </is>
      </c>
      <c r="C413" s="15" t="inlineStr">
        <is>
          <t>SO</t>
        </is>
      </c>
      <c r="D413" s="15" t="str">
        <f>IFERROR(INDEX(觀察名單!$F$2:$F$533,MATCH($C413,觀察名單!$B$2:$B$533,0)),"")</f>
        <v>USD</v>
      </c>
      <c r="E413" s="16">
        <f>IF($D413&lt;&gt;"USD","",IFERROR(INDEX(觀察名單!$L$2:$L$533,MATCH($C413,觀察名單!$B$2:$B$533,0)),""))</f>
        <v>6977.0</v>
      </c>
      <c r="F413" s="16">
        <f>IF($D413&lt;&gt;"USD","",IFERROR(INDEX(觀察名單!$Q$2:$Q$533,MATCH($C413,觀察名單!$B$2:$B$533,0)),""))</f>
        <v>1776.0</v>
      </c>
    </row>
    <row r="414">
      <c r="A414" s="15" t="inlineStr">
        <is>
          <t>子板塊</t>
        </is>
      </c>
      <c r="B414" s="15" t="inlineStr">
        <is>
          <t>消費金融與BNPL</t>
        </is>
      </c>
      <c r="C414" s="15" t="inlineStr">
        <is>
          <t>SOFI</t>
        </is>
      </c>
      <c r="D414" s="15" t="str">
        <f>IFERROR(INDEX(觀察名單!$F$2:$F$533,MATCH($C414,觀察名單!$B$2:$B$533,0)),"")</f>
        <v>USD</v>
      </c>
      <c r="E414" s="16">
        <f>IF($D414&lt;&gt;"USD","",IFERROR(INDEX(觀察名單!$L$2:$L$533,MATCH($C414,觀察名單!$B$2:$B$533,0)),""))</f>
        <v>1218.676</v>
      </c>
      <c r="F414" s="16" t="str">
        <f>IF($D414&lt;&gt;"USD","",IFERROR(INDEX(觀察名單!$Q$2:$Q$533,MATCH($C414,觀察名單!$B$2:$B$533,0)),""))</f>
        <v/>
      </c>
    </row>
    <row r="415">
      <c r="A415" s="15" t="inlineStr">
        <is>
          <t>子板塊</t>
        </is>
      </c>
      <c r="B415" s="15" t="inlineStr">
        <is>
          <t>零售與購物中心REIT</t>
        </is>
      </c>
      <c r="C415" s="15" t="inlineStr">
        <is>
          <t>SPG</t>
        </is>
      </c>
      <c r="D415" s="15" t="str">
        <f>IFERROR(INDEX(觀察名單!$F$2:$F$533,MATCH($C415,觀察名單!$B$2:$B$533,0)),"")</f>
        <v>USD</v>
      </c>
      <c r="E415" s="16">
        <f>IF($D415&lt;&gt;"USD","",IFERROR(INDEX(觀察名單!$L$2:$L$533,MATCH($C415,觀察名單!$B$2:$B$533,0)),""))</f>
        <v>1790.598</v>
      </c>
      <c r="F415" s="16">
        <f>IF($D415&lt;&gt;"USD","",IFERROR(INDEX(觀察名單!$Q$2:$Q$533,MATCH($C415,觀察名單!$B$2:$B$533,0)),""))</f>
        <v>824.098</v>
      </c>
    </row>
    <row r="416">
      <c r="A416" s="15" t="inlineStr">
        <is>
          <t>子板塊</t>
        </is>
      </c>
      <c r="B416" s="15" t="inlineStr">
        <is>
          <t>交易所與金融數據</t>
        </is>
      </c>
      <c r="C416" s="15" t="inlineStr">
        <is>
          <t>SPGI</t>
        </is>
      </c>
      <c r="D416" s="15" t="str">
        <f>IFERROR(INDEX(觀察名單!$F$2:$F$533,MATCH($C416,觀察名單!$B$2:$B$533,0)),"")</f>
        <v>USD</v>
      </c>
      <c r="E416" s="16">
        <f>IF($D416&lt;&gt;"USD","",IFERROR(INDEX(觀察名單!$L$2:$L$533,MATCH($C416,觀察名單!$B$2:$B$533,0)),""))</f>
        <v>4146.0</v>
      </c>
      <c r="F416" s="16">
        <f>IF($D416&lt;&gt;"USD","",IFERROR(INDEX(觀察名單!$Q$2:$Q$533,MATCH($C416,觀察名單!$B$2:$B$533,0)),""))</f>
        <v>1801.0</v>
      </c>
    </row>
    <row r="417">
      <c r="A417" s="15" t="inlineStr">
        <is>
          <t>子板塊</t>
        </is>
      </c>
      <c r="B417" s="15" t="inlineStr">
        <is>
          <t>燃氣公用</t>
        </is>
      </c>
      <c r="C417" s="15" t="inlineStr">
        <is>
          <t>SR</t>
        </is>
      </c>
      <c r="D417" s="15" t="str">
        <f>IFERROR(INDEX(觀察名單!$F$2:$F$533,MATCH($C417,觀察名單!$B$2:$B$533,0)),"")</f>
        <v>USD</v>
      </c>
      <c r="E417" s="16">
        <f>IF($D417&lt;&gt;"USD","",IFERROR(INDEX(觀察名單!$L$2:$L$533,MATCH($C417,觀察名單!$B$2:$B$533,0)),""))</f>
        <v>420.2</v>
      </c>
      <c r="F417" s="16">
        <f>IF($D417&lt;&gt;"USD","",IFERROR(INDEX(觀察名單!$Q$2:$Q$533,MATCH($C417,觀察名單!$B$2:$B$533,0)),""))</f>
        <v>23.4</v>
      </c>
    </row>
    <row r="418">
      <c r="A418" s="15" t="inlineStr">
        <is>
          <t>子板塊</t>
        </is>
      </c>
      <c r="B418" s="15" t="inlineStr">
        <is>
          <t>工業與物流REIT</t>
        </is>
      </c>
      <c r="C418" s="15" t="inlineStr">
        <is>
          <t>STAG</t>
        </is>
      </c>
      <c r="D418" s="15" t="str">
        <f>IFERROR(INDEX(觀察名單!$F$2:$F$533,MATCH($C418,觀察名單!$B$2:$B$533,0)),"")</f>
        <v>USD</v>
      </c>
      <c r="E418" s="16">
        <f>IF($D418&lt;&gt;"USD","",IFERROR(INDEX(觀察名單!$L$2:$L$533,MATCH($C418,觀察名單!$B$2:$B$533,0)),""))</f>
        <v>224.369</v>
      </c>
      <c r="F418" s="16">
        <f>IF($D418&lt;&gt;"USD","",IFERROR(INDEX(觀察名單!$Q$2:$Q$533,MATCH($C418,觀察名單!$B$2:$B$533,0)),""))</f>
        <v>83.552</v>
      </c>
    </row>
    <row r="419">
      <c r="A419" s="15" t="inlineStr">
        <is>
          <t>子板塊</t>
        </is>
      </c>
      <c r="B419" s="15" t="inlineStr">
        <is>
          <t>鋼鐵</t>
        </is>
      </c>
      <c r="C419" s="15" t="inlineStr">
        <is>
          <t>STLD</t>
        </is>
      </c>
      <c r="D419" s="15" t="str">
        <f>IFERROR(INDEX(觀察名單!$F$2:$F$533,MATCH($C419,觀察名單!$B$2:$B$533,0)),"")</f>
        <v>USD</v>
      </c>
      <c r="E419" s="16">
        <f>IF($D419&lt;&gt;"USD","",IFERROR(INDEX(觀察名單!$L$2:$L$533,MATCH($C419,觀察名單!$B$2:$B$533,0)),""))</f>
        <v>6091.557</v>
      </c>
      <c r="F419" s="16">
        <f>IF($D419&lt;&gt;"USD","",IFERROR(INDEX(觀察名單!$Q$2:$Q$533,MATCH($C419,觀察名單!$B$2:$B$533,0)),""))</f>
        <v>757.793</v>
      </c>
    </row>
    <row r="420">
      <c r="A420" s="15" t="inlineStr">
        <is>
          <t>子板塊</t>
        </is>
      </c>
      <c r="B420" s="15" t="inlineStr">
        <is>
          <t>記憶體/HBM</t>
        </is>
      </c>
      <c r="C420" s="15" t="inlineStr">
        <is>
          <t>STX</t>
        </is>
      </c>
      <c r="D420" s="15" t="str">
        <f>IFERROR(INDEX(觀察名單!$F$2:$F$533,MATCH($C420,觀察名單!$B$2:$B$533,0)),"")</f>
        <v>USD</v>
      </c>
      <c r="E420" s="16">
        <f>IF($D420&lt;&gt;"USD","",IFERROR(INDEX(觀察名單!$L$2:$L$533,MATCH($C420,觀察名單!$B$2:$B$533,0)),""))</f>
        <v>3629.0</v>
      </c>
      <c r="F420" s="16">
        <f>IF($D420&lt;&gt;"USD","",IFERROR(INDEX(觀察名單!$Q$2:$Q$533,MATCH($C420,觀察名單!$B$2:$B$533,0)),""))</f>
        <v>1563.0</v>
      </c>
    </row>
    <row r="421">
      <c r="A421" s="15" t="inlineStr">
        <is>
          <t>子板塊</t>
        </is>
      </c>
      <c r="B421" s="15" t="inlineStr">
        <is>
          <t>酒精飲品</t>
        </is>
      </c>
      <c r="C421" s="15" t="inlineStr">
        <is>
          <t>STZ</t>
        </is>
      </c>
      <c r="D421" s="15" t="str">
        <f>IFERROR(INDEX(觀察名單!$F$2:$F$533,MATCH($C421,觀察名單!$B$2:$B$533,0)),"")</f>
        <v>USD</v>
      </c>
      <c r="E421" s="16">
        <f>IF($D421&lt;&gt;"USD","",IFERROR(INDEX(觀察名單!$L$2:$L$533,MATCH($C421,觀察名單!$B$2:$B$533,0)),""))</f>
        <v>2432.7</v>
      </c>
      <c r="F421" s="16">
        <f>IF($D421&lt;&gt;"USD","",IFERROR(INDEX(觀察名單!$Q$2:$Q$533,MATCH($C421,觀察名單!$B$2:$B$533,0)),""))</f>
        <v>863.6</v>
      </c>
    </row>
    <row r="422">
      <c r="A422" s="15" t="inlineStr">
        <is>
          <t>子板塊</t>
        </is>
      </c>
      <c r="B422" s="15" t="inlineStr">
        <is>
          <t>消費金融與BNPL</t>
        </is>
      </c>
      <c r="C422" s="15" t="inlineStr">
        <is>
          <t>SYF</t>
        </is>
      </c>
      <c r="D422" s="15" t="str">
        <f>IFERROR(INDEX(觀察名單!$F$2:$F$533,MATCH($C422,觀察名單!$B$2:$B$533,0)),"")</f>
        <v>USD</v>
      </c>
      <c r="E422" s="16">
        <f>IF($D422&lt;&gt;"USD","",IFERROR(INDEX(觀察名單!$L$2:$L$533,MATCH($C422,觀察名單!$B$2:$B$533,0)),""))</f>
        <v>3718.0</v>
      </c>
      <c r="F422" s="16" t="str">
        <f>IF($D422&lt;&gt;"USD","",IFERROR(INDEX(觀察名單!$Q$2:$Q$533,MATCH($C422,觀察名單!$B$2:$B$533,0)),""))</f>
        <v/>
      </c>
    </row>
    <row r="423">
      <c r="A423" s="15" t="inlineStr">
        <is>
          <t>子板塊</t>
        </is>
      </c>
      <c r="B423" s="15" t="inlineStr">
        <is>
          <t>醫療器械</t>
        </is>
      </c>
      <c r="C423" s="15" t="inlineStr">
        <is>
          <t>SYK</t>
        </is>
      </c>
      <c r="D423" s="15" t="str">
        <f>IFERROR(INDEX(觀察名單!$F$2:$F$533,MATCH($C423,觀察名單!$B$2:$B$533,0)),"")</f>
        <v>USD</v>
      </c>
      <c r="E423" s="16">
        <f>IF($D423&lt;&gt;"USD","",IFERROR(INDEX(觀察名單!$L$2:$L$533,MATCH($C423,觀察名單!$B$2:$B$533,0)),""))</f>
        <v>6589.0</v>
      </c>
      <c r="F423" s="16">
        <f>IF($D423&lt;&gt;"USD","",IFERROR(INDEX(觀察名單!$Q$2:$Q$533,MATCH($C423,觀察名單!$B$2:$B$533,0)),""))</f>
        <v>1660.0</v>
      </c>
    </row>
    <row r="424">
      <c r="A424" s="15" t="inlineStr">
        <is>
          <t>子板塊</t>
        </is>
      </c>
      <c r="B424" s="15" t="inlineStr">
        <is>
          <t>工業自動化與機器人</t>
        </is>
      </c>
      <c r="C424" s="15" t="inlineStr">
        <is>
          <t>SYM</t>
        </is>
      </c>
      <c r="D424" s="15" t="str">
        <f>IFERROR(INDEX(觀察名單!$F$2:$F$533,MATCH($C424,觀察名單!$B$2:$B$533,0)),"")</f>
        <v>USD</v>
      </c>
      <c r="E424" s="16">
        <f>IF($D424&lt;&gt;"USD","",IFERROR(INDEX(觀察名單!$L$2:$L$533,MATCH($C424,觀察名單!$B$2:$B$533,0)),""))</f>
        <v>720.838</v>
      </c>
      <c r="F424" s="16">
        <f>IF($D424&lt;&gt;"USD","",IFERROR(INDEX(觀察名單!$Q$2:$Q$533,MATCH($C424,觀察名單!$B$2:$B$533,0)),""))</f>
        <v>32.895</v>
      </c>
    </row>
    <row r="425">
      <c r="A425" s="15" t="inlineStr">
        <is>
          <t>子板塊</t>
        </is>
      </c>
      <c r="B425" s="15" t="inlineStr">
        <is>
          <t>必需品分銷</t>
        </is>
      </c>
      <c r="C425" s="15" t="inlineStr">
        <is>
          <t>SYY</t>
        </is>
      </c>
      <c r="D425" s="15" t="str">
        <f>IFERROR(INDEX(觀察名單!$F$2:$F$533,MATCH($C425,觀察名單!$B$2:$B$533,0)),"")</f>
        <v>USD</v>
      </c>
      <c r="E425" s="16">
        <f>IF($D425&lt;&gt;"USD","",IFERROR(INDEX(觀察名單!$L$2:$L$533,MATCH($C425,觀察名單!$B$2:$B$533,0)),""))</f>
        <v>22124.0</v>
      </c>
      <c r="F425" s="16">
        <f>IF($D425&lt;&gt;"USD","",IFERROR(INDEX(觀察名單!$Q$2:$Q$533,MATCH($C425,觀察名單!$B$2:$B$533,0)),""))</f>
        <v>983.0</v>
      </c>
    </row>
    <row r="426">
      <c r="A426" s="15" t="inlineStr">
        <is>
          <t>子板塊</t>
        </is>
      </c>
      <c r="B426" s="15" t="inlineStr">
        <is>
          <t>電信營運商</t>
        </is>
      </c>
      <c r="C426" s="15" t="inlineStr">
        <is>
          <t>T</t>
        </is>
      </c>
      <c r="D426" s="15" t="str">
        <f>IFERROR(INDEX(觀察名單!$F$2:$F$533,MATCH($C426,觀察名單!$B$2:$B$533,0)),"")</f>
        <v>USD</v>
      </c>
      <c r="E426" s="16">
        <f>IF($D426&lt;&gt;"USD","",IFERROR(INDEX(觀察名單!$L$2:$L$533,MATCH($C426,觀察名單!$B$2:$B$533,0)),""))</f>
        <v>31558.0</v>
      </c>
      <c r="F426" s="16">
        <f>IF($D426&lt;&gt;"USD","",IFERROR(INDEX(觀察名單!$Q$2:$Q$533,MATCH($C426,觀察名單!$B$2:$B$533,0)),""))</f>
        <v>7324.0</v>
      </c>
    </row>
    <row r="427">
      <c r="A427" s="15" t="inlineStr">
        <is>
          <t>子板塊</t>
        </is>
      </c>
      <c r="B427" s="15" t="inlineStr">
        <is>
          <t>酒精飲品</t>
        </is>
      </c>
      <c r="C427" s="15" t="inlineStr">
        <is>
          <t>TAP</t>
        </is>
      </c>
      <c r="D427" s="15" t="str">
        <f>IFERROR(INDEX(觀察名單!$F$2:$F$533,MATCH($C427,觀察名單!$B$2:$B$533,0)),"")</f>
        <v>USD</v>
      </c>
      <c r="E427" s="16">
        <f>IF($D427&lt;&gt;"USD","",IFERROR(INDEX(觀察名單!$L$2:$L$533,MATCH($C427,觀察名單!$B$2:$B$533,0)),""))</f>
        <v>3096.5</v>
      </c>
      <c r="F427" s="16">
        <f>IF($D427&lt;&gt;"USD","",IFERROR(INDEX(觀察名單!$Q$2:$Q$533,MATCH($C427,觀察名單!$B$2:$B$533,0)),""))</f>
        <v>344.8</v>
      </c>
    </row>
    <row r="428">
      <c r="A428" s="15" t="inlineStr">
        <is>
          <t>子板塊</t>
        </is>
      </c>
      <c r="B428" s="15" t="inlineStr">
        <is>
          <t>數位醫療與遠距醫療</t>
        </is>
      </c>
      <c r="C428" s="15" t="inlineStr">
        <is>
          <t>TDOC</t>
        </is>
      </c>
      <c r="D428" s="15" t="str">
        <f>IFERROR(INDEX(觀察名單!$F$2:$F$533,MATCH($C428,觀察名單!$B$2:$B$533,0)),"")</f>
        <v>USD</v>
      </c>
      <c r="E428" s="16">
        <f>IF($D428&lt;&gt;"USD","",IFERROR(INDEX(觀察名單!$L$2:$L$533,MATCH($C428,觀察名單!$B$2:$B$533,0)),""))</f>
        <v>606.927</v>
      </c>
      <c r="F428" s="16">
        <f>IF($D428&lt;&gt;"USD","",IFERROR(INDEX(觀察名單!$Q$2:$Q$533,MATCH($C428,觀察名單!$B$2:$B$533,0)),""))</f>
        <v>-34.498</v>
      </c>
    </row>
    <row r="429">
      <c r="A429" s="15" t="inlineStr">
        <is>
          <t>子板塊</t>
        </is>
      </c>
      <c r="B429" s="15" t="inlineStr">
        <is>
          <t>海上鑽井與設備</t>
        </is>
      </c>
      <c r="C429" s="15" t="inlineStr">
        <is>
          <t>TDW</t>
        </is>
      </c>
      <c r="D429" s="15" t="str">
        <f>IFERROR(INDEX(觀察名單!$F$2:$F$533,MATCH($C429,觀察名單!$B$2:$B$533,0)),"")</f>
        <v>USD</v>
      </c>
      <c r="E429" s="16">
        <f>IF($D429&lt;&gt;"USD","",IFERROR(INDEX(觀察名單!$L$2:$L$533,MATCH($C429,觀察名單!$B$2:$B$533,0)),""))</f>
        <v>342.287</v>
      </c>
      <c r="F429" s="16">
        <f>IF($D429&lt;&gt;"USD","",IFERROR(INDEX(觀察名單!$Q$2:$Q$533,MATCH($C429,觀察名單!$B$2:$B$533,0)),""))</f>
        <v>59.212</v>
      </c>
    </row>
    <row r="430">
      <c r="A430" s="15" t="inlineStr">
        <is>
          <t>子板塊</t>
        </is>
      </c>
      <c r="B430" s="15" t="inlineStr">
        <is>
          <t>企業軟體/SaaS</t>
        </is>
      </c>
      <c r="C430" s="15" t="inlineStr">
        <is>
          <t>TEAM</t>
        </is>
      </c>
      <c r="D430" s="15" t="str">
        <f>IFERROR(INDEX(觀察名單!$F$2:$F$533,MATCH($C430,觀察名單!$B$2:$B$533,0)),"")</f>
        <v>USD</v>
      </c>
      <c r="E430" s="16">
        <f>IF($D430&lt;&gt;"USD","",IFERROR(INDEX(觀察名單!$L$2:$L$533,MATCH($C430,觀察名單!$B$2:$B$533,0)),""))</f>
        <v>1766.469</v>
      </c>
      <c r="F430" s="16">
        <f>IF($D430&lt;&gt;"USD","",IFERROR(INDEX(觀察名單!$Q$2:$Q$533,MATCH($C430,觀察名單!$B$2:$B$533,0)),""))</f>
        <v>210.723</v>
      </c>
    </row>
    <row r="431">
      <c r="A431" s="15" t="inlineStr">
        <is>
          <t>子板塊</t>
        </is>
      </c>
      <c r="B431" s="15" t="inlineStr">
        <is>
          <t>銅與基本金屬</t>
        </is>
      </c>
      <c r="C431" s="15" t="inlineStr">
        <is>
          <t>TECK</t>
        </is>
      </c>
      <c r="D431" s="15" t="str">
        <f>IFERROR(INDEX(觀察名單!$F$2:$F$533,MATCH($C431,觀察名單!$B$2:$B$533,0)),"")</f>
        <v>CAD</v>
      </c>
      <c r="E431" s="16" t="str">
        <f>IF($D431&lt;&gt;"USD","",IFERROR(INDEX(觀察名單!$L$2:$L$533,MATCH($C431,觀察名單!$B$2:$B$533,0)),""))</f>
        <v/>
      </c>
      <c r="F431" s="16" t="str">
        <f>IF($D431&lt;&gt;"USD","",IFERROR(INDEX(觀察名單!$Q$2:$Q$533,MATCH($C431,觀察名單!$B$2:$B$533,0)),""))</f>
        <v/>
      </c>
    </row>
    <row r="432">
      <c r="A432" s="15" t="inlineStr">
        <is>
          <t>子板塊</t>
        </is>
      </c>
      <c r="B432" s="15" t="inlineStr">
        <is>
          <t>電子硬件與EMS/連接器</t>
        </is>
      </c>
      <c r="C432" s="15" t="inlineStr">
        <is>
          <t>TEL</t>
        </is>
      </c>
      <c r="D432" s="15" t="str">
        <f>IFERROR(INDEX(觀察名單!$F$2:$F$533,MATCH($C432,觀察名單!$B$2:$B$533,0)),"")</f>
        <v>USD</v>
      </c>
      <c r="E432" s="16">
        <f>IF($D432&lt;&gt;"USD","",IFERROR(INDEX(觀察名單!$L$2:$L$533,MATCH($C432,觀察名單!$B$2:$B$533,0)),""))</f>
        <v>5160.0</v>
      </c>
      <c r="F432" s="16">
        <f>IF($D432&lt;&gt;"USD","",IFERROR(INDEX(觀察名單!$Q$2:$Q$533,MATCH($C432,觀察名單!$B$2:$B$533,0)),""))</f>
        <v>1073.0</v>
      </c>
    </row>
    <row r="433">
      <c r="A433" s="15" t="inlineStr">
        <is>
          <t>子板塊</t>
        </is>
      </c>
      <c r="B433" s="15" t="inlineStr">
        <is>
          <t>半導體設備</t>
        </is>
      </c>
      <c r="C433" s="15" t="inlineStr">
        <is>
          <t>TER</t>
        </is>
      </c>
      <c r="D433" s="15" t="str">
        <f>IFERROR(INDEX(觀察名單!$F$2:$F$533,MATCH($C433,觀察名單!$B$2:$B$533,0)),"")</f>
        <v>USD</v>
      </c>
      <c r="E433" s="16">
        <f>IF($D433&lt;&gt;"USD","",IFERROR(INDEX(觀察名單!$L$2:$L$533,MATCH($C433,觀察名單!$B$2:$B$533,0)),""))</f>
        <v>1328.99</v>
      </c>
      <c r="F433" s="16">
        <f>IF($D433&lt;&gt;"USD","",IFERROR(INDEX(觀察名單!$Q$2:$Q$533,MATCH($C433,觀察名單!$B$2:$B$533,0)),""))</f>
        <v>440.842</v>
      </c>
    </row>
    <row r="434">
      <c r="A434" s="15" t="inlineStr">
        <is>
          <t>子板塊</t>
        </is>
      </c>
      <c r="B434" s="15" t="inlineStr">
        <is>
          <t>工業自動化與機器人</t>
        </is>
      </c>
      <c r="C434" s="15" t="inlineStr">
        <is>
          <t>TER</t>
        </is>
      </c>
      <c r="D434" s="15" t="str">
        <f>IFERROR(INDEX(觀察名單!$F$2:$F$533,MATCH($C434,觀察名單!$B$2:$B$533,0)),"")</f>
        <v>USD</v>
      </c>
      <c r="E434" s="16">
        <f>IF($D434&lt;&gt;"USD","",IFERROR(INDEX(觀察名單!$L$2:$L$533,MATCH($C434,觀察名單!$B$2:$B$533,0)),""))</f>
        <v>1328.99</v>
      </c>
      <c r="F434" s="16">
        <f>IF($D434&lt;&gt;"USD","",IFERROR(INDEX(觀察名單!$Q$2:$Q$533,MATCH($C434,觀察名單!$B$2:$B$533,0)),""))</f>
        <v>440.842</v>
      </c>
    </row>
    <row r="435">
      <c r="A435" s="15" t="inlineStr">
        <is>
          <t>子板塊</t>
        </is>
      </c>
      <c r="B435" s="15" t="inlineStr">
        <is>
          <t>區域與社區銀行</t>
        </is>
      </c>
      <c r="C435" s="15" t="inlineStr">
        <is>
          <t>TFC</t>
        </is>
      </c>
      <c r="D435" s="15" t="str">
        <f>IFERROR(INDEX(觀察名單!$F$2:$F$533,MATCH($C435,觀察名單!$B$2:$B$533,0)),"")</f>
        <v>USD</v>
      </c>
      <c r="E435" s="16" t="str">
        <f>IF($D435&lt;&gt;"USD","",IFERROR(INDEX(觀察名單!$L$2:$L$533,MATCH($C435,觀察名單!$B$2:$B$533,0)),""))</f>
        <v/>
      </c>
      <c r="F435" s="16" t="str">
        <f>IF($D435&lt;&gt;"USD","",IFERROR(INDEX(觀察名單!$Q$2:$Q$533,MATCH($C435,觀察名單!$B$2:$B$533,0)),""))</f>
        <v/>
      </c>
    </row>
    <row r="436">
      <c r="A436" s="15" t="inlineStr">
        <is>
          <t>子板塊</t>
        </is>
      </c>
      <c r="B436" s="15" t="inlineStr">
        <is>
          <t>醫院與醫療服務</t>
        </is>
      </c>
      <c r="C436" s="15" t="inlineStr">
        <is>
          <t>THC</t>
        </is>
      </c>
      <c r="D436" s="15" t="str">
        <f>IFERROR(INDEX(觀察名單!$F$2:$F$533,MATCH($C436,觀察名單!$B$2:$B$533,0)),"")</f>
        <v>USD</v>
      </c>
      <c r="E436" s="16">
        <f>IF($D436&lt;&gt;"USD","",IFERROR(INDEX(觀察名單!$L$2:$L$533,MATCH($C436,觀察名單!$B$2:$B$533,0)),""))</f>
        <v>6041.0</v>
      </c>
      <c r="F436" s="16">
        <f>IF($D436&lt;&gt;"USD","",IFERROR(INDEX(觀察名單!$Q$2:$Q$533,MATCH($C436,觀察名單!$B$2:$B$533,0)),""))</f>
        <v>1437.0</v>
      </c>
    </row>
    <row r="437">
      <c r="A437" s="15" t="inlineStr">
        <is>
          <t>子板塊</t>
        </is>
      </c>
      <c r="B437" s="15" t="inlineStr">
        <is>
          <t>專門零售</t>
        </is>
      </c>
      <c r="C437" s="15" t="inlineStr">
        <is>
          <t>TJX</t>
        </is>
      </c>
      <c r="D437" s="15" t="str">
        <f>IFERROR(INDEX(觀察名單!$F$2:$F$533,MATCH($C437,觀察名單!$B$2:$B$533,0)),"")</f>
        <v>USD</v>
      </c>
      <c r="E437" s="16">
        <f>IF($D437&lt;&gt;"USD","",IFERROR(INDEX(觀察名單!$L$2:$L$533,MATCH($C437,觀察名單!$B$2:$B$533,0)),""))</f>
        <v>15180.0</v>
      </c>
      <c r="F437" s="16">
        <f>IF($D437&lt;&gt;"USD","",IFERROR(INDEX(觀察名單!$Q$2:$Q$533,MATCH($C437,觀察名單!$B$2:$B$533,0)),""))</f>
        <v>1987.0</v>
      </c>
    </row>
    <row r="438">
      <c r="A438" s="15" t="inlineStr">
        <is>
          <t>子板塊</t>
        </is>
      </c>
      <c r="B438" s="15" t="inlineStr">
        <is>
          <t>IPP與電力交易商</t>
        </is>
      </c>
      <c r="C438" s="15" t="inlineStr">
        <is>
          <t>TLN</t>
        </is>
      </c>
      <c r="D438" s="15" t="str">
        <f>IFERROR(INDEX(觀察名單!$F$2:$F$533,MATCH($C438,觀察名單!$B$2:$B$533,0)),"")</f>
        <v>USD</v>
      </c>
      <c r="E438" s="16">
        <f>IF($D438&lt;&gt;"USD","",IFERROR(INDEX(觀察名單!$L$2:$L$533,MATCH($C438,觀察名單!$B$2:$B$533,0)),""))</f>
        <v>959.0</v>
      </c>
      <c r="F438" s="16">
        <f>IF($D438&lt;&gt;"USD","",IFERROR(INDEX(觀察名單!$Q$2:$Q$533,MATCH($C438,觀察名單!$B$2:$B$533,0)),""))</f>
        <v>139.0</v>
      </c>
    </row>
    <row r="439">
      <c r="A439" s="15" t="inlineStr">
        <is>
          <t>子板塊</t>
        </is>
      </c>
      <c r="B439" s="15" t="inlineStr">
        <is>
          <t>稀土與關鍵礦產</t>
        </is>
      </c>
      <c r="C439" s="15" t="inlineStr">
        <is>
          <t>TMC</t>
        </is>
      </c>
      <c r="D439" s="15" t="str">
        <f>IFERROR(INDEX(觀察名單!$F$2:$F$533,MATCH($C439,觀察名單!$B$2:$B$533,0)),"")</f>
        <v>USD</v>
      </c>
      <c r="E439" s="16">
        <f>IF($D439&lt;&gt;"USD","",IFERROR(INDEX(觀察名單!$L$2:$L$533,MATCH($C439,觀察名單!$B$2:$B$533,0)),""))</f>
        <v>0.0</v>
      </c>
      <c r="F439" s="16">
        <f>IF($D439&lt;&gt;"USD","",IFERROR(INDEX(觀察名單!$Q$2:$Q$533,MATCH($C439,觀察名單!$B$2:$B$533,0)),""))</f>
        <v>-71.717</v>
      </c>
    </row>
    <row r="440">
      <c r="A440" s="15" t="inlineStr">
        <is>
          <t>子板塊</t>
        </is>
      </c>
      <c r="B440" s="15" t="inlineStr">
        <is>
          <t>診斷與生命科學工具</t>
        </is>
      </c>
      <c r="C440" s="15" t="inlineStr">
        <is>
          <t>TMO</t>
        </is>
      </c>
      <c r="D440" s="15" t="str">
        <f>IFERROR(INDEX(觀察名單!$F$2:$F$533,MATCH($C440,觀察名單!$B$2:$B$533,0)),"")</f>
        <v>USD</v>
      </c>
      <c r="E440" s="16">
        <f>IF($D440&lt;&gt;"USD","",IFERROR(INDEX(觀察名單!$L$2:$L$533,MATCH($C440,觀察名單!$B$2:$B$533,0)),""))</f>
        <v>11994.0</v>
      </c>
      <c r="F440" s="16">
        <f>IF($D440&lt;&gt;"USD","",IFERROR(INDEX(觀察名單!$Q$2:$Q$533,MATCH($C440,觀察名單!$B$2:$B$533,0)),""))</f>
        <v>2185.0</v>
      </c>
    </row>
    <row r="441">
      <c r="A441" s="15" t="inlineStr">
        <is>
          <t>子板塊</t>
        </is>
      </c>
      <c r="B441" s="15" t="inlineStr">
        <is>
          <t>電信營運商</t>
        </is>
      </c>
      <c r="C441" s="15" t="inlineStr">
        <is>
          <t>TMUS</t>
        </is>
      </c>
      <c r="D441" s="15" t="str">
        <f>IFERROR(INDEX(觀察名單!$F$2:$F$533,MATCH($C441,觀察名單!$B$2:$B$533,0)),"")</f>
        <v>USD</v>
      </c>
      <c r="E441" s="16">
        <f>IF($D441&lt;&gt;"USD","",IFERROR(INDEX(觀察名單!$L$2:$L$533,MATCH($C441,觀察名單!$B$2:$B$533,0)),""))</f>
        <v>22791.0</v>
      </c>
      <c r="F441" s="16">
        <f>IF($D441&lt;&gt;"USD","",IFERROR(INDEX(觀察名單!$Q$2:$Q$533,MATCH($C441,觀察名單!$B$2:$B$533,0)),""))</f>
        <v>5490.0</v>
      </c>
    </row>
    <row r="442">
      <c r="A442" s="15" t="inlineStr">
        <is>
          <t>子板塊</t>
        </is>
      </c>
      <c r="B442" s="15" t="inlineStr">
        <is>
          <t>住宅建築商</t>
        </is>
      </c>
      <c r="C442" s="15" t="inlineStr">
        <is>
          <t>TOL</t>
        </is>
      </c>
      <c r="D442" s="15" t="str">
        <f>IFERROR(INDEX(觀察名單!$F$2:$F$533,MATCH($C442,觀察名單!$B$2:$B$533,0)),"")</f>
        <v>USD</v>
      </c>
      <c r="E442" s="16">
        <f>IF($D442&lt;&gt;"USD","",IFERROR(INDEX(觀察名單!$L$2:$L$533,MATCH($C442,觀察名單!$B$2:$B$533,0)),""))</f>
        <v>2658.781</v>
      </c>
      <c r="F442" s="16">
        <f>IF($D442&lt;&gt;"USD","",IFERROR(INDEX(觀察名單!$Q$2:$Q$533,MATCH($C442,觀察名單!$B$2:$B$533,0)),""))</f>
        <v>359.151</v>
      </c>
    </row>
    <row r="443">
      <c r="A443" s="15" t="inlineStr">
        <is>
          <t>子板塊</t>
        </is>
      </c>
      <c r="B443" s="15" t="inlineStr">
        <is>
          <t>支付與收單</t>
        </is>
      </c>
      <c r="C443" s="15" t="inlineStr">
        <is>
          <t>TOST</t>
        </is>
      </c>
      <c r="D443" s="15" t="str">
        <f>IFERROR(INDEX(觀察名單!$F$2:$F$533,MATCH($C443,觀察名單!$B$2:$B$533,0)),"")</f>
        <v>USD</v>
      </c>
      <c r="E443" s="16">
        <f>IF($D443&lt;&gt;"USD","",IFERROR(INDEX(觀察名單!$L$2:$L$533,MATCH($C443,觀察名單!$B$2:$B$533,0)),""))</f>
        <v>1908.0</v>
      </c>
      <c r="F443" s="16">
        <f>IF($D443&lt;&gt;"USD","",IFERROR(INDEX(觀察名單!$Q$2:$Q$533,MATCH($C443,觀察名單!$B$2:$B$533,0)),""))</f>
        <v>152.0</v>
      </c>
    </row>
    <row r="444">
      <c r="A444" s="15" t="inlineStr">
        <is>
          <t>子板塊</t>
        </is>
      </c>
      <c r="B444" s="15" t="inlineStr">
        <is>
          <t>煙草與尼古丁</t>
        </is>
      </c>
      <c r="C444" s="15" t="inlineStr">
        <is>
          <t>TPB</t>
        </is>
      </c>
      <c r="D444" s="15" t="str">
        <f>IFERROR(INDEX(觀察名單!$F$2:$F$533,MATCH($C444,觀察名單!$B$2:$B$533,0)),"")</f>
        <v>USD</v>
      </c>
      <c r="E444" s="16">
        <f>IF($D444&lt;&gt;"USD","",IFERROR(INDEX(觀察名單!$L$2:$L$533,MATCH($C444,觀察名單!$B$2:$B$533,0)),""))</f>
        <v>142.96</v>
      </c>
      <c r="F444" s="16">
        <f>IF($D444&lt;&gt;"USD","",IFERROR(INDEX(觀察名單!$Q$2:$Q$533,MATCH($C444,觀察名單!$B$2:$B$533,0)),""))</f>
        <v>16.713</v>
      </c>
    </row>
    <row r="445">
      <c r="A445" s="15" t="inlineStr">
        <is>
          <t>子板塊</t>
        </is>
      </c>
      <c r="B445" s="15" t="inlineStr">
        <is>
          <t>資產管理</t>
        </is>
      </c>
      <c r="C445" s="15" t="inlineStr">
        <is>
          <t>TROW</t>
        </is>
      </c>
      <c r="D445" s="15" t="str">
        <f>IFERROR(INDEX(觀察名單!$F$2:$F$533,MATCH($C445,觀察名單!$B$2:$B$533,0)),"")</f>
        <v>USD</v>
      </c>
      <c r="E445" s="16">
        <f>IF($D445&lt;&gt;"USD","",IFERROR(INDEX(觀察名單!$L$2:$L$533,MATCH($C445,觀察名單!$B$2:$B$533,0)),""))</f>
        <v>1907.4</v>
      </c>
      <c r="F445" s="16">
        <f>IF($D445&lt;&gt;"USD","",IFERROR(INDEX(觀察名單!$Q$2:$Q$533,MATCH($C445,觀察名單!$B$2:$B$533,0)),""))</f>
        <v>563.7</v>
      </c>
    </row>
    <row r="446">
      <c r="A446" s="15" t="inlineStr">
        <is>
          <t>子板塊</t>
        </is>
      </c>
      <c r="B446" s="15" t="inlineStr">
        <is>
          <t>產險與再保</t>
        </is>
      </c>
      <c r="C446" s="15" t="inlineStr">
        <is>
          <t>TRV</t>
        </is>
      </c>
      <c r="D446" s="15" t="str">
        <f>IFERROR(INDEX(觀察名單!$F$2:$F$533,MATCH($C446,觀察名單!$B$2:$B$533,0)),"")</f>
        <v>USD</v>
      </c>
      <c r="E446" s="16">
        <f>IF($D446&lt;&gt;"USD","",IFERROR(INDEX(觀察名單!$L$2:$L$533,MATCH($C446,觀察名單!$B$2:$B$533,0)),""))</f>
        <v>12153.0</v>
      </c>
      <c r="F446" s="16">
        <f>IF($D446&lt;&gt;"USD","",IFERROR(INDEX(觀察名單!$Q$2:$Q$533,MATCH($C446,觀察名單!$B$2:$B$533,0)),""))</f>
        <v>2880.0</v>
      </c>
    </row>
    <row r="447">
      <c r="A447" s="15" t="inlineStr">
        <is>
          <t>子板塊</t>
        </is>
      </c>
      <c r="B447" s="15" t="inlineStr">
        <is>
          <t>電動車與新能源車</t>
        </is>
      </c>
      <c r="C447" s="15" t="inlineStr">
        <is>
          <t>TSLA</t>
        </is>
      </c>
      <c r="D447" s="15" t="str">
        <f>IFERROR(INDEX(觀察名單!$F$2:$F$533,MATCH($C447,觀察名單!$B$2:$B$533,0)),"")</f>
        <v>USD</v>
      </c>
      <c r="E447" s="16">
        <f>IF($D447&lt;&gt;"USD","",IFERROR(INDEX(觀察名單!$L$2:$L$533,MATCH($C447,觀察名單!$B$2:$B$533,0)),""))</f>
        <v>28236.0</v>
      </c>
      <c r="F447" s="16">
        <f>IF($D447&lt;&gt;"USD","",IFERROR(INDEX(觀察名單!$Q$2:$Q$533,MATCH($C447,觀察名單!$B$2:$B$533,0)),""))</f>
        <v>398.0</v>
      </c>
    </row>
    <row r="448">
      <c r="A448" s="15" t="inlineStr">
        <is>
          <t>子板塊</t>
        </is>
      </c>
      <c r="B448" s="15" t="inlineStr">
        <is>
          <t>晶圓代工/IDM</t>
        </is>
      </c>
      <c r="C448" s="15" t="inlineStr">
        <is>
          <t>TSM</t>
        </is>
      </c>
      <c r="D448" s="15" t="str">
        <f>IFERROR(INDEX(觀察名單!$F$2:$F$533,MATCH($C448,觀察名單!$B$2:$B$533,0)),"")</f>
        <v>TWD</v>
      </c>
      <c r="E448" s="16" t="str">
        <f>IF($D448&lt;&gt;"USD","",IFERROR(INDEX(觀察名單!$L$2:$L$533,MATCH($C448,觀察名單!$B$2:$B$533,0)),""))</f>
        <v/>
      </c>
      <c r="F448" s="16" t="str">
        <f>IF($D448&lt;&gt;"USD","",IFERROR(INDEX(觀察名單!$Q$2:$Q$533,MATCH($C448,觀察名單!$B$2:$B$533,0)),""))</f>
        <v/>
      </c>
    </row>
    <row r="449">
      <c r="A449" s="15" t="inlineStr">
        <is>
          <t>子板塊</t>
        </is>
      </c>
      <c r="B449" s="15" t="inlineStr">
        <is>
          <t>農產品與農業投入</t>
        </is>
      </c>
      <c r="C449" s="15" t="inlineStr">
        <is>
          <t>TSN</t>
        </is>
      </c>
      <c r="D449" s="15" t="str">
        <f>IFERROR(INDEX(觀察名單!$F$2:$F$533,MATCH($C449,觀察名單!$B$2:$B$533,0)),"")</f>
        <v>USD</v>
      </c>
      <c r="E449" s="16">
        <f>IF($D449&lt;&gt;"USD","",IFERROR(INDEX(觀察名單!$L$2:$L$533,MATCH($C449,觀察名單!$B$2:$B$533,0)),""))</f>
        <v>13868.0</v>
      </c>
      <c r="F449" s="16">
        <f>IF($D449&lt;&gt;"USD","",IFERROR(INDEX(觀察名單!$Q$2:$Q$533,MATCH($C449,觀察名單!$B$2:$B$533,0)),""))</f>
        <v>362.0</v>
      </c>
    </row>
    <row r="450">
      <c r="A450" s="15" t="inlineStr">
        <is>
          <t>子板塊</t>
        </is>
      </c>
      <c r="B450" s="15" t="inlineStr">
        <is>
          <t>樓宇產品與HVAC</t>
        </is>
      </c>
      <c r="C450" s="15" t="inlineStr">
        <is>
          <t>TT</t>
        </is>
      </c>
      <c r="D450" s="15" t="str">
        <f>IFERROR(INDEX(觀察名單!$F$2:$F$533,MATCH($C450,觀察名單!$B$2:$B$533,0)),"")</f>
        <v>USD</v>
      </c>
      <c r="E450" s="16">
        <f>IF($D450&lt;&gt;"USD","",IFERROR(INDEX(觀察名單!$L$2:$L$533,MATCH($C450,觀察名單!$B$2:$B$533,0)),""))</f>
        <v>6353.5</v>
      </c>
      <c r="F450" s="16">
        <f>IF($D450&lt;&gt;"USD","",IFERROR(INDEX(觀察名單!$Q$2:$Q$533,MATCH($C450,觀察名單!$B$2:$B$533,0)),""))</f>
        <v>1224.3</v>
      </c>
    </row>
    <row r="451">
      <c r="A451" s="15" t="inlineStr">
        <is>
          <t>子板塊</t>
        </is>
      </c>
      <c r="B451" s="15" t="inlineStr">
        <is>
          <t>互動遊戲</t>
        </is>
      </c>
      <c r="C451" s="15" t="inlineStr">
        <is>
          <t>TTWO</t>
        </is>
      </c>
      <c r="D451" s="15" t="str">
        <f>IFERROR(INDEX(觀察名單!$F$2:$F$533,MATCH($C451,觀察名單!$B$2:$B$533,0)),"")</f>
        <v>USD</v>
      </c>
      <c r="E451" s="16">
        <f>IF($D451&lt;&gt;"USD","",IFERROR(INDEX(觀察名單!$L$2:$L$533,MATCH($C451,觀察名單!$B$2:$B$533,0)),""))</f>
        <v>1533.9</v>
      </c>
      <c r="F451" s="16">
        <f>IF($D451&lt;&gt;"USD","",IFERROR(INDEX(觀察名單!$Q$2:$Q$533,MATCH($C451,觀察名單!$B$2:$B$533,0)),""))</f>
        <v>-35.5</v>
      </c>
    </row>
    <row r="452">
      <c r="A452" s="15" t="inlineStr">
        <is>
          <t>子板塊</t>
        </is>
      </c>
      <c r="B452" s="15" t="inlineStr">
        <is>
          <t>類比/功率半導體</t>
        </is>
      </c>
      <c r="C452" s="15" t="inlineStr">
        <is>
          <t>TXN</t>
        </is>
      </c>
      <c r="D452" s="15" t="str">
        <f>IFERROR(INDEX(觀察名單!$F$2:$F$533,MATCH($C452,觀察名單!$B$2:$B$533,0)),"")</f>
        <v>USD</v>
      </c>
      <c r="E452" s="16">
        <f>IF($D452&lt;&gt;"USD","",IFERROR(INDEX(觀察名單!$L$2:$L$533,MATCH($C452,觀察名單!$B$2:$B$533,0)),""))</f>
        <v>5463.0</v>
      </c>
      <c r="F452" s="16">
        <f>IF($D452&lt;&gt;"USD","",IFERROR(INDEX(觀察名單!$Q$2:$Q$533,MATCH($C452,觀察名單!$B$2:$B$533,0)),""))</f>
        <v>2327.0</v>
      </c>
    </row>
    <row r="453">
      <c r="A453" s="15" t="inlineStr">
        <is>
          <t>子板塊</t>
        </is>
      </c>
      <c r="B453" s="15" t="inlineStr">
        <is>
          <t>航空公司</t>
        </is>
      </c>
      <c r="C453" s="15" t="inlineStr">
        <is>
          <t>UAL</t>
        </is>
      </c>
      <c r="D453" s="15" t="str">
        <f>IFERROR(INDEX(觀察名單!$F$2:$F$533,MATCH($C453,觀察名單!$B$2:$B$533,0)),"")</f>
        <v>USD</v>
      </c>
      <c r="E453" s="16">
        <f>IF($D453&lt;&gt;"USD","",IFERROR(INDEX(觀察名單!$L$2:$L$533,MATCH($C453,觀察名單!$B$2:$B$533,0)),""))</f>
        <v>17672.0</v>
      </c>
      <c r="F453" s="16">
        <f>IF($D453&lt;&gt;"USD","",IFERROR(INDEX(觀察名單!$Q$2:$Q$533,MATCH($C453,觀察名單!$B$2:$B$533,0)),""))</f>
        <v>951.0</v>
      </c>
    </row>
    <row r="454">
      <c r="A454" s="15" t="inlineStr">
        <is>
          <t>子板塊</t>
        </is>
      </c>
      <c r="B454" s="15" t="inlineStr">
        <is>
          <t>鈾與核燃料</t>
        </is>
      </c>
      <c r="C454" s="15" t="inlineStr">
        <is>
          <t>UEC</t>
        </is>
      </c>
      <c r="D454" s="15" t="str">
        <f>IFERROR(INDEX(觀察名單!$F$2:$F$533,MATCH($C454,觀察名單!$B$2:$B$533,0)),"")</f>
        <v>USD</v>
      </c>
      <c r="E454" s="16">
        <f>IF($D454&lt;&gt;"USD","",IFERROR(INDEX(觀察名單!$L$2:$L$533,MATCH($C454,觀察名單!$B$2:$B$533,0)),""))</f>
        <v>0.0</v>
      </c>
      <c r="F454" s="16">
        <f>IF($D454&lt;&gt;"USD","",IFERROR(INDEX(觀察名單!$Q$2:$Q$533,MATCH($C454,觀察名單!$B$2:$B$533,0)),""))</f>
        <v>-40.748</v>
      </c>
    </row>
    <row r="455">
      <c r="A455" s="15" t="inlineStr">
        <is>
          <t>子板塊</t>
        </is>
      </c>
      <c r="B455" s="15" t="inlineStr">
        <is>
          <t>醫院與醫療服務</t>
        </is>
      </c>
      <c r="C455" s="15" t="inlineStr">
        <is>
          <t>UHS</t>
        </is>
      </c>
      <c r="D455" s="15" t="str">
        <f>IFERROR(INDEX(觀察名單!$F$2:$F$533,MATCH($C455,觀察名單!$B$2:$B$533,0)),"")</f>
        <v>USD</v>
      </c>
      <c r="E455" s="16">
        <f>IF($D455&lt;&gt;"USD","",IFERROR(INDEX(觀察名單!$L$2:$L$533,MATCH($C455,觀察名單!$B$2:$B$533,0)),""))</f>
        <v>4638.012</v>
      </c>
      <c r="F455" s="16">
        <f>IF($D455&lt;&gt;"USD","",IFERROR(INDEX(觀察名單!$Q$2:$Q$533,MATCH($C455,觀察名單!$B$2:$B$533,0)),""))</f>
        <v>516.675</v>
      </c>
    </row>
    <row r="456">
      <c r="A456" s="15" t="inlineStr">
        <is>
          <t>子板塊</t>
        </is>
      </c>
      <c r="B456" s="15" t="inlineStr">
        <is>
          <t>晶圓代工/IDM</t>
        </is>
      </c>
      <c r="C456" s="15" t="inlineStr">
        <is>
          <t>UMC</t>
        </is>
      </c>
      <c r="D456" s="15" t="str">
        <f>IFERROR(INDEX(觀察名單!$F$2:$F$533,MATCH($C456,觀察名單!$B$2:$B$533,0)),"")</f>
        <v>TWD</v>
      </c>
      <c r="E456" s="16" t="str">
        <f>IF($D456&lt;&gt;"USD","",IFERROR(INDEX(觀察名單!$L$2:$L$533,MATCH($C456,觀察名單!$B$2:$B$533,0)),""))</f>
        <v/>
      </c>
      <c r="F456" s="16" t="str">
        <f>IF($D456&lt;&gt;"USD","",IFERROR(INDEX(觀察名單!$Q$2:$Q$533,MATCH($C456,觀察名單!$B$2:$B$533,0)),""))</f>
        <v/>
      </c>
    </row>
    <row r="457">
      <c r="A457" s="15" t="inlineStr">
        <is>
          <t>子板塊</t>
        </is>
      </c>
      <c r="B457" s="15" t="inlineStr">
        <is>
          <t>醫療保險與管理式醫療</t>
        </is>
      </c>
      <c r="C457" s="15" t="inlineStr">
        <is>
          <t>UNH</t>
        </is>
      </c>
      <c r="D457" s="15" t="str">
        <f>IFERROR(INDEX(觀察名單!$F$2:$F$533,MATCH($C457,觀察名單!$B$2:$B$533,0)),"")</f>
        <v>USD</v>
      </c>
      <c r="E457" s="16">
        <f>IF($D457&lt;&gt;"USD","",IFERROR(INDEX(觀察名單!$L$2:$L$533,MATCH($C457,觀察名單!$B$2:$B$533,0)),""))</f>
        <v>112032.0</v>
      </c>
      <c r="F457" s="16">
        <f>IF($D457&lt;&gt;"USD","",IFERROR(INDEX(觀察名單!$Q$2:$Q$533,MATCH($C457,觀察名單!$B$2:$B$533,0)),""))</f>
        <v>7991.0</v>
      </c>
    </row>
    <row r="458">
      <c r="A458" s="15" t="inlineStr">
        <is>
          <t>子板塊</t>
        </is>
      </c>
      <c r="B458" s="15" t="inlineStr">
        <is>
          <t>鐵路運輸</t>
        </is>
      </c>
      <c r="C458" s="15" t="inlineStr">
        <is>
          <t>UNP</t>
        </is>
      </c>
      <c r="D458" s="15" t="str">
        <f>IFERROR(INDEX(觀察名單!$F$2:$F$533,MATCH($C458,觀察名單!$B$2:$B$533,0)),"")</f>
        <v>USD</v>
      </c>
      <c r="E458" s="16">
        <f>IF($D458&lt;&gt;"USD","",IFERROR(INDEX(觀察名單!$L$2:$L$533,MATCH($C458,觀察名單!$B$2:$B$533,0)),""))</f>
        <v>6864.0</v>
      </c>
      <c r="F458" s="16">
        <f>IF($D458&lt;&gt;"USD","",IFERROR(INDEX(觀察名單!$Q$2:$Q$533,MATCH($C458,觀察名單!$B$2:$B$533,0)),""))</f>
        <v>2763.0</v>
      </c>
    </row>
    <row r="459">
      <c r="A459" s="15" t="inlineStr">
        <is>
          <t>子板塊</t>
        </is>
      </c>
      <c r="B459" s="15" t="inlineStr">
        <is>
          <t>貨運與物流</t>
        </is>
      </c>
      <c r="C459" s="15" t="inlineStr">
        <is>
          <t>UPS</t>
        </is>
      </c>
      <c r="D459" s="15" t="str">
        <f>IFERROR(INDEX(觀察名單!$F$2:$F$533,MATCH($C459,觀察名單!$B$2:$B$533,0)),"")</f>
        <v>USD</v>
      </c>
      <c r="E459" s="16">
        <f>IF($D459&lt;&gt;"USD","",IFERROR(INDEX(觀察名單!$L$2:$L$533,MATCH($C459,觀察名單!$B$2:$B$533,0)),""))</f>
        <v>22834.0</v>
      </c>
      <c r="F459" s="16">
        <f>IF($D459&lt;&gt;"USD","",IFERROR(INDEX(觀察名單!$Q$2:$Q$533,MATCH($C459,觀察名單!$B$2:$B$533,0)),""))</f>
        <v>930.0</v>
      </c>
    </row>
    <row r="460">
      <c r="A460" s="15" t="inlineStr">
        <is>
          <t>子板塊</t>
        </is>
      </c>
      <c r="B460" s="15" t="inlineStr">
        <is>
          <t>稀土與關鍵礦產</t>
        </is>
      </c>
      <c r="C460" s="15" t="inlineStr">
        <is>
          <t>USAR</t>
        </is>
      </c>
      <c r="D460" s="15" t="str">
        <f>IFERROR(INDEX(觀察名單!$F$2:$F$533,MATCH($C460,觀察名單!$B$2:$B$533,0)),"")</f>
        <v>USD</v>
      </c>
      <c r="E460" s="16">
        <f>IF($D460&lt;&gt;"USD","",IFERROR(INDEX(觀察名單!$L$2:$L$533,MATCH($C460,觀察名單!$B$2:$B$533,0)),""))</f>
        <v>5.821</v>
      </c>
      <c r="F460" s="16">
        <f>IF($D460&lt;&gt;"USD","",IFERROR(INDEX(觀察名單!$Q$2:$Q$533,MATCH($C460,觀察名單!$B$2:$B$533,0)),""))</f>
        <v>-46.074</v>
      </c>
    </row>
    <row r="461">
      <c r="A461" s="15" t="inlineStr">
        <is>
          <t>子板塊</t>
        </is>
      </c>
      <c r="B461" s="15" t="inlineStr">
        <is>
          <t>區域與社區銀行</t>
        </is>
      </c>
      <c r="C461" s="15" t="inlineStr">
        <is>
          <t>USB</t>
        </is>
      </c>
      <c r="D461" s="15" t="str">
        <f>IFERROR(INDEX(觀察名單!$F$2:$F$533,MATCH($C461,觀察名單!$B$2:$B$533,0)),"")</f>
        <v>USD</v>
      </c>
      <c r="E461" s="16">
        <f>IF($D461&lt;&gt;"USD","",IFERROR(INDEX(觀察名單!$L$2:$L$533,MATCH($C461,觀察名單!$B$2:$B$533,0)),""))</f>
        <v>7686.0</v>
      </c>
      <c r="F461" s="16" t="str">
        <f>IF($D461&lt;&gt;"USD","",IFERROR(INDEX(觀察名單!$Q$2:$Q$533,MATCH($C461,觀察名單!$B$2:$B$533,0)),""))</f>
        <v/>
      </c>
    </row>
    <row r="462">
      <c r="A462" s="15" t="inlineStr">
        <is>
          <t>子板塊</t>
        </is>
      </c>
      <c r="B462" s="15" t="inlineStr">
        <is>
          <t>必需品分銷</t>
        </is>
      </c>
      <c r="C462" s="15" t="inlineStr">
        <is>
          <t>USFD</t>
        </is>
      </c>
      <c r="D462" s="15" t="str">
        <f>IFERROR(INDEX(觀察名單!$F$2:$F$533,MATCH($C462,觀察名單!$B$2:$B$533,0)),"")</f>
        <v>USD</v>
      </c>
      <c r="E462" s="16">
        <f>IF($D462&lt;&gt;"USD","",IFERROR(INDEX(觀察名單!$L$2:$L$533,MATCH($C462,觀察名單!$B$2:$B$533,0)),""))</f>
        <v>10532.0</v>
      </c>
      <c r="F462" s="16">
        <f>IF($D462&lt;&gt;"USD","",IFERROR(INDEX(觀察名單!$Q$2:$Q$533,MATCH($C462,觀察名單!$B$2:$B$533,0)),""))</f>
        <v>442.0</v>
      </c>
    </row>
    <row r="463">
      <c r="A463" s="15" t="inlineStr">
        <is>
          <t>子板塊</t>
        </is>
      </c>
      <c r="B463" s="15" t="inlineStr">
        <is>
          <t>鈾與核燃料</t>
        </is>
      </c>
      <c r="C463" s="15" t="inlineStr">
        <is>
          <t>UUUU</t>
        </is>
      </c>
      <c r="D463" s="15" t="str">
        <f>IFERROR(INDEX(觀察名單!$F$2:$F$533,MATCH($C463,觀察名單!$B$2:$B$533,0)),"")</f>
        <v>USD</v>
      </c>
      <c r="E463" s="16">
        <f>IF($D463&lt;&gt;"USD","",IFERROR(INDEX(觀察名單!$L$2:$L$533,MATCH($C463,觀察名單!$B$2:$B$533,0)),""))</f>
        <v>25.108</v>
      </c>
      <c r="F463" s="16">
        <f>IF($D463&lt;&gt;"USD","",IFERROR(INDEX(觀察名單!$Q$2:$Q$533,MATCH($C463,觀察名單!$B$2:$B$533,0)),""))</f>
        <v>-19.843</v>
      </c>
    </row>
    <row r="464">
      <c r="A464" s="15" t="inlineStr">
        <is>
          <t>子板塊</t>
        </is>
      </c>
      <c r="B464" s="15" t="inlineStr">
        <is>
          <t>稀土與關鍵礦產</t>
        </is>
      </c>
      <c r="C464" s="15" t="inlineStr">
        <is>
          <t>UUUU</t>
        </is>
      </c>
      <c r="D464" s="15" t="str">
        <f>IFERROR(INDEX(觀察名單!$F$2:$F$533,MATCH($C464,觀察名單!$B$2:$B$533,0)),"")</f>
        <v>USD</v>
      </c>
      <c r="E464" s="16">
        <f>IF($D464&lt;&gt;"USD","",IFERROR(INDEX(觀察名單!$L$2:$L$533,MATCH($C464,觀察名單!$B$2:$B$533,0)),""))</f>
        <v>25.108</v>
      </c>
      <c r="F464" s="16">
        <f>IF($D464&lt;&gt;"USD","",IFERROR(INDEX(觀察名單!$Q$2:$Q$533,MATCH($C464,觀察名單!$B$2:$B$533,0)),""))</f>
        <v>-19.843</v>
      </c>
    </row>
    <row r="465">
      <c r="A465" s="15" t="inlineStr">
        <is>
          <t>子板塊</t>
        </is>
      </c>
      <c r="B465" s="15" t="inlineStr">
        <is>
          <t>支付與收單</t>
        </is>
      </c>
      <c r="C465" s="15" t="inlineStr">
        <is>
          <t>V</t>
        </is>
      </c>
      <c r="D465" s="15" t="str">
        <f>IFERROR(INDEX(觀察名單!$F$2:$F$533,MATCH($C465,觀察名單!$B$2:$B$533,0)),"")</f>
        <v>USD</v>
      </c>
      <c r="E465" s="16">
        <f>IF($D465&lt;&gt;"USD","",IFERROR(INDEX(觀察名單!$L$2:$L$533,MATCH($C465,觀察名單!$B$2:$B$533,0)),""))</f>
        <v>11633.0</v>
      </c>
      <c r="F465" s="16">
        <f>IF($D465&lt;&gt;"USD","",IFERROR(INDEX(觀察名單!$Q$2:$Q$533,MATCH($C465,觀察名單!$B$2:$B$533,0)),""))</f>
        <v>7130.0</v>
      </c>
    </row>
    <row r="466">
      <c r="A466" s="15" t="inlineStr">
        <is>
          <t>子板塊</t>
        </is>
      </c>
      <c r="B466" s="15" t="inlineStr">
        <is>
          <t>海上鑽井與設備</t>
        </is>
      </c>
      <c r="C466" s="15" t="inlineStr">
        <is>
          <t>VAL</t>
        </is>
      </c>
      <c r="D466" s="15" t="str">
        <f>IFERROR(INDEX(觀察名單!$F$2:$F$533,MATCH($C466,觀察名單!$B$2:$B$533,0)),"")</f>
        <v>USD</v>
      </c>
      <c r="E466" s="16">
        <f>IF($D466&lt;&gt;"USD","",IFERROR(INDEX(觀察名單!$L$2:$L$533,MATCH($C466,觀察名單!$B$2:$B$533,0)),""))</f>
        <v>539.2</v>
      </c>
      <c r="F466" s="16">
        <f>IF($D466&lt;&gt;"USD","",IFERROR(INDEX(觀察名單!$Q$2:$Q$533,MATCH($C466,觀察名單!$B$2:$B$533,0)),""))</f>
        <v>51.9</v>
      </c>
    </row>
    <row r="467">
      <c r="A467" s="15" t="inlineStr">
        <is>
          <t>子板塊</t>
        </is>
      </c>
      <c r="B467" s="15" t="inlineStr">
        <is>
          <t>LNG液化天然氣</t>
        </is>
      </c>
      <c r="C467" s="15" t="inlineStr">
        <is>
          <t>VG</t>
        </is>
      </c>
      <c r="D467" s="15" t="str">
        <f>IFERROR(INDEX(觀察名單!$F$2:$F$533,MATCH($C467,觀察名單!$B$2:$B$533,0)),"")</f>
        <v>USD</v>
      </c>
      <c r="E467" s="16">
        <f>IF($D467&lt;&gt;"USD","",IFERROR(INDEX(觀察名單!$L$2:$L$533,MATCH($C467,觀察名單!$B$2:$B$533,0)),""))</f>
        <v>4578.0</v>
      </c>
      <c r="F467" s="16">
        <f>IF($D467&lt;&gt;"USD","",IFERROR(INDEX(觀察名單!$Q$2:$Q$533,MATCH($C467,觀察名單!$B$2:$B$533,0)),""))</f>
        <v>2188.0</v>
      </c>
    </row>
    <row r="468">
      <c r="A468" s="15" t="inlineStr">
        <is>
          <t>子板塊</t>
        </is>
      </c>
      <c r="B468" s="15" t="inlineStr">
        <is>
          <t>特殊型REIT（自存倉/賭場/廣告牌）</t>
        </is>
      </c>
      <c r="C468" s="15" t="inlineStr">
        <is>
          <t>VICI</t>
        </is>
      </c>
      <c r="D468" s="15" t="str">
        <f>IFERROR(INDEX(觀察名單!$F$2:$F$533,MATCH($C468,觀察名單!$B$2:$B$533,0)),"")</f>
        <v>USD</v>
      </c>
      <c r="E468" s="16">
        <f>IF($D468&lt;&gt;"USD","",IFERROR(INDEX(觀察名單!$L$2:$L$533,MATCH($C468,觀察名單!$B$2:$B$533,0)),""))</f>
        <v>1058.505</v>
      </c>
      <c r="F468" s="16">
        <f>IF($D468&lt;&gt;"USD","",IFERROR(INDEX(觀察名單!$Q$2:$Q$533,MATCH($C468,觀察名單!$B$2:$B$533,0)),""))</f>
        <v>744.709</v>
      </c>
    </row>
    <row r="469">
      <c r="A469" s="15" t="inlineStr">
        <is>
          <t>子板塊</t>
        </is>
      </c>
      <c r="B469" s="15" t="inlineStr">
        <is>
          <t>GLP-1減重與代謝</t>
        </is>
      </c>
      <c r="C469" s="15" t="inlineStr">
        <is>
          <t>VKTX</t>
        </is>
      </c>
      <c r="D469" s="15" t="str">
        <f>IFERROR(INDEX(觀察名單!$F$2:$F$533,MATCH($C469,觀察名單!$B$2:$B$533,0)),"")</f>
        <v>USD</v>
      </c>
      <c r="E469" s="16">
        <f>IF($D469&lt;&gt;"USD","",IFERROR(INDEX(觀察名單!$L$2:$L$533,MATCH($C469,觀察名單!$B$2:$B$533,0)),""))</f>
        <v>0.0</v>
      </c>
      <c r="F469" s="16">
        <f>IF($D469&lt;&gt;"USD","",IFERROR(INDEX(觀察名單!$Q$2:$Q$533,MATCH($C469,觀察名單!$B$2:$B$533,0)),""))</f>
        <v>-132.597</v>
      </c>
    </row>
    <row r="470">
      <c r="A470" s="15" t="inlineStr">
        <is>
          <t>子板塊</t>
        </is>
      </c>
      <c r="B470" s="15" t="inlineStr">
        <is>
          <t>臨床期中小型生技</t>
        </is>
      </c>
      <c r="C470" s="15" t="inlineStr">
        <is>
          <t>VKTX</t>
        </is>
      </c>
      <c r="D470" s="15" t="str">
        <f>IFERROR(INDEX(觀察名單!$F$2:$F$533,MATCH($C470,觀察名單!$B$2:$B$533,0)),"")</f>
        <v>USD</v>
      </c>
      <c r="E470" s="16">
        <f>IF($D470&lt;&gt;"USD","",IFERROR(INDEX(觀察名單!$L$2:$L$533,MATCH($C470,觀察名單!$B$2:$B$533,0)),""))</f>
        <v>0.0</v>
      </c>
      <c r="F470" s="16">
        <f>IF($D470&lt;&gt;"USD","",IFERROR(INDEX(觀察名單!$Q$2:$Q$533,MATCH($C470,觀察名單!$B$2:$B$533,0)),""))</f>
        <v>-132.597</v>
      </c>
    </row>
    <row r="471">
      <c r="A471" s="15" t="inlineStr">
        <is>
          <t>子板塊</t>
        </is>
      </c>
      <c r="B471" s="15" t="inlineStr">
        <is>
          <t>煉油與成品油</t>
        </is>
      </c>
      <c r="C471" s="15" t="inlineStr">
        <is>
          <t>VLO</t>
        </is>
      </c>
      <c r="D471" s="15" t="str">
        <f>IFERROR(INDEX(觀察名單!$F$2:$F$533,MATCH($C471,觀察名單!$B$2:$B$533,0)),"")</f>
        <v>USD</v>
      </c>
      <c r="E471" s="16">
        <f>IF($D471&lt;&gt;"USD","",IFERROR(INDEX(觀察名單!$L$2:$L$533,MATCH($C471,觀察名單!$B$2:$B$533,0)),""))</f>
        <v>44476.0</v>
      </c>
      <c r="F471" s="16">
        <f>IF($D471&lt;&gt;"USD","",IFERROR(INDEX(觀察名單!$Q$2:$Q$533,MATCH($C471,觀察名單!$B$2:$B$533,0)),""))</f>
        <v>5196.0</v>
      </c>
    </row>
    <row r="472">
      <c r="A472" s="15" t="inlineStr">
        <is>
          <t>子板塊</t>
        </is>
      </c>
      <c r="B472" s="15" t="inlineStr">
        <is>
          <t>包裝與建材</t>
        </is>
      </c>
      <c r="C472" s="15" t="inlineStr">
        <is>
          <t>VMC</t>
        </is>
      </c>
      <c r="D472" s="15" t="str">
        <f>IFERROR(INDEX(觀察名單!$F$2:$F$533,MATCH($C472,觀察名單!$B$2:$B$533,0)),"")</f>
        <v>USD</v>
      </c>
      <c r="E472" s="16">
        <f>IF($D472&lt;&gt;"USD","",IFERROR(INDEX(觀察名單!$L$2:$L$533,MATCH($C472,觀察名單!$B$2:$B$533,0)),""))</f>
        <v>2155.8</v>
      </c>
      <c r="F472" s="16">
        <f>IF($D472&lt;&gt;"USD","",IFERROR(INDEX(觀察名單!$Q$2:$Q$533,MATCH($C472,觀察名單!$B$2:$B$533,0)),""))</f>
        <v>466.8</v>
      </c>
    </row>
    <row r="473">
      <c r="A473" s="15" t="inlineStr">
        <is>
          <t>子板塊</t>
        </is>
      </c>
      <c r="B473" s="15" t="inlineStr">
        <is>
          <t>辦公樓REIT</t>
        </is>
      </c>
      <c r="C473" s="15" t="inlineStr">
        <is>
          <t>VNO</t>
        </is>
      </c>
      <c r="D473" s="15" t="str">
        <f>IFERROR(INDEX(觀察名單!$F$2:$F$533,MATCH($C473,觀察名單!$B$2:$B$533,0)),"")</f>
        <v>USD</v>
      </c>
      <c r="E473" s="16">
        <f>IF($D473&lt;&gt;"USD","",IFERROR(INDEX(觀察名單!$L$2:$L$533,MATCH($C473,觀察名單!$B$2:$B$533,0)),""))</f>
        <v>462.242</v>
      </c>
      <c r="F473" s="16">
        <f>IF($D473&lt;&gt;"USD","",IFERROR(INDEX(觀察名單!$Q$2:$Q$533,MATCH($C473,觀察名單!$B$2:$B$533,0)),""))</f>
        <v>28.265</v>
      </c>
    </row>
    <row r="474">
      <c r="A474" s="15" t="inlineStr">
        <is>
          <t>子板塊</t>
        </is>
      </c>
      <c r="B474" s="15" t="inlineStr">
        <is>
          <t>AI資料中心建設</t>
        </is>
      </c>
      <c r="C474" s="15" t="inlineStr">
        <is>
          <t>VRT</t>
        </is>
      </c>
      <c r="D474" s="15" t="str">
        <f>IFERROR(INDEX(觀察名單!$F$2:$F$533,MATCH($C474,觀察名單!$B$2:$B$533,0)),"")</f>
        <v>USD</v>
      </c>
      <c r="E474" s="16">
        <f>IF($D474&lt;&gt;"USD","",IFERROR(INDEX(觀察名單!$L$2:$L$533,MATCH($C474,觀察名單!$B$2:$B$533,0)),""))</f>
        <v>3274.3</v>
      </c>
      <c r="F474" s="16">
        <f>IF($D474&lt;&gt;"USD","",IFERROR(INDEX(觀察名單!$Q$2:$Q$533,MATCH($C474,觀察名單!$B$2:$B$533,0)),""))</f>
        <v>637.9</v>
      </c>
    </row>
    <row r="475">
      <c r="A475" s="15" t="inlineStr">
        <is>
          <t>子板塊</t>
        </is>
      </c>
      <c r="B475" s="15" t="inlineStr">
        <is>
          <t>大型生物科技</t>
        </is>
      </c>
      <c r="C475" s="15" t="inlineStr">
        <is>
          <t>VRTX</t>
        </is>
      </c>
      <c r="D475" s="15" t="str">
        <f>IFERROR(INDEX(觀察名單!$F$2:$F$533,MATCH($C475,觀察名單!$B$2:$B$533,0)),"")</f>
        <v>USD</v>
      </c>
      <c r="E475" s="16">
        <f>IF($D475&lt;&gt;"USD","",IFERROR(INDEX(觀察名單!$L$2:$L$533,MATCH($C475,觀察名單!$B$2:$B$533,0)),""))</f>
        <v>3333.9</v>
      </c>
      <c r="F475" s="16">
        <f>IF($D475&lt;&gt;"USD","",IFERROR(INDEX(觀察名單!$Q$2:$Q$533,MATCH($C475,觀察名單!$B$2:$B$533,0)),""))</f>
        <v>1268.7</v>
      </c>
    </row>
    <row r="476">
      <c r="A476" s="15" t="inlineStr">
        <is>
          <t>子板塊</t>
        </is>
      </c>
      <c r="B476" s="15" t="inlineStr">
        <is>
          <t>IPP與電力交易商</t>
        </is>
      </c>
      <c r="C476" s="15" t="inlineStr">
        <is>
          <t>VST</t>
        </is>
      </c>
      <c r="D476" s="15" t="str">
        <f>IFERROR(INDEX(觀察名單!$F$2:$F$533,MATCH($C476,觀察名單!$B$2:$B$533,0)),"")</f>
        <v>USD</v>
      </c>
      <c r="E476" s="16">
        <f>IF($D476&lt;&gt;"USD","",IFERROR(INDEX(觀察名單!$L$2:$L$533,MATCH($C476,觀察名單!$B$2:$B$533,0)),""))</f>
        <v>4017.0</v>
      </c>
      <c r="F476" s="16">
        <f>IF($D476&lt;&gt;"USD","",IFERROR(INDEX(觀察名單!$Q$2:$Q$533,MATCH($C476,觀察名單!$B$2:$B$533,0)),""))</f>
        <v>553.0</v>
      </c>
    </row>
    <row r="477">
      <c r="A477" s="15" t="inlineStr">
        <is>
          <t>子板塊</t>
        </is>
      </c>
      <c r="B477" s="15" t="inlineStr">
        <is>
          <t>醫療與長者住宅REIT</t>
        </is>
      </c>
      <c r="C477" s="15" t="inlineStr">
        <is>
          <t>VTR</t>
        </is>
      </c>
      <c r="D477" s="15" t="str">
        <f>IFERROR(INDEX(觀察名單!$F$2:$F$533,MATCH($C477,觀察名單!$B$2:$B$533,0)),"")</f>
        <v>USD</v>
      </c>
      <c r="E477" s="16">
        <f>IF($D477&lt;&gt;"USD","",IFERROR(INDEX(觀察名單!$L$2:$L$533,MATCH($C477,觀察名單!$B$2:$B$533,0)),""))</f>
        <v>1729.614</v>
      </c>
      <c r="F477" s="16">
        <f>IF($D477&lt;&gt;"USD","",IFERROR(INDEX(觀察名單!$Q$2:$Q$533,MATCH($C477,觀察名單!$B$2:$B$533,0)),""))</f>
        <v>232.289</v>
      </c>
    </row>
    <row r="478">
      <c r="A478" s="15" t="inlineStr">
        <is>
          <t>子板塊</t>
        </is>
      </c>
      <c r="B478" s="15" t="inlineStr">
        <is>
          <t>電信營運商</t>
        </is>
      </c>
      <c r="C478" s="15" t="inlineStr">
        <is>
          <t>VZ</t>
        </is>
      </c>
      <c r="D478" s="15" t="str">
        <f>IFERROR(INDEX(觀察名單!$F$2:$F$533,MATCH($C478,觀察名單!$B$2:$B$533,0)),"")</f>
        <v>USD</v>
      </c>
      <c r="E478" s="16">
        <f>IF($D478&lt;&gt;"USD","",IFERROR(INDEX(觀察名單!$L$2:$L$533,MATCH($C478,觀察名單!$B$2:$B$533,0)),""))</f>
        <v>34253.0</v>
      </c>
      <c r="F478" s="16">
        <f>IF($D478&lt;&gt;"USD","",IFERROR(INDEX(觀察名單!$Q$2:$Q$533,MATCH($C478,觀察名單!$B$2:$B$533,0)),""))</f>
        <v>7179.0</v>
      </c>
    </row>
    <row r="479">
      <c r="A479" s="15" t="inlineStr">
        <is>
          <t>子板塊</t>
        </is>
      </c>
      <c r="B479" s="15" t="inlineStr">
        <is>
          <t>電商平台</t>
        </is>
      </c>
      <c r="C479" s="15" t="inlineStr">
        <is>
          <t>W</t>
        </is>
      </c>
      <c r="D479" s="15" t="str">
        <f>IFERROR(INDEX(觀察名單!$F$2:$F$533,MATCH($C479,觀察名單!$B$2:$B$533,0)),"")</f>
        <v>USD</v>
      </c>
      <c r="E479" s="16">
        <f>IF($D479&lt;&gt;"USD","",IFERROR(INDEX(觀察名單!$L$2:$L$533,MATCH($C479,觀察名單!$B$2:$B$533,0)),""))</f>
        <v>3519.0</v>
      </c>
      <c r="F479" s="16">
        <f>IF($D479&lt;&gt;"USD","",IFERROR(INDEX(觀察名單!$Q$2:$Q$533,MATCH($C479,觀察名單!$B$2:$B$533,0)),""))</f>
        <v>106.0</v>
      </c>
    </row>
    <row r="480">
      <c r="A480" s="15" t="inlineStr">
        <is>
          <t>子板塊</t>
        </is>
      </c>
      <c r="B480" s="15" t="inlineStr">
        <is>
          <t>串流影音</t>
        </is>
      </c>
      <c r="C480" s="15" t="inlineStr">
        <is>
          <t>WBD</t>
        </is>
      </c>
      <c r="D480" s="15" t="str">
        <f>IFERROR(INDEX(觀察名單!$F$2:$F$533,MATCH($C480,觀察名單!$B$2:$B$533,0)),"")</f>
        <v>USD</v>
      </c>
      <c r="E480" s="16">
        <f>IF($D480&lt;&gt;"USD","",IFERROR(INDEX(觀察名單!$L$2:$L$533,MATCH($C480,觀察名單!$B$2:$B$533,0)),""))</f>
        <v>8717.0</v>
      </c>
      <c r="F480" s="16">
        <f>IF($D480&lt;&gt;"USD","",IFERROR(INDEX(觀察名單!$Q$2:$Q$533,MATCH($C480,觀察名單!$B$2:$B$533,0)),""))</f>
        <v>373.0</v>
      </c>
    </row>
    <row r="481">
      <c r="A481" s="15" t="inlineStr">
        <is>
          <t>子板塊</t>
        </is>
      </c>
      <c r="B481" s="15" t="inlineStr">
        <is>
          <t>廢物管理與環境服務</t>
        </is>
      </c>
      <c r="C481" s="15" t="inlineStr">
        <is>
          <t>WCN</t>
        </is>
      </c>
      <c r="D481" s="15" t="str">
        <f>IFERROR(INDEX(觀察名單!$F$2:$F$533,MATCH($C481,觀察名單!$B$2:$B$533,0)),"")</f>
        <v>USD</v>
      </c>
      <c r="E481" s="16">
        <f>IF($D481&lt;&gt;"USD","",IFERROR(INDEX(觀察名單!$L$2:$L$533,MATCH($C481,觀察名單!$B$2:$B$533,0)),""))</f>
        <v>2561.607</v>
      </c>
      <c r="F481" s="16">
        <f>IF($D481&lt;&gt;"USD","",IFERROR(INDEX(觀察名單!$Q$2:$Q$533,MATCH($C481,觀察名單!$B$2:$B$533,0)),""))</f>
        <v>496.02</v>
      </c>
    </row>
    <row r="482">
      <c r="A482" s="15" t="inlineStr">
        <is>
          <t>子板塊</t>
        </is>
      </c>
      <c r="B482" s="15" t="inlineStr">
        <is>
          <t>企業軟體/SaaS</t>
        </is>
      </c>
      <c r="C482" s="15" t="inlineStr">
        <is>
          <t>WDAY</t>
        </is>
      </c>
      <c r="D482" s="15" t="str">
        <f>IFERROR(INDEX(觀察名單!$F$2:$F$533,MATCH($C482,觀察名單!$B$2:$B$533,0)),"")</f>
        <v>USD</v>
      </c>
      <c r="E482" s="16">
        <f>IF($D482&lt;&gt;"USD","",IFERROR(INDEX(觀察名單!$L$2:$L$533,MATCH($C482,觀察名單!$B$2:$B$533,0)),""))</f>
        <v>2649.0</v>
      </c>
      <c r="F482" s="16">
        <f>IF($D482&lt;&gt;"USD","",IFERROR(INDEX(觀察名單!$Q$2:$Q$533,MATCH($C482,觀察名單!$B$2:$B$533,0)),""))</f>
        <v>313.0</v>
      </c>
    </row>
    <row r="483">
      <c r="A483" s="15" t="inlineStr">
        <is>
          <t>子板塊</t>
        </is>
      </c>
      <c r="B483" s="15" t="inlineStr">
        <is>
          <t>記憶體/HBM</t>
        </is>
      </c>
      <c r="C483" s="15" t="inlineStr">
        <is>
          <t>WDC</t>
        </is>
      </c>
      <c r="D483" s="15" t="str">
        <f>IFERROR(INDEX(觀察名單!$F$2:$F$533,MATCH($C483,觀察名單!$B$2:$B$533,0)),"")</f>
        <v>USD</v>
      </c>
      <c r="E483" s="16">
        <f>IF($D483&lt;&gt;"USD","",IFERROR(INDEX(觀察名單!$L$2:$L$533,MATCH($C483,觀察名單!$B$2:$B$533,0)),""))</f>
        <v>3747.0</v>
      </c>
      <c r="F483" s="16">
        <f>IF($D483&lt;&gt;"USD","",IFERROR(INDEX(觀察名單!$Q$2:$Q$533,MATCH($C483,觀察名單!$B$2:$B$533,0)),""))</f>
        <v>1606.0</v>
      </c>
    </row>
    <row r="484">
      <c r="A484" s="15" t="inlineStr">
        <is>
          <t>子板塊</t>
        </is>
      </c>
      <c r="B484" s="15" t="inlineStr">
        <is>
          <t>醫療與長者住宅REIT</t>
        </is>
      </c>
      <c r="C484" s="15" t="inlineStr">
        <is>
          <t>WELL</t>
        </is>
      </c>
      <c r="D484" s="15" t="str">
        <f>IFERROR(INDEX(觀察名單!$F$2:$F$533,MATCH($C484,觀察名單!$B$2:$B$533,0)),"")</f>
        <v>USD</v>
      </c>
      <c r="E484" s="16" t="str">
        <f>IF($D484&lt;&gt;"USD","",IFERROR(INDEX(觀察名單!$L$2:$L$533,MATCH($C484,觀察名單!$B$2:$B$533,0)),""))</f>
        <v/>
      </c>
      <c r="F484" s="16" t="str">
        <f>IF($D484&lt;&gt;"USD","",IFERROR(INDEX(觀察名單!$Q$2:$Q$533,MATCH($C484,觀察名單!$B$2:$B$533,0)),""))</f>
        <v/>
      </c>
    </row>
    <row r="485">
      <c r="A485" s="15" t="inlineStr">
        <is>
          <t>子板塊</t>
        </is>
      </c>
      <c r="B485" s="15" t="inlineStr">
        <is>
          <t>大型全能銀行</t>
        </is>
      </c>
      <c r="C485" s="15" t="inlineStr">
        <is>
          <t>WFC</t>
        </is>
      </c>
      <c r="D485" s="15" t="str">
        <f>IFERROR(INDEX(觀察名單!$F$2:$F$533,MATCH($C485,觀察名單!$B$2:$B$533,0)),"")</f>
        <v>USD</v>
      </c>
      <c r="E485" s="16">
        <f>IF($D485&lt;&gt;"USD","",IFERROR(INDEX(觀察名單!$L$2:$L$533,MATCH($C485,觀察名單!$B$2:$B$533,0)),""))</f>
        <v>22622.0</v>
      </c>
      <c r="F485" s="16" t="str">
        <f>IF($D485&lt;&gt;"USD","",IFERROR(INDEX(觀察名單!$Q$2:$Q$533,MATCH($C485,觀察名單!$B$2:$B$533,0)),""))</f>
        <v/>
      </c>
    </row>
    <row r="486">
      <c r="A486" s="15" t="inlineStr">
        <is>
          <t>子板塊</t>
        </is>
      </c>
      <c r="B486" s="15" t="inlineStr">
        <is>
          <t>油田服務</t>
        </is>
      </c>
      <c r="C486" s="15" t="inlineStr">
        <is>
          <t>WFRD</t>
        </is>
      </c>
      <c r="D486" s="15" t="str">
        <f>IFERROR(INDEX(觀察名單!$F$2:$F$533,MATCH($C486,觀察名單!$B$2:$B$533,0)),"")</f>
        <v>USD</v>
      </c>
      <c r="E486" s="16">
        <f>IF($D486&lt;&gt;"USD","",IFERROR(INDEX(觀察名單!$L$2:$L$533,MATCH($C486,觀察名單!$B$2:$B$533,0)),""))</f>
        <v>1105.0</v>
      </c>
      <c r="F486" s="16">
        <f>IF($D486&lt;&gt;"USD","",IFERROR(INDEX(觀察名單!$Q$2:$Q$533,MATCH($C486,觀察名單!$B$2:$B$533,0)),""))</f>
        <v>116.0</v>
      </c>
    </row>
    <row r="487">
      <c r="A487" s="15" t="inlineStr">
        <is>
          <t>子板塊</t>
        </is>
      </c>
      <c r="B487" s="15" t="inlineStr">
        <is>
          <t>家居耐用與休閒用品</t>
        </is>
      </c>
      <c r="C487" s="15" t="inlineStr">
        <is>
          <t>WHR</t>
        </is>
      </c>
      <c r="D487" s="15" t="str">
        <f>IFERROR(INDEX(觀察名單!$F$2:$F$533,MATCH($C487,觀察名單!$B$2:$B$533,0)),"")</f>
        <v>USD</v>
      </c>
      <c r="E487" s="16">
        <f>IF($D487&lt;&gt;"USD","",IFERROR(INDEX(觀察名單!$L$2:$L$533,MATCH($C487,觀察名單!$B$2:$B$533,0)),""))</f>
        <v>3517.0</v>
      </c>
      <c r="F487" s="16">
        <f>IF($D487&lt;&gt;"USD","",IFERROR(INDEX(觀察名單!$Q$2:$Q$533,MATCH($C487,觀察名單!$B$2:$B$533,0)),""))</f>
        <v>65.0</v>
      </c>
    </row>
    <row r="488">
      <c r="A488" s="15" t="inlineStr">
        <is>
          <t>子板塊</t>
        </is>
      </c>
      <c r="B488" s="15" t="inlineStr">
        <is>
          <t>廢物管理與環境服務</t>
        </is>
      </c>
      <c r="C488" s="15" t="inlineStr">
        <is>
          <t>WM</t>
        </is>
      </c>
      <c r="D488" s="15" t="str">
        <f>IFERROR(INDEX(觀察名單!$F$2:$F$533,MATCH($C488,觀察名單!$B$2:$B$533,0)),"")</f>
        <v>USD</v>
      </c>
      <c r="E488" s="16">
        <f>IF($D488&lt;&gt;"USD","",IFERROR(INDEX(觀察名單!$L$2:$L$533,MATCH($C488,觀察名單!$B$2:$B$533,0)),""))</f>
        <v>6684.0</v>
      </c>
      <c r="F488" s="16">
        <f>IF($D488&lt;&gt;"USD","",IFERROR(INDEX(觀察名單!$Q$2:$Q$533,MATCH($C488,觀察名單!$B$2:$B$533,0)),""))</f>
        <v>1269.0</v>
      </c>
    </row>
    <row r="489">
      <c r="A489" s="15" t="inlineStr">
        <is>
          <t>子板塊</t>
        </is>
      </c>
      <c r="B489" s="15" t="inlineStr">
        <is>
          <t>中游與管道</t>
        </is>
      </c>
      <c r="C489" s="15" t="inlineStr">
        <is>
          <t>WMB</t>
        </is>
      </c>
      <c r="D489" s="15" t="str">
        <f>IFERROR(INDEX(觀察名單!$F$2:$F$533,MATCH($C489,觀察名單!$B$2:$B$533,0)),"")</f>
        <v>USD</v>
      </c>
      <c r="E489" s="16">
        <f>IF($D489&lt;&gt;"USD","",IFERROR(INDEX(觀察名單!$L$2:$L$533,MATCH($C489,觀察名單!$B$2:$B$533,0)),""))</f>
        <v>3053.0</v>
      </c>
      <c r="F489" s="16">
        <f>IF($D489&lt;&gt;"USD","",IFERROR(INDEX(觀察名單!$Q$2:$Q$533,MATCH($C489,觀察名單!$B$2:$B$533,0)),""))</f>
        <v>1170.0</v>
      </c>
    </row>
    <row r="490">
      <c r="A490" s="15" t="inlineStr">
        <is>
          <t>子板塊</t>
        </is>
      </c>
      <c r="B490" s="15" t="inlineStr">
        <is>
          <t>大賣場與超巿</t>
        </is>
      </c>
      <c r="C490" s="15" t="inlineStr">
        <is>
          <t>WMT</t>
        </is>
      </c>
      <c r="D490" s="15" t="str">
        <f>IFERROR(INDEX(觀察名單!$F$2:$F$533,MATCH($C490,觀察名單!$B$2:$B$533,0)),"")</f>
        <v>USD</v>
      </c>
      <c r="E490" s="16">
        <f>IF($D490&lt;&gt;"USD","",IFERROR(INDEX(觀察名單!$L$2:$L$533,MATCH($C490,觀察名單!$B$2:$B$533,0)),""))</f>
        <v>187937.0</v>
      </c>
      <c r="F490" s="16">
        <f>IF($D490&lt;&gt;"USD","",IFERROR(INDEX(觀察名單!$Q$2:$Q$533,MATCH($C490,觀察名單!$B$2:$B$533,0)),""))</f>
        <v>9383.0</v>
      </c>
    </row>
    <row r="491">
      <c r="A491" s="15" t="inlineStr">
        <is>
          <t>子板塊</t>
        </is>
      </c>
      <c r="B491" s="15" t="inlineStr">
        <is>
          <t>水務公用</t>
        </is>
      </c>
      <c r="C491" s="15" t="inlineStr">
        <is>
          <t>WTRG</t>
        </is>
      </c>
      <c r="D491" s="15" t="str">
        <f>IFERROR(INDEX(觀察名單!$F$2:$F$533,MATCH($C491,觀察名單!$B$2:$B$533,0)),"")</f>
        <v>USD</v>
      </c>
      <c r="E491" s="16">
        <f>IF($D491&lt;&gt;"USD","",IFERROR(INDEX(觀察名單!$L$2:$L$533,MATCH($C491,觀察名單!$B$2:$B$533,0)),""))</f>
        <v>530.854</v>
      </c>
      <c r="F491" s="16">
        <f>IF($D491&lt;&gt;"USD","",IFERROR(INDEX(觀察名單!$Q$2:$Q$533,MATCH($C491,觀察名單!$B$2:$B$533,0)),""))</f>
        <v>193.273</v>
      </c>
    </row>
    <row r="492">
      <c r="A492" s="15" t="inlineStr">
        <is>
          <t>子板塊</t>
        </is>
      </c>
      <c r="B492" s="15" t="inlineStr">
        <is>
          <t>保險經紀</t>
        </is>
      </c>
      <c r="C492" s="15" t="inlineStr">
        <is>
          <t>WTW</t>
        </is>
      </c>
      <c r="D492" s="15" t="str">
        <f>IFERROR(INDEX(觀察名單!$F$2:$F$533,MATCH($C492,觀察名單!$B$2:$B$533,0)),"")</f>
        <v>USD</v>
      </c>
      <c r="E492" s="16">
        <f>IF($D492&lt;&gt;"USD","",IFERROR(INDEX(觀察名單!$L$2:$L$533,MATCH($C492,觀察名單!$B$2:$B$533,0)),""))</f>
        <v>2466.0</v>
      </c>
      <c r="F492" s="16">
        <f>IF($D492&lt;&gt;"USD","",IFERROR(INDEX(觀察名單!$Q$2:$Q$533,MATCH($C492,觀察名單!$B$2:$B$533,0)),""))</f>
        <v>425.0</v>
      </c>
    </row>
    <row r="493">
      <c r="A493" s="15" t="inlineStr">
        <is>
          <t>子板塊</t>
        </is>
      </c>
      <c r="B493" s="15" t="inlineStr">
        <is>
          <t>受監管電力公用</t>
        </is>
      </c>
      <c r="C493" s="15" t="inlineStr">
        <is>
          <t>XEL</t>
        </is>
      </c>
      <c r="D493" s="15" t="str">
        <f>IFERROR(INDEX(觀察名單!$F$2:$F$533,MATCH($C493,觀察名單!$B$2:$B$533,0)),"")</f>
        <v>USD</v>
      </c>
      <c r="E493" s="16">
        <f>IF($D493&lt;&gt;"USD","",IFERROR(INDEX(觀察名單!$L$2:$L$533,MATCH($C493,觀察名單!$B$2:$B$533,0)),""))</f>
        <v>3119.0</v>
      </c>
      <c r="F493" s="16">
        <f>IF($D493&lt;&gt;"USD","",IFERROR(INDEX(觀察名單!$Q$2:$Q$533,MATCH($C493,觀察名單!$B$2:$B$533,0)),""))</f>
        <v>709.0</v>
      </c>
    </row>
    <row r="494">
      <c r="A494" s="15" t="inlineStr">
        <is>
          <t>子板塊</t>
        </is>
      </c>
      <c r="B494" s="15" t="inlineStr">
        <is>
          <t>綜合油氣巨頭</t>
        </is>
      </c>
      <c r="C494" s="15" t="inlineStr">
        <is>
          <t>XOM</t>
        </is>
      </c>
      <c r="D494" s="15" t="str">
        <f>IFERROR(INDEX(觀察名單!$F$2:$F$533,MATCH($C494,觀察名單!$B$2:$B$533,0)),"")</f>
        <v>USD</v>
      </c>
      <c r="E494" s="16">
        <f>IF($D494&lt;&gt;"USD","",IFERROR(INDEX(觀察名單!$L$2:$L$533,MATCH($C494,觀察名單!$B$2:$B$533,0)),""))</f>
        <v>114529.0</v>
      </c>
      <c r="F494" s="16">
        <f>IF($D494&lt;&gt;"USD","",IFERROR(INDEX(觀察名單!$Q$2:$Q$533,MATCH($C494,觀察名單!$B$2:$B$533,0)),""))</f>
        <v>18195.0</v>
      </c>
    </row>
    <row r="495">
      <c r="A495" s="15" t="inlineStr">
        <is>
          <t>子板塊</t>
        </is>
      </c>
      <c r="B495" s="15" t="inlineStr">
        <is>
          <t>貨運與物流</t>
        </is>
      </c>
      <c r="C495" s="15" t="inlineStr">
        <is>
          <t>XPO</t>
        </is>
      </c>
      <c r="D495" s="15" t="str">
        <f>IFERROR(INDEX(觀察名單!$F$2:$F$533,MATCH($C495,觀察名單!$B$2:$B$533,0)),"")</f>
        <v>USD</v>
      </c>
      <c r="E495" s="16">
        <f>IF($D495&lt;&gt;"USD","",IFERROR(INDEX(觀察名單!$L$2:$L$533,MATCH($C495,觀察名單!$B$2:$B$533,0)),""))</f>
        <v>2355.0</v>
      </c>
      <c r="F495" s="16">
        <f>IF($D495&lt;&gt;"USD","",IFERROR(INDEX(觀察名單!$Q$2:$Q$533,MATCH($C495,觀察名單!$B$2:$B$533,0)),""))</f>
        <v>290.0</v>
      </c>
    </row>
    <row r="496">
      <c r="A496" s="15" t="inlineStr">
        <is>
          <t>子板塊</t>
        </is>
      </c>
      <c r="B496" s="15" t="inlineStr">
        <is>
          <t>餐飲連鎖</t>
        </is>
      </c>
      <c r="C496" s="15" t="inlineStr">
        <is>
          <t>YUM</t>
        </is>
      </c>
      <c r="D496" s="15" t="str">
        <f>IFERROR(INDEX(觀察名單!$F$2:$F$533,MATCH($C496,觀察名單!$B$2:$B$533,0)),"")</f>
        <v>USD</v>
      </c>
      <c r="E496" s="16">
        <f>IF($D496&lt;&gt;"USD","",IFERROR(INDEX(觀察名單!$L$2:$L$533,MATCH($C496,觀察名單!$B$2:$B$533,0)),""))</f>
        <v>2170.0</v>
      </c>
      <c r="F496" s="16">
        <f>IF($D496&lt;&gt;"USD","",IFERROR(INDEX(觀察名單!$Q$2:$Q$533,MATCH($C496,觀察名單!$B$2:$B$533,0)),""))</f>
        <v>661.0</v>
      </c>
    </row>
    <row r="497">
      <c r="A497" s="15" t="inlineStr">
        <is>
          <t>子板塊</t>
        </is>
      </c>
      <c r="B497" s="15" t="inlineStr">
        <is>
          <t>地產開發與服務</t>
        </is>
      </c>
      <c r="C497" s="15" t="inlineStr">
        <is>
          <t>Z</t>
        </is>
      </c>
      <c r="D497" s="15" t="str">
        <f>IFERROR(INDEX(觀察名單!$F$2:$F$533,MATCH($C497,觀察名單!$B$2:$B$533,0)),"")</f>
        <v>USD</v>
      </c>
      <c r="E497" s="16">
        <f>IF($D497&lt;&gt;"USD","",IFERROR(INDEX(觀察名單!$L$2:$L$533,MATCH($C497,觀察名單!$B$2:$B$533,0)),""))</f>
        <v>772.0</v>
      </c>
      <c r="F497" s="16">
        <f>IF($D497&lt;&gt;"USD","",IFERROR(INDEX(觀察名單!$Q$2:$Q$533,MATCH($C497,觀察名單!$B$2:$B$533,0)),""))</f>
        <v>26.0</v>
      </c>
    </row>
    <row r="498">
      <c r="A498" s="15" t="inlineStr">
        <is>
          <t>子板塊</t>
        </is>
      </c>
      <c r="B498" s="15" t="inlineStr">
        <is>
          <t>區域與社區銀行</t>
        </is>
      </c>
      <c r="C498" s="15" t="inlineStr">
        <is>
          <t>ZION</t>
        </is>
      </c>
      <c r="D498" s="15" t="str">
        <f>IFERROR(INDEX(觀察名單!$F$2:$F$533,MATCH($C498,觀察名單!$B$2:$B$533,0)),"")</f>
        <v>USD</v>
      </c>
      <c r="E498" s="16">
        <f>IF($D498&lt;&gt;"USD","",IFERROR(INDEX(觀察名單!$L$2:$L$533,MATCH($C498,觀察名單!$B$2:$B$533,0)),""))</f>
        <v>1137.0</v>
      </c>
      <c r="F498" s="16" t="str">
        <f>IF($D498&lt;&gt;"USD","",IFERROR(INDEX(觀察名單!$Q$2:$Q$533,MATCH($C498,觀察名單!$B$2:$B$533,0)),""))</f>
        <v/>
      </c>
    </row>
    <row r="499">
      <c r="A499" s="15" t="inlineStr">
        <is>
          <t>子板塊</t>
        </is>
      </c>
      <c r="B499" s="15" t="inlineStr">
        <is>
          <t>網絡安全</t>
        </is>
      </c>
      <c r="C499" s="15" t="inlineStr">
        <is>
          <t>ZS</t>
        </is>
      </c>
      <c r="D499" s="15" t="str">
        <f>IFERROR(INDEX(觀察名單!$F$2:$F$533,MATCH($C499,觀察名單!$B$2:$B$533,0)),"")</f>
        <v>USD</v>
      </c>
      <c r="E499" s="16">
        <f>IF($D499&lt;&gt;"USD","",IFERROR(INDEX(觀察名單!$L$2:$L$533,MATCH($C499,觀察名單!$B$2:$B$533,0)),""))</f>
        <v>850.475</v>
      </c>
      <c r="F499" s="16">
        <f>IF($D499&lt;&gt;"USD","",IFERROR(INDEX(觀察名單!$Q$2:$Q$533,MATCH($C499,觀察名單!$B$2:$B$533,0)),""))</f>
        <v>-29.64</v>
      </c>
    </row>
    <row r="500">
      <c r="A500" s="15" t="inlineStr">
        <is>
          <t>AI 小群組</t>
        </is>
      </c>
      <c r="B500" s="15" t="inlineStr">
        <is>
          <t>A4 運算</t>
        </is>
      </c>
      <c r="C500" s="15" t="inlineStr">
        <is>
          <t>AAPL</t>
        </is>
      </c>
      <c r="D500" s="15" t="str">
        <f>IFERROR(INDEX(觀察名單!$F$2:$F$533,MATCH($C500,觀察名單!$B$2:$B$533,0)),"")</f>
        <v>USD</v>
      </c>
      <c r="E500" s="16">
        <f>IF($D500&lt;&gt;"USD","",IFERROR(INDEX(觀察名單!$L$2:$L$533,MATCH($C500,觀察名單!$B$2:$B$533,0)),""))</f>
        <v>109417.0</v>
      </c>
      <c r="F500" s="16">
        <f>IF($D500&lt;&gt;"USD","",IFERROR(INDEX(觀察名單!$Q$2:$Q$533,MATCH($C500,觀察名單!$B$2:$B$533,0)),""))</f>
        <v>35695.0</v>
      </c>
    </row>
    <row r="501">
      <c r="A501" s="15" t="inlineStr">
        <is>
          <t>AI 小群組</t>
        </is>
      </c>
      <c r="B501" s="15" t="inlineStr">
        <is>
          <t>G5 IT</t>
        </is>
      </c>
      <c r="C501" s="15" t="inlineStr">
        <is>
          <t>ACN</t>
        </is>
      </c>
      <c r="D501" s="15" t="str">
        <f>IFERROR(INDEX(觀察名單!$F$2:$F$533,MATCH($C501,觀察名單!$B$2:$B$533,0)),"")</f>
        <v>USD</v>
      </c>
      <c r="E501" s="16">
        <f>IF($D501&lt;&gt;"USD","",IFERROR(INDEX(觀察名單!$L$2:$L$533,MATCH($C501,觀察名單!$B$2:$B$533,0)),""))</f>
        <v>18718.144</v>
      </c>
      <c r="F501" s="16">
        <f>IF($D501&lt;&gt;"USD","",IFERROR(INDEX(觀察名單!$Q$2:$Q$533,MATCH($C501,觀察名單!$B$2:$B$533,0)),""))</f>
        <v>3175.298</v>
      </c>
    </row>
    <row r="502">
      <c r="A502" s="15" t="inlineStr">
        <is>
          <t>AI 小群組</t>
        </is>
      </c>
      <c r="B502" s="15" t="inlineStr">
        <is>
          <t>G3 AI</t>
        </is>
      </c>
      <c r="C502" s="15" t="inlineStr">
        <is>
          <t>ADBE</t>
        </is>
      </c>
      <c r="D502" s="15" t="str">
        <f>IFERROR(INDEX(觀察名單!$F$2:$F$533,MATCH($C502,觀察名單!$B$2:$B$533,0)),"")</f>
        <v>USD</v>
      </c>
      <c r="E502" s="16">
        <f>IF($D502&lt;&gt;"USD","",IFERROR(INDEX(觀察名單!$L$2:$L$533,MATCH($C502,觀察名單!$B$2:$B$533,0)),""))</f>
        <v>6618.0</v>
      </c>
      <c r="F502" s="16">
        <f>IF($D502&lt;&gt;"USD","",IFERROR(INDEX(觀察名單!$Q$2:$Q$533,MATCH($C502,觀察名單!$B$2:$B$533,0)),""))</f>
        <v>2238.0</v>
      </c>
    </row>
    <row r="503">
      <c r="A503" s="15" t="inlineStr">
        <is>
          <t>AI 小群組</t>
        </is>
      </c>
      <c r="B503" s="15" t="inlineStr">
        <is>
          <t>B3 先進封裝</t>
        </is>
      </c>
      <c r="C503" s="15" t="inlineStr">
        <is>
          <t>AEHR</t>
        </is>
      </c>
      <c r="D503" s="15" t="str">
        <f>IFERROR(INDEX(觀察名單!$F$2:$F$533,MATCH($C503,觀察名單!$B$2:$B$533,0)),"")</f>
        <v>USD</v>
      </c>
      <c r="E503" s="16">
        <f>IF($D503&lt;&gt;"USD","",IFERROR(INDEX(觀察名單!$L$2:$L$533,MATCH($C503,觀察名單!$B$2:$B$533,0)),""))</f>
        <v>18.835</v>
      </c>
      <c r="F503" s="16">
        <f>IF($D503&lt;&gt;"USD","",IFERROR(INDEX(觀察名單!$Q$2:$Q$533,MATCH($C503,觀察名單!$B$2:$B$533,0)),""))</f>
        <v>-1.206</v>
      </c>
    </row>
    <row r="504">
      <c r="A504" s="15" t="inlineStr">
        <is>
          <t>AI 小群組</t>
        </is>
      </c>
      <c r="B504" s="15" t="inlineStr">
        <is>
          <t>G3 AI</t>
        </is>
      </c>
      <c r="C504" s="15" t="inlineStr">
        <is>
          <t>AI</t>
        </is>
      </c>
      <c r="D504" s="15" t="str">
        <f>IFERROR(INDEX(觀察名單!$F$2:$F$533,MATCH($C504,觀察名單!$B$2:$B$533,0)),"")</f>
        <v>USD</v>
      </c>
      <c r="E504" s="16" t="str">
        <f>IF($D504&lt;&gt;"USD","",IFERROR(INDEX(觀察名單!$L$2:$L$533,MATCH($C504,觀察名單!$B$2:$B$533,0)),""))</f>
        <v/>
      </c>
      <c r="F504" s="16" t="str">
        <f>IF($D504&lt;&gt;"USD","",IFERROR(INDEX(觀察名單!$Q$2:$Q$533,MATCH($C504,觀察名單!$B$2:$B$533,0)),""))</f>
        <v/>
      </c>
    </row>
    <row r="505">
      <c r="A505" s="15" t="inlineStr">
        <is>
          <t>AI 小群組</t>
        </is>
      </c>
      <c r="B505" s="15" t="inlineStr">
        <is>
          <t>D3 高速互連</t>
        </is>
      </c>
      <c r="C505" s="15" t="inlineStr">
        <is>
          <t>ALAB</t>
        </is>
      </c>
      <c r="D505" s="15" t="str">
        <f>IFERROR(INDEX(觀察名單!$F$2:$F$533,MATCH($C505,觀察名單!$B$2:$B$533,0)),"")</f>
        <v>USD</v>
      </c>
      <c r="E505" s="16">
        <f>IF($D505&lt;&gt;"USD","",IFERROR(INDEX(觀察名單!$L$2:$L$533,MATCH($C505,觀察名單!$B$2:$B$533,0)),""))</f>
        <v>392.4</v>
      </c>
      <c r="F505" s="16">
        <f>IF($D505&lt;&gt;"USD","",IFERROR(INDEX(觀察名單!$Q$2:$Q$533,MATCH($C505,觀察名單!$B$2:$B$533,0)),""))</f>
        <v>89.248</v>
      </c>
    </row>
    <row r="506">
      <c r="A506" s="15" t="inlineStr">
        <is>
          <t>AI 小群組</t>
        </is>
      </c>
      <c r="B506" s="15" t="inlineStr">
        <is>
          <t>B2 半導體前段設備</t>
        </is>
      </c>
      <c r="C506" s="15" t="inlineStr">
        <is>
          <t>AMAT</t>
        </is>
      </c>
      <c r="D506" s="15" t="str">
        <f>IFERROR(INDEX(觀察名單!$F$2:$F$533,MATCH($C506,觀察名單!$B$2:$B$533,0)),"")</f>
        <v>USD</v>
      </c>
      <c r="E506" s="16">
        <f>IF($D506&lt;&gt;"USD","",IFERROR(INDEX(觀察名單!$L$2:$L$533,MATCH($C506,觀察名單!$B$2:$B$533,0)),""))</f>
        <v>9115.0</v>
      </c>
      <c r="F506" s="16">
        <f>IF($D506&lt;&gt;"USD","",IFERROR(INDEX(觀察名單!$Q$2:$Q$533,MATCH($C506,觀察名單!$B$2:$B$533,0)),""))</f>
        <v>3075.0</v>
      </c>
    </row>
    <row r="507">
      <c r="A507" s="15" t="inlineStr">
        <is>
          <t>AI 小群組</t>
        </is>
      </c>
      <c r="B507" s="15" t="inlineStr">
        <is>
          <t>A1 GPU</t>
        </is>
      </c>
      <c r="C507" s="15" t="inlineStr">
        <is>
          <t>AMD</t>
        </is>
      </c>
      <c r="D507" s="15" t="str">
        <f>IFERROR(INDEX(觀察名單!$F$2:$F$533,MATCH($C507,觀察名單!$B$2:$B$533,0)),"")</f>
        <v>USD</v>
      </c>
      <c r="E507" s="16">
        <f>IF($D507&lt;&gt;"USD","",IFERROR(INDEX(觀察名單!$L$2:$L$533,MATCH($C507,觀察名單!$B$2:$B$533,0)),""))</f>
        <v>11536.0</v>
      </c>
      <c r="F507" s="16">
        <f>IF($D507&lt;&gt;"USD","",IFERROR(INDEX(觀察名單!$Q$2:$Q$533,MATCH($C507,觀察名單!$B$2:$B$533,0)),""))</f>
        <v>1990.0</v>
      </c>
    </row>
    <row r="508">
      <c r="A508" s="15" t="inlineStr">
        <is>
          <t>AI 小群組</t>
        </is>
      </c>
      <c r="B508" s="15" t="inlineStr">
        <is>
          <t>B3 先進封裝</t>
        </is>
      </c>
      <c r="C508" s="15" t="inlineStr">
        <is>
          <t>AMKR</t>
        </is>
      </c>
      <c r="D508" s="15" t="str">
        <f>IFERROR(INDEX(觀察名單!$F$2:$F$533,MATCH($C508,觀察名單!$B$2:$B$533,0)),"")</f>
        <v>USD</v>
      </c>
      <c r="E508" s="16">
        <f>IF($D508&lt;&gt;"USD","",IFERROR(INDEX(觀察名單!$L$2:$L$533,MATCH($C508,觀察名單!$B$2:$B$533,0)),""))</f>
        <v>1897.965</v>
      </c>
      <c r="F508" s="16">
        <f>IF($D508&lt;&gt;"USD","",IFERROR(INDEX(觀察名單!$Q$2:$Q$533,MATCH($C508,觀察名單!$B$2:$B$533,0)),""))</f>
        <v>199.854</v>
      </c>
    </row>
    <row r="509">
      <c r="A509" s="15" t="inlineStr">
        <is>
          <t>AI 小群組</t>
        </is>
      </c>
      <c r="B509" s="15" t="inlineStr">
        <is>
          <t>D9 光模塊上游</t>
        </is>
      </c>
      <c r="C509" s="15" t="inlineStr">
        <is>
          <t>AMS</t>
        </is>
      </c>
      <c r="D509" s="15" t="str">
        <f>IFERROR(INDEX(觀察名單!$F$2:$F$533,MATCH($C509,觀察名單!$B$2:$B$533,0)),"")</f>
        <v>USD</v>
      </c>
      <c r="E509" s="16">
        <f>IF($D509&lt;&gt;"USD","",IFERROR(INDEX(觀察名單!$L$2:$L$533,MATCH($C509,觀察名單!$B$2:$B$533,0)),""))</f>
        <v>8.43</v>
      </c>
      <c r="F509" s="16">
        <f>IF($D509&lt;&gt;"USD","",IFERROR(INDEX(觀察名單!$Q$2:$Q$533,MATCH($C509,觀察名單!$B$2:$B$533,0)),""))</f>
        <v>-0.609</v>
      </c>
    </row>
    <row r="510">
      <c r="A510" s="15" t="inlineStr">
        <is>
          <t>AI 小群組</t>
        </is>
      </c>
      <c r="B510" s="15" t="inlineStr">
        <is>
          <t>AA2 Hyperscaler</t>
        </is>
      </c>
      <c r="C510" s="15" t="inlineStr">
        <is>
          <t>AMZN</t>
        </is>
      </c>
      <c r="D510" s="15" t="str">
        <f>IFERROR(INDEX(觀察名單!$F$2:$F$533,MATCH($C510,觀察名單!$B$2:$B$533,0)),"")</f>
        <v>USD</v>
      </c>
      <c r="E510" s="16" t="str">
        <f>IF($D510&lt;&gt;"USD","",IFERROR(INDEX(觀察名單!$L$2:$L$533,MATCH($C510,觀察名單!$B$2:$B$533,0)),""))</f>
        <v/>
      </c>
      <c r="F510" s="16" t="str">
        <f>IF($D510&lt;&gt;"USD","",IFERROR(INDEX(觀察名單!$Q$2:$Q$533,MATCH($C510,觀察名單!$B$2:$B$533,0)),""))</f>
        <v/>
      </c>
    </row>
    <row r="511">
      <c r="A511" s="15" t="inlineStr">
        <is>
          <t>AI 小群組</t>
        </is>
      </c>
      <c r="B511" s="15" t="inlineStr">
        <is>
          <t>D4 網絡交換</t>
        </is>
      </c>
      <c r="C511" s="15" t="inlineStr">
        <is>
          <t>ANET</t>
        </is>
      </c>
      <c r="D511" s="15" t="str">
        <f>IFERROR(INDEX(觀察名單!$F$2:$F$533,MATCH($C511,觀察名單!$B$2:$B$533,0)),"")</f>
        <v>USD</v>
      </c>
      <c r="E511" s="16">
        <f>IF($D511&lt;&gt;"USD","",IFERROR(INDEX(觀察名單!$L$2:$L$533,MATCH($C511,觀察名單!$B$2:$B$533,0)),""))</f>
        <v>3035.7</v>
      </c>
      <c r="F511" s="16">
        <f>IF($D511&lt;&gt;"USD","",IFERROR(INDEX(觀察名單!$Q$2:$Q$533,MATCH($C511,觀察名單!$B$2:$B$533,0)),""))</f>
        <v>1378.0</v>
      </c>
    </row>
    <row r="512">
      <c r="A512" s="15" t="inlineStr">
        <is>
          <t>AI 小群組</t>
        </is>
      </c>
      <c r="B512" s="15" t="inlineStr">
        <is>
          <t>B10 半導體材料②光刻膠/特氣</t>
        </is>
      </c>
      <c r="C512" s="15" t="inlineStr">
        <is>
          <t>APD</t>
        </is>
      </c>
      <c r="D512" s="15" t="str">
        <f>IFERROR(INDEX(觀察名單!$F$2:$F$533,MATCH($C512,觀察名單!$B$2:$B$533,0)),"")</f>
        <v>USD</v>
      </c>
      <c r="E512" s="16">
        <f>IF($D512&lt;&gt;"USD","",IFERROR(INDEX(觀察名單!$L$2:$L$533,MATCH($C512,觀察名單!$B$2:$B$533,0)),""))</f>
        <v>3161.0</v>
      </c>
      <c r="F512" s="16">
        <f>IF($D512&lt;&gt;"USD","",IFERROR(INDEX(觀察名單!$Q$2:$Q$533,MATCH($C512,觀察名單!$B$2:$B$533,0)),""))</f>
        <v>810.3</v>
      </c>
    </row>
    <row r="513">
      <c r="A513" s="15" t="inlineStr">
        <is>
          <t>AI 小群組</t>
        </is>
      </c>
      <c r="B513" s="15" t="inlineStr">
        <is>
          <t>D5 連接器</t>
        </is>
      </c>
      <c r="C513" s="15" t="inlineStr">
        <is>
          <t>APH</t>
        </is>
      </c>
      <c r="D513" s="15" t="str">
        <f>IFERROR(INDEX(觀察名單!$F$2:$F$533,MATCH($C513,觀察名單!$B$2:$B$533,0)),"")</f>
        <v>USD</v>
      </c>
      <c r="E513" s="16" t="str">
        <f>IF($D513&lt;&gt;"USD","",IFERROR(INDEX(觀察名單!$L$2:$L$533,MATCH($C513,觀察名單!$B$2:$B$533,0)),""))</f>
        <v/>
      </c>
      <c r="F513" s="16" t="str">
        <f>IF($D513&lt;&gt;"USD","",IFERROR(INDEX(觀察名單!$Q$2:$Q$533,MATCH($C513,觀察名單!$B$2:$B$533,0)),""))</f>
        <v/>
      </c>
    </row>
    <row r="514">
      <c r="A514" s="15" t="inlineStr">
        <is>
          <t>AI 小群組</t>
        </is>
      </c>
      <c r="B514" s="15" t="inlineStr">
        <is>
          <t>AA1 Neo</t>
        </is>
      </c>
      <c r="C514" s="15" t="inlineStr">
        <is>
          <t>APLD</t>
        </is>
      </c>
      <c r="D514" s="15" t="str">
        <f>IFERROR(INDEX(觀察名單!$F$2:$F$533,MATCH($C514,觀察名單!$B$2:$B$533,0)),"")</f>
        <v>USD</v>
      </c>
      <c r="E514" s="16">
        <f>IF($D514&lt;&gt;"USD","",IFERROR(INDEX(觀察名單!$L$2:$L$533,MATCH($C514,觀察名單!$B$2:$B$533,0)),""))</f>
        <v>258.749</v>
      </c>
      <c r="F514" s="16">
        <f>IF($D514&lt;&gt;"USD","",IFERROR(INDEX(觀察名單!$Q$2:$Q$533,MATCH($C514,觀察名單!$B$2:$B$533,0)),""))</f>
        <v>-124.764</v>
      </c>
    </row>
    <row r="515">
      <c r="A515" s="15" t="inlineStr">
        <is>
          <t>AI 小群組</t>
        </is>
      </c>
      <c r="B515" s="15" t="inlineStr">
        <is>
          <t>A4 運算</t>
        </is>
      </c>
      <c r="C515" s="15" t="inlineStr">
        <is>
          <t>ARM</t>
        </is>
      </c>
      <c r="D515" s="15" t="str">
        <f>IFERROR(INDEX(觀察名單!$F$2:$F$533,MATCH($C515,觀察名單!$B$2:$B$533,0)),"")</f>
        <v>USD</v>
      </c>
      <c r="E515" s="16">
        <f>IF($D515&lt;&gt;"USD","",IFERROR(INDEX(觀察名單!$L$2:$L$533,MATCH($C515,觀察名單!$B$2:$B$533,0)),""))</f>
        <v>1289.0</v>
      </c>
      <c r="F515" s="16">
        <f>IF($D515&lt;&gt;"USD","",IFERROR(INDEX(觀察名單!$Q$2:$Q$533,MATCH($C515,觀察名單!$B$2:$B$533,0)),""))</f>
        <v>98.0</v>
      </c>
    </row>
    <row r="516">
      <c r="A516" s="15" t="inlineStr">
        <is>
          <t>AI 小群組</t>
        </is>
      </c>
      <c r="B516" s="15" t="inlineStr">
        <is>
          <t>B2 半導體前段設備</t>
        </is>
      </c>
      <c r="C516" s="15" t="inlineStr">
        <is>
          <t>ASML</t>
        </is>
      </c>
      <c r="D516" s="15" t="str">
        <f>IFERROR(INDEX(觀察名單!$F$2:$F$533,MATCH($C516,觀察名單!$B$2:$B$533,0)),"")</f>
        <v>EUR</v>
      </c>
      <c r="E516" s="16" t="str">
        <f>IF($D516&lt;&gt;"USD","",IFERROR(INDEX(觀察名單!$L$2:$L$533,MATCH($C516,觀察名單!$B$2:$B$533,0)),""))</f>
        <v/>
      </c>
      <c r="F516" s="16" t="str">
        <f>IF($D516&lt;&gt;"USD","",IFERROR(INDEX(觀察名單!$Q$2:$Q$533,MATCH($C516,觀察名單!$B$2:$B$533,0)),""))</f>
        <v/>
      </c>
    </row>
    <row r="517">
      <c r="A517" s="15" t="inlineStr">
        <is>
          <t>AI 小群組</t>
        </is>
      </c>
      <c r="B517" s="15" t="inlineStr">
        <is>
          <t>B3 先進封裝</t>
        </is>
      </c>
      <c r="C517" s="15" t="inlineStr">
        <is>
          <t>ASX</t>
        </is>
      </c>
      <c r="D517" s="15" t="str">
        <f>IFERROR(INDEX(觀察名單!$F$2:$F$533,MATCH($C517,觀察名單!$B$2:$B$533,0)),"")</f>
        <v>TWD</v>
      </c>
      <c r="E517" s="16" t="str">
        <f>IF($D517&lt;&gt;"USD","",IFERROR(INDEX(觀察名單!$L$2:$L$533,MATCH($C517,觀察名單!$B$2:$B$533,0)),""))</f>
        <v/>
      </c>
      <c r="F517" s="16" t="str">
        <f>IF($D517&lt;&gt;"USD","",IFERROR(INDEX(觀察名單!$Q$2:$Q$533,MATCH($C517,觀察名單!$B$2:$B$533,0)),""))</f>
        <v/>
      </c>
    </row>
    <row r="518">
      <c r="A518" s="15" t="inlineStr">
        <is>
          <t>AI 小群組</t>
        </is>
      </c>
      <c r="B518" s="15" t="inlineStr">
        <is>
          <t>A2 ASIC</t>
        </is>
      </c>
      <c r="C518" s="15" t="inlineStr">
        <is>
          <t>AVGO</t>
        </is>
      </c>
      <c r="D518" s="15" t="str">
        <f>IFERROR(INDEX(觀察名單!$F$2:$F$533,MATCH($C518,觀察名單!$B$2:$B$533,0)),"")</f>
        <v>USD</v>
      </c>
      <c r="E518" s="16" t="str">
        <f>IF($D518&lt;&gt;"USD","",IFERROR(INDEX(觀察名單!$L$2:$L$533,MATCH($C518,觀察名單!$B$2:$B$533,0)),""))</f>
        <v/>
      </c>
      <c r="F518" s="16" t="str">
        <f>IF($D518&lt;&gt;"USD","",IFERROR(INDEX(觀察名單!$Q$2:$Q$533,MATCH($C518,觀察名單!$B$2:$B$533,0)),""))</f>
        <v/>
      </c>
    </row>
    <row r="519">
      <c r="A519" s="15" t="inlineStr">
        <is>
          <t>AI 小群組</t>
        </is>
      </c>
      <c r="B519" s="15" t="inlineStr">
        <is>
          <t>D9 光模塊上游</t>
        </is>
      </c>
      <c r="C519" s="15" t="inlineStr">
        <is>
          <t>AXTI</t>
        </is>
      </c>
      <c r="D519" s="15" t="str">
        <f>IFERROR(INDEX(觀察名單!$F$2:$F$533,MATCH($C519,觀察名單!$B$2:$B$533,0)),"")</f>
        <v>USD</v>
      </c>
      <c r="E519" s="16">
        <f>IF($D519&lt;&gt;"USD","",IFERROR(INDEX(觀察名單!$L$2:$L$533,MATCH($C519,觀察名單!$B$2:$B$533,0)),""))</f>
        <v>47.589</v>
      </c>
      <c r="F519" s="16">
        <f>IF($D519&lt;&gt;"USD","",IFERROR(INDEX(觀察名單!$Q$2:$Q$533,MATCH($C519,觀察名單!$B$2:$B$533,0)),""))</f>
        <v>10.423</v>
      </c>
    </row>
    <row r="520">
      <c r="A520" s="15" t="inlineStr">
        <is>
          <t>AI 小群組</t>
        </is>
      </c>
      <c r="B520" s="15" t="inlineStr">
        <is>
          <t>AA3 中國雲</t>
        </is>
      </c>
      <c r="C520" s="15" t="inlineStr">
        <is>
          <t>BABA</t>
        </is>
      </c>
      <c r="D520" s="15" t="str">
        <f>IFERROR(INDEX(觀察名單!$F$2:$F$533,MATCH($C520,觀察名單!$B$2:$B$533,0)),"")</f>
        <v>CNY</v>
      </c>
      <c r="E520" s="16" t="str">
        <f>IF($D520&lt;&gt;"USD","",IFERROR(INDEX(觀察名單!$L$2:$L$533,MATCH($C520,觀察名單!$B$2:$B$533,0)),""))</f>
        <v/>
      </c>
      <c r="F520" s="16" t="str">
        <f>IF($D520&lt;&gt;"USD","",IFERROR(INDEX(觀察名單!$Q$2:$Q$533,MATCH($C520,觀察名單!$B$2:$B$533,0)),""))</f>
        <v/>
      </c>
    </row>
    <row r="521">
      <c r="A521" s="15" t="inlineStr">
        <is>
          <t>AI 小群組</t>
        </is>
      </c>
      <c r="B521" s="15" t="inlineStr">
        <is>
          <t>F2 散熱液冷</t>
        </is>
      </c>
      <c r="C521" s="15" t="inlineStr">
        <is>
          <t>BE</t>
        </is>
      </c>
      <c r="D521" s="15" t="str">
        <f>IFERROR(INDEX(觀察名單!$F$2:$F$533,MATCH($C521,觀察名單!$B$2:$B$533,0)),"")</f>
        <v>USD</v>
      </c>
      <c r="E521" s="16">
        <f>IF($D521&lt;&gt;"USD","",IFERROR(INDEX(觀察名單!$L$2:$L$533,MATCH($C521,觀察名單!$B$2:$B$533,0)),""))</f>
        <v>1065.365</v>
      </c>
      <c r="F521" s="16">
        <f>IF($D521&lt;&gt;"USD","",IFERROR(INDEX(觀察名單!$Q$2:$Q$533,MATCH($C521,觀察名單!$B$2:$B$533,0)),""))</f>
        <v>182.237</v>
      </c>
    </row>
    <row r="522">
      <c r="A522" s="15" t="inlineStr">
        <is>
          <t>AI 小群組</t>
        </is>
      </c>
      <c r="B522" s="15" t="inlineStr">
        <is>
          <t>AA3 中國雲</t>
        </is>
      </c>
      <c r="C522" s="15" t="inlineStr">
        <is>
          <t>BIDU</t>
        </is>
      </c>
      <c r="D522" s="15" t="str">
        <f>IFERROR(INDEX(觀察名單!$F$2:$F$533,MATCH($C522,觀察名單!$B$2:$B$533,0)),"")</f>
        <v>CNY</v>
      </c>
      <c r="E522" s="16" t="str">
        <f>IF($D522&lt;&gt;"USD","",IFERROR(INDEX(觀察名單!$L$2:$L$533,MATCH($C522,觀察名單!$B$2:$B$533,0)),""))</f>
        <v/>
      </c>
      <c r="F522" s="16" t="str">
        <f>IF($D522&lt;&gt;"USD","",IFERROR(INDEX(觀察名單!$Q$2:$Q$533,MATCH($C522,觀察名單!$B$2:$B$533,0)),""))</f>
        <v/>
      </c>
    </row>
    <row r="523">
      <c r="A523" s="15" t="inlineStr">
        <is>
          <t>AI 小群組</t>
        </is>
      </c>
      <c r="B523" s="15" t="inlineStr">
        <is>
          <t>F3 能源</t>
        </is>
      </c>
      <c r="C523" s="15" t="inlineStr">
        <is>
          <t>BWXT</t>
        </is>
      </c>
      <c r="D523" s="15" t="str">
        <f>IFERROR(INDEX(觀察名單!$F$2:$F$533,MATCH($C523,觀察名單!$B$2:$B$533,0)),"")</f>
        <v>USD</v>
      </c>
      <c r="E523" s="16">
        <f>IF($D523&lt;&gt;"USD","",IFERROR(INDEX(觀察名單!$L$2:$L$533,MATCH($C523,觀察名單!$B$2:$B$533,0)),""))</f>
        <v>901.625</v>
      </c>
      <c r="F523" s="16">
        <f>IF($D523&lt;&gt;"USD","",IFERROR(INDEX(觀察名單!$Q$2:$Q$533,MATCH($C523,觀察名單!$B$2:$B$533,0)),""))</f>
        <v>89.706</v>
      </c>
    </row>
    <row r="524">
      <c r="A524" s="15" t="inlineStr">
        <is>
          <t>AI 小群組</t>
        </is>
      </c>
      <c r="B524" s="15" t="inlineStr">
        <is>
          <t>B3 先進封裝</t>
        </is>
      </c>
      <c r="C524" s="15" t="inlineStr">
        <is>
          <t>CAMT</t>
        </is>
      </c>
      <c r="D524" s="15" t="str">
        <f>IFERROR(INDEX(觀察名單!$F$2:$F$533,MATCH($C524,觀察名單!$B$2:$B$533,0)),"")</f>
        <v>USD</v>
      </c>
      <c r="E524" s="16">
        <f>IF($D524&lt;&gt;"USD","",IFERROR(INDEX(觀察名單!$L$2:$L$533,MATCH($C524,觀察名單!$B$2:$B$533,0)),""))</f>
        <v>133.243</v>
      </c>
      <c r="F524" s="16">
        <f>IF($D524&lt;&gt;"USD","",IFERROR(INDEX(觀察名單!$Q$2:$Q$533,MATCH($C524,觀察名單!$B$2:$B$533,0)),""))</f>
        <v>27.227</v>
      </c>
    </row>
    <row r="525">
      <c r="A525" s="15" t="inlineStr">
        <is>
          <t>AI 小群組</t>
        </is>
      </c>
      <c r="B525" s="15" t="inlineStr">
        <is>
          <t>F3 能源</t>
        </is>
      </c>
      <c r="C525" s="15" t="inlineStr">
        <is>
          <t>CCJ</t>
        </is>
      </c>
      <c r="D525" s="15" t="str">
        <f>IFERROR(INDEX(觀察名單!$F$2:$F$533,MATCH($C525,觀察名單!$B$2:$B$533,0)),"")</f>
        <v>CAD</v>
      </c>
      <c r="E525" s="16" t="str">
        <f>IF($D525&lt;&gt;"USD","",IFERROR(INDEX(觀察名單!$L$2:$L$533,MATCH($C525,觀察名單!$B$2:$B$533,0)),""))</f>
        <v/>
      </c>
      <c r="F525" s="16" t="str">
        <f>IF($D525&lt;&gt;"USD","",IFERROR(INDEX(觀察名單!$Q$2:$Q$533,MATCH($C525,觀察名單!$B$2:$B$533,0)),""))</f>
        <v/>
      </c>
    </row>
    <row r="526">
      <c r="A526" s="15" t="inlineStr">
        <is>
          <t>AI 小群組</t>
        </is>
      </c>
      <c r="B526" s="15" t="inlineStr">
        <is>
          <t>B5 EDA</t>
        </is>
      </c>
      <c r="C526" s="15" t="inlineStr">
        <is>
          <t>CDNS</t>
        </is>
      </c>
      <c r="D526" s="15" t="str">
        <f>IFERROR(INDEX(觀察名單!$F$2:$F$533,MATCH($C526,觀察名單!$B$2:$B$533,0)),"")</f>
        <v>USD</v>
      </c>
      <c r="E526" s="16">
        <f>IF($D526&lt;&gt;"USD","",IFERROR(INDEX(觀察名單!$L$2:$L$533,MATCH($C526,觀察名單!$B$2:$B$533,0)),""))</f>
        <v>1584.451</v>
      </c>
      <c r="F526" s="16">
        <f>IF($D526&lt;&gt;"USD","",IFERROR(INDEX(觀察名單!$Q$2:$Q$533,MATCH($C526,觀察名單!$B$2:$B$533,0)),""))</f>
        <v>449.963</v>
      </c>
    </row>
    <row r="527">
      <c r="A527" s="15" t="inlineStr">
        <is>
          <t>AI 小群組</t>
        </is>
      </c>
      <c r="B527" s="15" t="inlineStr">
        <is>
          <t>F3 能源</t>
        </is>
      </c>
      <c r="C527" s="15" t="inlineStr">
        <is>
          <t>CEG</t>
        </is>
      </c>
      <c r="D527" s="15" t="str">
        <f>IFERROR(INDEX(觀察名單!$F$2:$F$533,MATCH($C527,觀察名單!$B$2:$B$533,0)),"")</f>
        <v>USD</v>
      </c>
      <c r="E527" s="16">
        <f>IF($D527&lt;&gt;"USD","",IFERROR(INDEX(觀察名單!$L$2:$L$533,MATCH($C527,觀察名單!$B$2:$B$533,0)),""))</f>
        <v>7504.0</v>
      </c>
      <c r="F527" s="16">
        <f>IF($D527&lt;&gt;"USD","",IFERROR(INDEX(觀察名單!$Q$2:$Q$533,MATCH($C527,觀察名單!$B$2:$B$533,0)),""))</f>
        <v>-47.0</v>
      </c>
    </row>
    <row r="528">
      <c r="A528" s="15" t="inlineStr">
        <is>
          <t>AI 小群組</t>
        </is>
      </c>
      <c r="B528" s="15" t="inlineStr">
        <is>
          <t>D4 網絡交換</t>
        </is>
      </c>
      <c r="C528" s="15" t="inlineStr">
        <is>
          <t>CIEN</t>
        </is>
      </c>
      <c r="D528" s="15" t="str">
        <f>IFERROR(INDEX(觀察名單!$F$2:$F$533,MATCH($C528,觀察名單!$B$2:$B$533,0)),"")</f>
        <v>USD</v>
      </c>
      <c r="E528" s="16">
        <f>IF($D528&lt;&gt;"USD","",IFERROR(INDEX(觀察名單!$L$2:$L$533,MATCH($C528,觀察名單!$B$2:$B$533,0)),""))</f>
        <v>1570.739</v>
      </c>
      <c r="F528" s="16">
        <f>IF($D528&lt;&gt;"USD","",IFERROR(INDEX(觀察名單!$Q$2:$Q$533,MATCH($C528,觀察名單!$B$2:$B$533,0)),""))</f>
        <v>238.676</v>
      </c>
    </row>
    <row r="529">
      <c r="A529" s="15" t="inlineStr">
        <is>
          <t>AI 小群組</t>
        </is>
      </c>
      <c r="B529" s="15" t="inlineStr">
        <is>
          <t>F1 電源</t>
        </is>
      </c>
      <c r="C529" s="15" t="inlineStr">
        <is>
          <t>CMI</t>
        </is>
      </c>
      <c r="D529" s="15" t="str">
        <f>IFERROR(INDEX(觀察名單!$F$2:$F$533,MATCH($C529,觀察名單!$B$2:$B$533,0)),"")</f>
        <v>USD</v>
      </c>
      <c r="E529" s="16">
        <f>IF($D529&lt;&gt;"USD","",IFERROR(INDEX(觀察名單!$L$2:$L$533,MATCH($C529,觀察名單!$B$2:$B$533,0)),""))</f>
        <v>8398.0</v>
      </c>
      <c r="F529" s="16">
        <f>IF($D529&lt;&gt;"USD","",IFERROR(INDEX(觀察名單!$Q$2:$Q$533,MATCH($C529,觀察名單!$B$2:$B$533,0)),""))</f>
        <v>1000.0</v>
      </c>
    </row>
    <row r="530">
      <c r="A530" s="15" t="inlineStr">
        <is>
          <t>AI 小群組</t>
        </is>
      </c>
      <c r="B530" s="15" t="inlineStr">
        <is>
          <t>D1 光模塊</t>
        </is>
      </c>
      <c r="C530" s="15" t="inlineStr">
        <is>
          <t>COHR</t>
        </is>
      </c>
      <c r="D530" s="15" t="str">
        <f>IFERROR(INDEX(觀察名單!$F$2:$F$533,MATCH($C530,觀察名單!$B$2:$B$533,0)),"")</f>
        <v>USD</v>
      </c>
      <c r="E530" s="16">
        <f>IF($D530&lt;&gt;"USD","",IFERROR(INDEX(觀察名單!$L$2:$L$533,MATCH($C530,觀察名單!$B$2:$B$533,0)),""))</f>
        <v>2045.533</v>
      </c>
      <c r="F530" s="16">
        <f>IF($D530&lt;&gt;"USD","",IFERROR(INDEX(觀察名單!$Q$2:$Q$533,MATCH($C530,觀察名單!$B$2:$B$533,0)),""))</f>
        <v>304.338</v>
      </c>
    </row>
    <row r="531">
      <c r="A531" s="15" t="inlineStr">
        <is>
          <t>AI 小群組</t>
        </is>
      </c>
      <c r="B531" s="15" t="inlineStr">
        <is>
          <t>D3 高速互連</t>
        </is>
      </c>
      <c r="C531" s="15" t="inlineStr">
        <is>
          <t>CRDO</t>
        </is>
      </c>
      <c r="D531" s="15" t="str">
        <f>IFERROR(INDEX(觀察名單!$F$2:$F$533,MATCH($C531,觀察名單!$B$2:$B$533,0)),"")</f>
        <v>USD</v>
      </c>
      <c r="E531" s="16">
        <f>IF($D531&lt;&gt;"USD","",IFERROR(INDEX(觀察名單!$L$2:$L$533,MATCH($C531,觀察名單!$B$2:$B$533,0)),""))</f>
        <v>437.003</v>
      </c>
      <c r="F531" s="16">
        <f>IF($D531&lt;&gt;"USD","",IFERROR(INDEX(觀察名單!$Q$2:$Q$533,MATCH($C531,觀察名單!$B$2:$B$533,0)),""))</f>
        <v>155.845</v>
      </c>
    </row>
    <row r="532">
      <c r="A532" s="15" t="inlineStr">
        <is>
          <t>AI 小群組</t>
        </is>
      </c>
      <c r="B532" s="15" t="inlineStr">
        <is>
          <t>G3 AI</t>
        </is>
      </c>
      <c r="C532" s="15" t="inlineStr">
        <is>
          <t>CRM</t>
        </is>
      </c>
      <c r="D532" s="15" t="str">
        <f>IFERROR(INDEX(觀察名單!$F$2:$F$533,MATCH($C532,觀察名單!$B$2:$B$533,0)),"")</f>
        <v>USD</v>
      </c>
      <c r="E532" s="16">
        <f>IF($D532&lt;&gt;"USD","",IFERROR(INDEX(觀察名單!$L$2:$L$533,MATCH($C532,觀察名單!$B$2:$B$533,0)),""))</f>
        <v>11345.0</v>
      </c>
      <c r="F532" s="16">
        <f>IF($D532&lt;&gt;"USD","",IFERROR(INDEX(觀察名單!$Q$2:$Q$533,MATCH($C532,觀察名單!$B$2:$B$533,0)),""))</f>
        <v>2425.0</v>
      </c>
    </row>
    <row r="533">
      <c r="A533" s="15" t="inlineStr">
        <is>
          <t>AI 小群組</t>
        </is>
      </c>
      <c r="B533" s="15" t="inlineStr">
        <is>
          <t>D8 安全</t>
        </is>
      </c>
      <c r="C533" s="15" t="inlineStr">
        <is>
          <t>CRWD</t>
        </is>
      </c>
      <c r="D533" s="15" t="str">
        <f>IFERROR(INDEX(觀察名單!$F$2:$F$533,MATCH($C533,觀察名單!$B$2:$B$533,0)),"")</f>
        <v>USD</v>
      </c>
      <c r="E533" s="16">
        <f>IF($D533&lt;&gt;"USD","",IFERROR(INDEX(觀察名單!$L$2:$L$533,MATCH($C533,觀察名單!$B$2:$B$533,0)),""))</f>
        <v>1470.897</v>
      </c>
      <c r="F533" s="16">
        <f>IF($D533&lt;&gt;"USD","",IFERROR(INDEX(觀察名單!$Q$2:$Q$533,MATCH($C533,觀察名單!$B$2:$B$533,0)),""))</f>
        <v>-33.232</v>
      </c>
    </row>
    <row r="534">
      <c r="A534" s="15" t="inlineStr">
        <is>
          <t>AI 小群組</t>
        </is>
      </c>
      <c r="B534" s="15" t="inlineStr">
        <is>
          <t>AA1 Neo</t>
        </is>
      </c>
      <c r="C534" s="15" t="inlineStr">
        <is>
          <t>CRWV</t>
        </is>
      </c>
      <c r="D534" s="15" t="str">
        <f>IFERROR(INDEX(觀察名單!$F$2:$F$533,MATCH($C534,觀察名單!$B$2:$B$533,0)),"")</f>
        <v>USD</v>
      </c>
      <c r="E534" s="16">
        <f>IF($D534&lt;&gt;"USD","",IFERROR(INDEX(觀察名單!$L$2:$L$533,MATCH($C534,觀察名單!$B$2:$B$533,0)),""))</f>
        <v>2575.0</v>
      </c>
      <c r="F534" s="16">
        <f>IF($D534&lt;&gt;"USD","",IFERROR(INDEX(觀察名單!$Q$2:$Q$533,MATCH($C534,觀察名單!$B$2:$B$533,0)),""))</f>
        <v>-49.0</v>
      </c>
    </row>
    <row r="535">
      <c r="A535" s="15" t="inlineStr">
        <is>
          <t>AI 小群組</t>
        </is>
      </c>
      <c r="B535" s="15" t="inlineStr">
        <is>
          <t>D4 網絡交換</t>
        </is>
      </c>
      <c r="C535" s="15" t="inlineStr">
        <is>
          <t>CSCO</t>
        </is>
      </c>
      <c r="D535" s="15" t="str">
        <f>IFERROR(INDEX(觀察名單!$F$2:$F$533,MATCH($C535,觀察名單!$B$2:$B$533,0)),"")</f>
        <v>USD</v>
      </c>
      <c r="E535" s="16">
        <f>IF($D535&lt;&gt;"USD","",IFERROR(INDEX(觀察名單!$L$2:$L$533,MATCH($C535,觀察名單!$B$2:$B$533,0)),""))</f>
        <v>17252.0</v>
      </c>
      <c r="F535" s="16">
        <f>IF($D535&lt;&gt;"USD","",IFERROR(INDEX(觀察名單!$Q$2:$Q$533,MATCH($C535,觀察名單!$B$2:$B$533,0)),""))</f>
        <v>4775.0</v>
      </c>
    </row>
    <row r="536">
      <c r="A536" s="15" t="inlineStr">
        <is>
          <t>AI 小群組</t>
        </is>
      </c>
      <c r="B536" s="15" t="inlineStr">
        <is>
          <t>E1 Server</t>
        </is>
      </c>
      <c r="C536" s="15" t="inlineStr">
        <is>
          <t>DELL</t>
        </is>
      </c>
      <c r="D536" s="15" t="str">
        <f>IFERROR(INDEX(觀察名單!$F$2:$F$533,MATCH($C536,觀察名單!$B$2:$B$533,0)),"")</f>
        <v>USD</v>
      </c>
      <c r="E536" s="16" t="str">
        <f>IF($D536&lt;&gt;"USD","",IFERROR(INDEX(觀察名單!$L$2:$L$533,MATCH($C536,觀察名單!$B$2:$B$533,0)),""))</f>
        <v/>
      </c>
      <c r="F536" s="16" t="str">
        <f>IF($D536&lt;&gt;"USD","",IFERROR(INDEX(觀察名單!$Q$2:$Q$533,MATCH($C536,觀察名單!$B$2:$B$533,0)),""))</f>
        <v/>
      </c>
    </row>
    <row r="537">
      <c r="A537" s="15" t="inlineStr">
        <is>
          <t>AI 小群組</t>
        </is>
      </c>
      <c r="B537" s="15" t="inlineStr">
        <is>
          <t>G2 數據中心</t>
        </is>
      </c>
      <c r="C537" s="15" t="inlineStr">
        <is>
          <t>DLR</t>
        </is>
      </c>
      <c r="D537" s="15" t="str">
        <f>IFERROR(INDEX(觀察名單!$F$2:$F$533,MATCH($C537,觀察名單!$B$2:$B$533,0)),"")</f>
        <v>USD</v>
      </c>
      <c r="E537" s="16" t="str">
        <f>IF($D537&lt;&gt;"USD","",IFERROR(INDEX(觀察名單!$L$2:$L$533,MATCH($C537,觀察名單!$B$2:$B$533,0)),""))</f>
        <v/>
      </c>
      <c r="F537" s="16" t="str">
        <f>IF($D537&lt;&gt;"USD","",IFERROR(INDEX(觀察名單!$Q$2:$Q$533,MATCH($C537,觀察名單!$B$2:$B$533,0)),""))</f>
        <v/>
      </c>
    </row>
    <row r="538">
      <c r="A538" s="15" t="inlineStr">
        <is>
          <t>AI 小群組</t>
        </is>
      </c>
      <c r="B538" s="15" t="inlineStr">
        <is>
          <t>G3 AI</t>
        </is>
      </c>
      <c r="C538" s="15" t="inlineStr">
        <is>
          <t>DUOL</t>
        </is>
      </c>
      <c r="D538" s="15" t="str">
        <f>IFERROR(INDEX(觀察名單!$F$2:$F$533,MATCH($C538,觀察名單!$B$2:$B$533,0)),"")</f>
        <v>USD</v>
      </c>
      <c r="E538" s="16">
        <f>IF($D538&lt;&gt;"USD","",IFERROR(INDEX(觀察名單!$L$2:$L$533,MATCH($C538,觀察名單!$B$2:$B$533,0)),""))</f>
        <v>298.454</v>
      </c>
      <c r="F538" s="16">
        <f>IF($D538&lt;&gt;"USD","",IFERROR(INDEX(觀察名單!$Q$2:$Q$533,MATCH($C538,觀察名單!$B$2:$B$533,0)),""))</f>
        <v>33.945</v>
      </c>
    </row>
    <row r="539">
      <c r="A539" s="15" t="inlineStr">
        <is>
          <t>AI 小群組</t>
        </is>
      </c>
      <c r="B539" s="15" t="inlineStr">
        <is>
          <t>G2 數據中心</t>
        </is>
      </c>
      <c r="C539" s="15" t="inlineStr">
        <is>
          <t>EQIX</t>
        </is>
      </c>
      <c r="D539" s="15" t="str">
        <f>IFERROR(INDEX(觀察名單!$F$2:$F$533,MATCH($C539,觀察名單!$B$2:$B$533,0)),"")</f>
        <v>USD</v>
      </c>
      <c r="E539" s="16">
        <f>IF($D539&lt;&gt;"USD","",IFERROR(INDEX(觀察名單!$L$2:$L$533,MATCH($C539,觀察名單!$B$2:$B$533,0)),""))</f>
        <v>2625.0</v>
      </c>
      <c r="F539" s="16">
        <f>IF($D539&lt;&gt;"USD","",IFERROR(INDEX(觀察名單!$Q$2:$Q$533,MATCH($C539,觀察名單!$B$2:$B$533,0)),""))</f>
        <v>694.0</v>
      </c>
    </row>
    <row r="540">
      <c r="A540" s="15" t="inlineStr">
        <is>
          <t>AI 小群組</t>
        </is>
      </c>
      <c r="B540" s="15" t="inlineStr">
        <is>
          <t>F1 電源</t>
        </is>
      </c>
      <c r="C540" s="15" t="inlineStr">
        <is>
          <t>ETN</t>
        </is>
      </c>
      <c r="D540" s="15" t="str">
        <f>IFERROR(INDEX(觀察名單!$F$2:$F$533,MATCH($C540,觀察名單!$B$2:$B$533,0)),"")</f>
        <v>USD</v>
      </c>
      <c r="E540" s="16" t="str">
        <f>IF($D540&lt;&gt;"USD","",IFERROR(INDEX(觀察名單!$L$2:$L$533,MATCH($C540,觀察名單!$B$2:$B$533,0)),""))</f>
        <v/>
      </c>
      <c r="F540" s="16" t="str">
        <f>IF($D540&lt;&gt;"USD","",IFERROR(INDEX(觀察名單!$Q$2:$Q$533,MATCH($C540,觀察名單!$B$2:$B$533,0)),""))</f>
        <v/>
      </c>
    </row>
    <row r="541">
      <c r="A541" s="15" t="inlineStr">
        <is>
          <t>AI 小群組</t>
        </is>
      </c>
      <c r="B541" s="15" t="inlineStr">
        <is>
          <t>D1 光模塊</t>
        </is>
      </c>
      <c r="C541" s="15" t="inlineStr">
        <is>
          <t>FN</t>
        </is>
      </c>
      <c r="D541" s="15" t="str">
        <f>IFERROR(INDEX(觀察名單!$F$2:$F$533,MATCH($C541,觀察名單!$B$2:$B$533,0)),"")</f>
        <v>USD</v>
      </c>
      <c r="E541" s="16">
        <f>IF($D541&lt;&gt;"USD","",IFERROR(INDEX(觀察名單!$L$2:$L$533,MATCH($C541,觀察名單!$B$2:$B$533,0)),""))</f>
        <v>1315.788</v>
      </c>
      <c r="F541" s="16">
        <f>IF($D541&lt;&gt;"USD","",IFERROR(INDEX(觀察名單!$Q$2:$Q$533,MATCH($C541,觀察名單!$B$2:$B$533,0)),""))</f>
        <v>134.366</v>
      </c>
    </row>
    <row r="542">
      <c r="A542" s="15" t="inlineStr">
        <is>
          <t>AI 小群組</t>
        </is>
      </c>
      <c r="B542" s="15" t="inlineStr">
        <is>
          <t>B3 先進封裝</t>
        </is>
      </c>
      <c r="C542" s="15" t="inlineStr">
        <is>
          <t>FORM</t>
        </is>
      </c>
      <c r="D542" s="15" t="str">
        <f>IFERROR(INDEX(觀察名單!$F$2:$F$533,MATCH($C542,觀察名單!$B$2:$B$533,0)),"")</f>
        <v>USD</v>
      </c>
      <c r="E542" s="16" t="str">
        <f>IF($D542&lt;&gt;"USD","",IFERROR(INDEX(觀察名單!$L$2:$L$533,MATCH($C542,觀察名單!$B$2:$B$533,0)),""))</f>
        <v/>
      </c>
      <c r="F542" s="16" t="str">
        <f>IF($D542&lt;&gt;"USD","",IFERROR(INDEX(觀察名單!$Q$2:$Q$533,MATCH($C542,觀察名單!$B$2:$B$533,0)),""))</f>
        <v/>
      </c>
    </row>
    <row r="543">
      <c r="A543" s="15" t="inlineStr">
        <is>
          <t>AI 小群組</t>
        </is>
      </c>
      <c r="B543" s="15" t="inlineStr">
        <is>
          <t>D8 安全</t>
        </is>
      </c>
      <c r="C543" s="15" t="inlineStr">
        <is>
          <t>FTNT</t>
        </is>
      </c>
      <c r="D543" s="15" t="str">
        <f>IFERROR(INDEX(觀察名單!$F$2:$F$533,MATCH($C543,觀察名單!$B$2:$B$533,0)),"")</f>
        <v>USD</v>
      </c>
      <c r="E543" s="16">
        <f>IF($D543&lt;&gt;"USD","",IFERROR(INDEX(觀察名單!$L$2:$L$533,MATCH($C543,觀察名單!$B$2:$B$533,0)),""))</f>
        <v>2047.9</v>
      </c>
      <c r="F543" s="16">
        <f>IF($D543&lt;&gt;"USD","",IFERROR(INDEX(觀察名單!$Q$2:$Q$533,MATCH($C543,觀察名單!$B$2:$B$533,0)),""))</f>
        <v>689.3</v>
      </c>
    </row>
    <row r="544">
      <c r="A544" s="15" t="inlineStr">
        <is>
          <t>AI 小群組</t>
        </is>
      </c>
      <c r="B544" s="15" t="inlineStr">
        <is>
          <t>F1 電源</t>
        </is>
      </c>
      <c r="C544" s="15" t="inlineStr">
        <is>
          <t>GEV</t>
        </is>
      </c>
      <c r="D544" s="15" t="str">
        <f>IFERROR(INDEX(觀察名單!$F$2:$F$533,MATCH($C544,觀察名單!$B$2:$B$533,0)),"")</f>
        <v>USD</v>
      </c>
      <c r="E544" s="16">
        <f>IF($D544&lt;&gt;"USD","",IFERROR(INDEX(觀察名單!$L$2:$L$533,MATCH($C544,觀察名單!$B$2:$B$533,0)),""))</f>
        <v>11104.0</v>
      </c>
      <c r="F544" s="16">
        <f>IF($D544&lt;&gt;"USD","",IFERROR(INDEX(觀察名單!$Q$2:$Q$533,MATCH($C544,觀察名單!$B$2:$B$533,0)),""))</f>
        <v>655.0</v>
      </c>
    </row>
    <row r="545">
      <c r="A545" s="15" t="inlineStr">
        <is>
          <t>AI 小群組</t>
        </is>
      </c>
      <c r="B545" s="15" t="inlineStr">
        <is>
          <t>B1 Foundry</t>
        </is>
      </c>
      <c r="C545" s="15" t="inlineStr">
        <is>
          <t>GFS</t>
        </is>
      </c>
      <c r="D545" s="15" t="str">
        <f>IFERROR(INDEX(觀察名單!$F$2:$F$533,MATCH($C545,觀察名單!$B$2:$B$533,0)),"")</f>
        <v>USD</v>
      </c>
      <c r="E545" s="16">
        <f>IF($D545&lt;&gt;"USD","",IFERROR(INDEX(觀察名單!$L$2:$L$533,MATCH($C545,觀察名單!$B$2:$B$533,0)),""))</f>
        <v>1786.0</v>
      </c>
      <c r="F545" s="16">
        <f>IF($D545&lt;&gt;"USD","",IFERROR(INDEX(觀察名單!$Q$2:$Q$533,MATCH($C545,觀察名單!$B$2:$B$533,0)),""))</f>
        <v>174.0</v>
      </c>
    </row>
    <row r="546">
      <c r="A546" s="15" t="inlineStr">
        <is>
          <t>AI 小群組</t>
        </is>
      </c>
      <c r="B546" s="15" t="inlineStr">
        <is>
          <t>D6 光纖</t>
        </is>
      </c>
      <c r="C546" s="15" t="inlineStr">
        <is>
          <t>GLW</t>
        </is>
      </c>
      <c r="D546" s="15" t="str">
        <f>IFERROR(INDEX(觀察名單!$F$2:$F$533,MATCH($C546,觀察名單!$B$2:$B$533,0)),"")</f>
        <v>USD</v>
      </c>
      <c r="E546" s="16">
        <f>IF($D546&lt;&gt;"USD","",IFERROR(INDEX(觀察名單!$L$2:$L$533,MATCH($C546,觀察名單!$B$2:$B$533,0)),""))</f>
        <v>4505.0</v>
      </c>
      <c r="F546" s="16">
        <f>IF($D546&lt;&gt;"USD","",IFERROR(INDEX(觀察名單!$Q$2:$Q$533,MATCH($C546,觀察名單!$B$2:$B$533,0)),""))</f>
        <v>698.0</v>
      </c>
    </row>
    <row r="547">
      <c r="A547" s="15" t="inlineStr">
        <is>
          <t>AI 小群組</t>
        </is>
      </c>
      <c r="B547" s="15" t="inlineStr">
        <is>
          <t>F1 電源</t>
        </is>
      </c>
      <c r="C547" s="15" t="inlineStr">
        <is>
          <t>GNRC</t>
        </is>
      </c>
      <c r="D547" s="15" t="str">
        <f>IFERROR(INDEX(觀察名單!$F$2:$F$533,MATCH($C547,觀察名單!$B$2:$B$533,0)),"")</f>
        <v>USD</v>
      </c>
      <c r="E547" s="16">
        <f>IF($D547&lt;&gt;"USD","",IFERROR(INDEX(觀察名單!$L$2:$L$533,MATCH($C547,觀察名單!$B$2:$B$533,0)),""))</f>
        <v>1173.51</v>
      </c>
      <c r="F547" s="16">
        <f>IF($D547&lt;&gt;"USD","",IFERROR(INDEX(觀察名單!$Q$2:$Q$533,MATCH($C547,觀察名單!$B$2:$B$533,0)),""))</f>
        <v>210.433</v>
      </c>
    </row>
    <row r="548">
      <c r="A548" s="15" t="inlineStr">
        <is>
          <t>AI 小群組</t>
        </is>
      </c>
      <c r="B548" s="15" t="inlineStr">
        <is>
          <t>AA2 Hyperscaler</t>
        </is>
      </c>
      <c r="C548" s="15" t="inlineStr">
        <is>
          <t>GOOGL</t>
        </is>
      </c>
      <c r="D548" s="15" t="str">
        <f>IFERROR(INDEX(觀察名單!$F$2:$F$533,MATCH($C548,觀察名單!$B$2:$B$533,0)),"")</f>
        <v>USD</v>
      </c>
      <c r="E548" s="16">
        <f>IF($D548&lt;&gt;"USD","",IFERROR(INDEX(觀察名單!$L$2:$L$533,MATCH($C548,觀察名單!$B$2:$B$533,0)),""))</f>
        <v>119796.0</v>
      </c>
      <c r="F548" s="16">
        <f>IF($D548&lt;&gt;"USD","",IFERROR(INDEX(觀察名單!$Q$2:$Q$533,MATCH($C548,觀察名單!$B$2:$B$533,0)),""))</f>
        <v>40770.0</v>
      </c>
    </row>
    <row r="549">
      <c r="A549" s="15" t="inlineStr">
        <is>
          <t>AI 小群組</t>
        </is>
      </c>
      <c r="B549" s="15" t="inlineStr">
        <is>
          <t>E1 Server</t>
        </is>
      </c>
      <c r="C549" s="15" t="inlineStr">
        <is>
          <t>HPE</t>
        </is>
      </c>
      <c r="D549" s="15" t="str">
        <f>IFERROR(INDEX(觀察名單!$F$2:$F$533,MATCH($C549,觀察名單!$B$2:$B$533,0)),"")</f>
        <v>USD</v>
      </c>
      <c r="E549" s="16" t="str">
        <f>IF($D549&lt;&gt;"USD","",IFERROR(INDEX(觀察名單!$L$2:$L$533,MATCH($C549,觀察名單!$B$2:$B$533,0)),""))</f>
        <v/>
      </c>
      <c r="F549" s="16" t="str">
        <f>IF($D549&lt;&gt;"USD","",IFERROR(INDEX(觀察名單!$Q$2:$Q$533,MATCH($C549,觀察名單!$B$2:$B$533,0)),""))</f>
        <v/>
      </c>
    </row>
    <row r="550">
      <c r="A550" s="15" t="inlineStr">
        <is>
          <t>AI 小群組</t>
        </is>
      </c>
      <c r="B550" s="15" t="inlineStr">
        <is>
          <t>A1 GPU</t>
        </is>
      </c>
      <c r="C550" s="15" t="inlineStr">
        <is>
          <t>INTC</t>
        </is>
      </c>
      <c r="D550" s="15" t="str">
        <f>IFERROR(INDEX(觀察名單!$F$2:$F$533,MATCH($C550,觀察名單!$B$2:$B$533,0)),"")</f>
        <v>USD</v>
      </c>
      <c r="E550" s="16">
        <f>IF($D550&lt;&gt;"USD","",IFERROR(INDEX(觀察名單!$L$2:$L$533,MATCH($C550,觀察名單!$B$2:$B$533,0)),""))</f>
        <v>16128.0</v>
      </c>
      <c r="F550" s="16">
        <f>IF($D550&lt;&gt;"USD","",IFERROR(INDEX(觀察名單!$Q$2:$Q$533,MATCH($C550,觀察名單!$B$2:$B$533,0)),""))</f>
        <v>1966.0</v>
      </c>
    </row>
    <row r="551">
      <c r="A551" s="15" t="inlineStr">
        <is>
          <t>AI 小群組</t>
        </is>
      </c>
      <c r="B551" s="15" t="inlineStr">
        <is>
          <t>D9 光模塊上游</t>
        </is>
      </c>
      <c r="C551" s="15" t="inlineStr">
        <is>
          <t>IPGP</t>
        </is>
      </c>
      <c r="D551" s="15" t="str">
        <f>IFERROR(INDEX(觀察名單!$F$2:$F$533,MATCH($C551,觀察名單!$B$2:$B$533,0)),"")</f>
        <v>USD</v>
      </c>
      <c r="E551" s="16">
        <f>IF($D551&lt;&gt;"USD","",IFERROR(INDEX(觀察名單!$L$2:$L$533,MATCH($C551,觀察名單!$B$2:$B$533,0)),""))</f>
        <v>278.58</v>
      </c>
      <c r="F551" s="16">
        <f>IF($D551&lt;&gt;"USD","",IFERROR(INDEX(觀察名單!$Q$2:$Q$533,MATCH($C551,觀察名單!$B$2:$B$533,0)),""))</f>
        <v>21.157</v>
      </c>
    </row>
    <row r="552">
      <c r="A552" s="15" t="inlineStr">
        <is>
          <t>AI 小群組</t>
        </is>
      </c>
      <c r="B552" s="15" t="inlineStr">
        <is>
          <t>AA1 Neo</t>
        </is>
      </c>
      <c r="C552" s="15" t="inlineStr">
        <is>
          <t>IREN</t>
        </is>
      </c>
      <c r="D552" s="15" t="str">
        <f>IFERROR(INDEX(觀察名單!$F$2:$F$533,MATCH($C552,觀察名單!$B$2:$B$533,0)),"")</f>
        <v>USD</v>
      </c>
      <c r="E552" s="16">
        <f>IF($D552&lt;&gt;"USD","",IFERROR(INDEX(觀察名單!$L$2:$L$533,MATCH($C552,觀察名單!$B$2:$B$533,0)),""))</f>
        <v>137.225</v>
      </c>
      <c r="F552" s="16">
        <f>IF($D552&lt;&gt;"USD","",IFERROR(INDEX(觀察名單!$Q$2:$Q$533,MATCH($C552,觀察名單!$B$2:$B$533,0)),""))</f>
        <v>-140.615</v>
      </c>
    </row>
    <row r="553">
      <c r="A553" s="15" t="inlineStr">
        <is>
          <t>AI 小群組</t>
        </is>
      </c>
      <c r="B553" s="15" t="inlineStr">
        <is>
          <t>G4 機器人</t>
        </is>
      </c>
      <c r="C553" s="15" t="inlineStr">
        <is>
          <t>ISRG</t>
        </is>
      </c>
      <c r="D553" s="15" t="str">
        <f>IFERROR(INDEX(觀察名單!$F$2:$F$533,MATCH($C553,觀察名單!$B$2:$B$533,0)),"")</f>
        <v>USD</v>
      </c>
      <c r="E553" s="16">
        <f>IF($D553&lt;&gt;"USD","",IFERROR(INDEX(觀察名單!$L$2:$L$533,MATCH($C553,觀察名單!$B$2:$B$533,0)),""))</f>
        <v>2892.3</v>
      </c>
      <c r="F553" s="16">
        <f>IF($D553&lt;&gt;"USD","",IFERROR(INDEX(觀察名單!$Q$2:$Q$533,MATCH($C553,觀察名單!$B$2:$B$533,0)),""))</f>
        <v>971.9</v>
      </c>
    </row>
    <row r="554">
      <c r="A554" s="15" t="inlineStr">
        <is>
          <t>AI 小群組</t>
        </is>
      </c>
      <c r="B554" s="15" t="inlineStr">
        <is>
          <t>B2 半導體前段設備</t>
        </is>
      </c>
      <c r="C554" s="15" t="inlineStr">
        <is>
          <t>KLAC</t>
        </is>
      </c>
      <c r="D554" s="15" t="str">
        <f>IFERROR(INDEX(觀察名單!$F$2:$F$533,MATCH($C554,觀察名單!$B$2:$B$533,0)),"")</f>
        <v>USD</v>
      </c>
      <c r="E554" s="16">
        <f>IF($D554&lt;&gt;"USD","",IFERROR(INDEX(觀察名單!$L$2:$L$533,MATCH($C554,觀察名單!$B$2:$B$533,0)),""))</f>
        <v>3657.556</v>
      </c>
      <c r="F554" s="16">
        <f>IF($D554&lt;&gt;"USD","",IFERROR(INDEX(觀察名單!$Q$2:$Q$533,MATCH($C554,觀察名單!$B$2:$B$533,0)),""))</f>
        <v>1553.948</v>
      </c>
    </row>
    <row r="555">
      <c r="A555" s="15" t="inlineStr">
        <is>
          <t>AI 小群組</t>
        </is>
      </c>
      <c r="B555" s="15" t="inlineStr">
        <is>
          <t>D9 光模塊上游</t>
        </is>
      </c>
      <c r="C555" s="15" t="inlineStr">
        <is>
          <t>LASR</t>
        </is>
      </c>
      <c r="D555" s="15" t="str">
        <f>IFERROR(INDEX(觀察名單!$F$2:$F$533,MATCH($C555,觀察名單!$B$2:$B$533,0)),"")</f>
        <v>USD</v>
      </c>
      <c r="E555" s="16">
        <f>IF($D555&lt;&gt;"USD","",IFERROR(INDEX(觀察名單!$L$2:$L$533,MATCH($C555,觀察名單!$B$2:$B$533,0)),""))</f>
        <v>82.591</v>
      </c>
      <c r="F555" s="16">
        <f>IF($D555&lt;&gt;"USD","",IFERROR(INDEX(觀察名單!$Q$2:$Q$533,MATCH($C555,觀察名單!$B$2:$B$533,0)),""))</f>
        <v>-3.567</v>
      </c>
    </row>
    <row r="556">
      <c r="A556" s="15" t="inlineStr">
        <is>
          <t>AI 小群組</t>
        </is>
      </c>
      <c r="B556" s="15" t="inlineStr">
        <is>
          <t>F3 能源</t>
        </is>
      </c>
      <c r="C556" s="15" t="inlineStr">
        <is>
          <t>LEU</t>
        </is>
      </c>
      <c r="D556" s="15" t="str">
        <f>IFERROR(INDEX(觀察名單!$F$2:$F$533,MATCH($C556,觀察名單!$B$2:$B$533,0)),"")</f>
        <v>USD</v>
      </c>
      <c r="E556" s="16">
        <f>IF($D556&lt;&gt;"USD","",IFERROR(INDEX(觀察名單!$L$2:$L$533,MATCH($C556,觀察名單!$B$2:$B$533,0)),""))</f>
        <v>176.1</v>
      </c>
      <c r="F556" s="16">
        <f>IF($D556&lt;&gt;"USD","",IFERROR(INDEX(觀察名單!$Q$2:$Q$533,MATCH($C556,觀察名單!$B$2:$B$533,0)),""))</f>
        <v>10.4</v>
      </c>
    </row>
    <row r="557">
      <c r="A557" s="15" t="inlineStr">
        <is>
          <t>AI 小群組</t>
        </is>
      </c>
      <c r="B557" s="15" t="inlineStr">
        <is>
          <t>B10 半導體材料②光刻膠/特氣</t>
        </is>
      </c>
      <c r="C557" s="15" t="inlineStr">
        <is>
          <t>LIN</t>
        </is>
      </c>
      <c r="D557" s="15" t="str">
        <f>IFERROR(INDEX(觀察名單!$F$2:$F$533,MATCH($C557,觀察名單!$B$2:$B$533,0)),"")</f>
        <v>USD</v>
      </c>
      <c r="E557" s="16">
        <f>IF($D557&lt;&gt;"USD","",IFERROR(INDEX(觀察名單!$L$2:$L$533,MATCH($C557,觀察名單!$B$2:$B$533,0)),""))</f>
        <v>9289.0</v>
      </c>
      <c r="F557" s="16">
        <f>IF($D557&lt;&gt;"USD","",IFERROR(INDEX(觀察名單!$Q$2:$Q$533,MATCH($C557,觀察名單!$B$2:$B$533,0)),""))</f>
        <v>2537.0</v>
      </c>
    </row>
    <row r="558">
      <c r="A558" s="15" t="inlineStr">
        <is>
          <t>AI 小群組</t>
        </is>
      </c>
      <c r="B558" s="15" t="inlineStr">
        <is>
          <t>D1 光模塊</t>
        </is>
      </c>
      <c r="C558" s="15" t="inlineStr">
        <is>
          <t>LITE</t>
        </is>
      </c>
      <c r="D558" s="15" t="str">
        <f>IFERROR(INDEX(觀察名單!$F$2:$F$533,MATCH($C558,觀察名單!$B$2:$B$533,0)),"")</f>
        <v>USD</v>
      </c>
      <c r="E558" s="16">
        <f>IF($D558&lt;&gt;"USD","",IFERROR(INDEX(觀察名單!$L$2:$L$533,MATCH($C558,觀察名單!$B$2:$B$533,0)),""))</f>
        <v>1006.3</v>
      </c>
      <c r="F558" s="16">
        <f>IF($D558&lt;&gt;"USD","",IFERROR(INDEX(觀察名單!$Q$2:$Q$533,MATCH($C558,觀察名單!$B$2:$B$533,0)),""))</f>
        <v>281.7</v>
      </c>
    </row>
    <row r="559">
      <c r="A559" s="15" t="inlineStr">
        <is>
          <t>AI 小群組</t>
        </is>
      </c>
      <c r="B559" s="15" t="inlineStr">
        <is>
          <t>D9 光模塊上游</t>
        </is>
      </c>
      <c r="C559" s="15" t="inlineStr">
        <is>
          <t>LPTH</t>
        </is>
      </c>
      <c r="D559" s="15" t="str">
        <f>IFERROR(INDEX(觀察名單!$F$2:$F$533,MATCH($C559,觀察名單!$B$2:$B$533,0)),"")</f>
        <v>USD</v>
      </c>
      <c r="E559" s="16">
        <f>IF($D559&lt;&gt;"USD","",IFERROR(INDEX(觀察名單!$L$2:$L$533,MATCH($C559,觀察名單!$B$2:$B$533,0)),""))</f>
        <v>19.149814</v>
      </c>
      <c r="F559" s="16">
        <f>IF($D559&lt;&gt;"USD","",IFERROR(INDEX(觀察名單!$Q$2:$Q$533,MATCH($C559,觀察名單!$B$2:$B$533,0)),""))</f>
        <v>-0.859042</v>
      </c>
    </row>
    <row r="560">
      <c r="A560" s="15" t="inlineStr">
        <is>
          <t>AI 小群組</t>
        </is>
      </c>
      <c r="B560" s="15" t="inlineStr">
        <is>
          <t>B2 半導體前段設備</t>
        </is>
      </c>
      <c r="C560" s="15" t="inlineStr">
        <is>
          <t>LRCX</t>
        </is>
      </c>
      <c r="D560" s="15" t="str">
        <f>IFERROR(INDEX(觀察名單!$F$2:$F$533,MATCH($C560,觀察名單!$B$2:$B$533,0)),"")</f>
        <v>USD</v>
      </c>
      <c r="E560" s="16">
        <f>IF($D560&lt;&gt;"USD","",IFERROR(INDEX(觀察名單!$L$2:$L$533,MATCH($C560,觀察名單!$B$2:$B$533,0)),""))</f>
        <v>6722.238</v>
      </c>
      <c r="F560" s="16">
        <f>IF($D560&lt;&gt;"USD","",IFERROR(INDEX(觀察名單!$Q$2:$Q$533,MATCH($C560,觀察名單!$B$2:$B$533,0)),""))</f>
        <v>2513.488</v>
      </c>
    </row>
    <row r="561">
      <c r="A561" s="15" t="inlineStr">
        <is>
          <t>AI 小群組</t>
        </is>
      </c>
      <c r="B561" s="15" t="inlineStr">
        <is>
          <t>D2 矽光</t>
        </is>
      </c>
      <c r="C561" s="15" t="inlineStr">
        <is>
          <t>LWLG</t>
        </is>
      </c>
      <c r="D561" s="15" t="str">
        <f>IFERROR(INDEX(觀察名單!$F$2:$F$533,MATCH($C561,觀察名單!$B$2:$B$533,0)),"")</f>
        <v>USD</v>
      </c>
      <c r="E561" s="16">
        <f>IF($D561&lt;&gt;"USD","",IFERROR(INDEX(觀察名單!$L$2:$L$533,MATCH($C561,觀察名單!$B$2:$B$533,0)),""))</f>
        <v>0.032751</v>
      </c>
      <c r="F561" s="16">
        <f>IF($D561&lt;&gt;"USD","",IFERROR(INDEX(觀察名單!$Q$2:$Q$533,MATCH($C561,觀察名單!$B$2:$B$533,0)),""))</f>
        <v>-7.26914</v>
      </c>
    </row>
    <row r="562">
      <c r="A562" s="15" t="inlineStr">
        <is>
          <t>AI 小群組</t>
        </is>
      </c>
      <c r="B562" s="15" t="inlineStr">
        <is>
          <t>G3 AI</t>
        </is>
      </c>
      <c r="C562" s="15" t="inlineStr">
        <is>
          <t>MDB</t>
        </is>
      </c>
      <c r="D562" s="15" t="str">
        <f>IFERROR(INDEX(觀察名單!$F$2:$F$533,MATCH($C562,觀察名單!$B$2:$B$533,0)),"")</f>
        <v>USD</v>
      </c>
      <c r="E562" s="16">
        <f>IF($D562&lt;&gt;"USD","",IFERROR(INDEX(觀察名單!$L$2:$L$533,MATCH($C562,觀察名單!$B$2:$B$533,0)),""))</f>
        <v>771.773</v>
      </c>
      <c r="F562" s="16">
        <f>IF($D562&lt;&gt;"USD","",IFERROR(INDEX(觀察名單!$Q$2:$Q$533,MATCH($C562,觀察名單!$B$2:$B$533,0)),""))</f>
        <v>28.4</v>
      </c>
    </row>
    <row r="563">
      <c r="A563" s="15" t="inlineStr">
        <is>
          <t>AI 小群組</t>
        </is>
      </c>
      <c r="B563" s="15" t="inlineStr">
        <is>
          <t>G1 其他雲平台</t>
        </is>
      </c>
      <c r="C563" s="15" t="inlineStr">
        <is>
          <t>META</t>
        </is>
      </c>
      <c r="D563" s="15" t="str">
        <f>IFERROR(INDEX(觀察名單!$F$2:$F$533,MATCH($C563,觀察名單!$B$2:$B$533,0)),"")</f>
        <v>USD</v>
      </c>
      <c r="E563" s="16">
        <f>IF($D563&lt;&gt;"USD","",IFERROR(INDEX(觀察名單!$L$2:$L$533,MATCH($C563,觀察名單!$B$2:$B$533,0)),""))</f>
        <v>60801.0</v>
      </c>
      <c r="F563" s="16">
        <f>IF($D563&lt;&gt;"USD","",IFERROR(INDEX(觀察名單!$Q$2:$Q$533,MATCH($C563,觀察名單!$B$2:$B$533,0)),""))</f>
        <v>18775.0</v>
      </c>
    </row>
    <row r="564">
      <c r="A564" s="15" t="inlineStr">
        <is>
          <t>AI 小群組</t>
        </is>
      </c>
      <c r="B564" s="15" t="inlineStr">
        <is>
          <t>F2 散熱液冷</t>
        </is>
      </c>
      <c r="C564" s="15" t="inlineStr">
        <is>
          <t>MOD</t>
        </is>
      </c>
      <c r="D564" s="15" t="str">
        <f>IFERROR(INDEX(觀察名單!$F$2:$F$533,MATCH($C564,觀察名單!$B$2:$B$533,0)),"")</f>
        <v>USD</v>
      </c>
      <c r="E564" s="16">
        <f>IF($D564&lt;&gt;"USD","",IFERROR(INDEX(觀察名單!$L$2:$L$533,MATCH($C564,觀察名單!$B$2:$B$533,0)),""))</f>
        <v>874.1</v>
      </c>
      <c r="F564" s="16">
        <f>IF($D564&lt;&gt;"USD","",IFERROR(INDEX(觀察名單!$Q$2:$Q$533,MATCH($C564,觀察名單!$B$2:$B$533,0)),""))</f>
        <v>78.7</v>
      </c>
    </row>
    <row r="565">
      <c r="A565" s="15" t="inlineStr">
        <is>
          <t>AI 小群組</t>
        </is>
      </c>
      <c r="B565" s="15" t="inlineStr">
        <is>
          <t>A2 ASIC</t>
        </is>
      </c>
      <c r="C565" s="15" t="inlineStr">
        <is>
          <t>MRVL</t>
        </is>
      </c>
      <c r="D565" s="15" t="str">
        <f>IFERROR(INDEX(觀察名單!$F$2:$F$533,MATCH($C565,觀察名單!$B$2:$B$533,0)),"")</f>
        <v>USD</v>
      </c>
      <c r="E565" s="16">
        <f>IF($D565&lt;&gt;"USD","",IFERROR(INDEX(觀察名單!$L$2:$L$533,MATCH($C565,觀察名單!$B$2:$B$533,0)),""))</f>
        <v>2739.3</v>
      </c>
      <c r="F565" s="16">
        <f>IF($D565&lt;&gt;"USD","",IFERROR(INDEX(觀察名單!$Q$2:$Q$533,MATCH($C565,觀察名單!$B$2:$B$533,0)),""))</f>
        <v>456.9</v>
      </c>
    </row>
    <row r="566">
      <c r="A566" s="15" t="inlineStr">
        <is>
          <t>AI 小群組</t>
        </is>
      </c>
      <c r="B566" s="15" t="inlineStr">
        <is>
          <t>AA2 Hyperscaler</t>
        </is>
      </c>
      <c r="C566" s="15" t="inlineStr">
        <is>
          <t>MSFT</t>
        </is>
      </c>
      <c r="D566" s="15" t="str">
        <f>IFERROR(INDEX(觀察名單!$F$2:$F$533,MATCH($C566,觀察名單!$B$2:$B$533,0)),"")</f>
        <v>USD</v>
      </c>
      <c r="E566" s="16">
        <f>IF($D566&lt;&gt;"USD","",IFERROR(INDEX(觀察名單!$L$2:$L$533,MATCH($C566,觀察名單!$B$2:$B$533,0)),""))</f>
        <v>90007.0</v>
      </c>
      <c r="F566" s="16">
        <f>IF($D566&lt;&gt;"USD","",IFERROR(INDEX(觀察名單!$Q$2:$Q$533,MATCH($C566,觀察名單!$B$2:$B$533,0)),""))</f>
        <v>40603.0</v>
      </c>
    </row>
    <row r="567">
      <c r="A567" s="15" t="inlineStr">
        <is>
          <t>AI 小群組</t>
        </is>
      </c>
      <c r="B567" s="15" t="inlineStr">
        <is>
          <t>D1 光模塊</t>
        </is>
      </c>
      <c r="C567" s="15" t="inlineStr">
        <is>
          <t>MTSI</t>
        </is>
      </c>
      <c r="D567" s="15" t="str">
        <f>IFERROR(INDEX(觀察名單!$F$2:$F$533,MATCH($C567,觀察名單!$B$2:$B$533,0)),"")</f>
        <v>USD</v>
      </c>
      <c r="E567" s="16">
        <f>IF($D567&lt;&gt;"USD","",IFERROR(INDEX(觀察名單!$L$2:$L$533,MATCH($C567,觀察名單!$B$2:$B$533,0)),""))</f>
        <v>342.237</v>
      </c>
      <c r="F567" s="16">
        <f>IF($D567&lt;&gt;"USD","",IFERROR(INDEX(觀察名單!$Q$2:$Q$533,MATCH($C567,觀察名單!$B$2:$B$533,0)),""))</f>
        <v>77.115</v>
      </c>
    </row>
    <row r="568">
      <c r="A568" s="15" t="inlineStr">
        <is>
          <t>AI 小群組</t>
        </is>
      </c>
      <c r="B568" s="15" t="inlineStr">
        <is>
          <t>C1 HBM</t>
        </is>
      </c>
      <c r="C568" s="15" t="inlineStr">
        <is>
          <t>MU</t>
        </is>
      </c>
      <c r="D568" s="15" t="str">
        <f>IFERROR(INDEX(觀察名單!$F$2:$F$533,MATCH($C568,觀察名單!$B$2:$B$533,0)),"")</f>
        <v>USD</v>
      </c>
      <c r="E568" s="16">
        <f>IF($D568&lt;&gt;"USD","",IFERROR(INDEX(觀察名單!$L$2:$L$533,MATCH($C568,觀察名單!$B$2:$B$533,0)),""))</f>
        <v>41456.0</v>
      </c>
      <c r="F568" s="16">
        <f>IF($D568&lt;&gt;"USD","",IFERROR(INDEX(觀察名單!$Q$2:$Q$533,MATCH($C568,觀察名單!$B$2:$B$533,0)),""))</f>
        <v>33318.0</v>
      </c>
    </row>
    <row r="569">
      <c r="A569" s="15" t="inlineStr">
        <is>
          <t>AI 小群組</t>
        </is>
      </c>
      <c r="B569" s="15" t="inlineStr">
        <is>
          <t>AA1 Neo</t>
        </is>
      </c>
      <c r="C569" s="15" t="inlineStr">
        <is>
          <t>NBIS</t>
        </is>
      </c>
      <c r="D569" s="15" t="str">
        <f>IFERROR(INDEX(觀察名單!$F$2:$F$533,MATCH($C569,觀察名單!$B$2:$B$533,0)),"")</f>
        <v>USD</v>
      </c>
      <c r="E569" s="16">
        <f>IF($D569&lt;&gt;"USD","",IFERROR(INDEX(觀察名單!$L$2:$L$533,MATCH($C569,觀察名單!$B$2:$B$533,0)),""))</f>
        <v>582.3</v>
      </c>
      <c r="F569" s="16">
        <f>IF($D569&lt;&gt;"USD","",IFERROR(INDEX(觀察名單!$Q$2:$Q$533,MATCH($C569,觀察名單!$B$2:$B$533,0)),""))</f>
        <v>-175.9</v>
      </c>
    </row>
    <row r="570">
      <c r="A570" s="15" t="inlineStr">
        <is>
          <t>AI 小群組</t>
        </is>
      </c>
      <c r="B570" s="15" t="inlineStr">
        <is>
          <t>G3 AI</t>
        </is>
      </c>
      <c r="C570" s="15" t="inlineStr">
        <is>
          <t>NET</t>
        </is>
      </c>
      <c r="D570" s="15" t="str">
        <f>IFERROR(INDEX(觀察名單!$F$2:$F$533,MATCH($C570,觀察名單!$B$2:$B$533,0)),"")</f>
        <v>USD</v>
      </c>
      <c r="E570" s="16">
        <f>IF($D570&lt;&gt;"USD","",IFERROR(INDEX(觀察名單!$L$2:$L$533,MATCH($C570,觀察名單!$B$2:$B$533,0)),""))</f>
        <v>696.061</v>
      </c>
      <c r="F570" s="16">
        <f>IF($D570&lt;&gt;"USD","",IFERROR(INDEX(觀察名單!$Q$2:$Q$533,MATCH($C570,觀察名單!$B$2:$B$533,0)),""))</f>
        <v>-55.003</v>
      </c>
    </row>
    <row r="571">
      <c r="A571" s="15" t="inlineStr">
        <is>
          <t>AI 小群組</t>
        </is>
      </c>
      <c r="B571" s="15" t="inlineStr">
        <is>
          <t>F3 能源</t>
        </is>
      </c>
      <c r="C571" s="15" t="inlineStr">
        <is>
          <t>NNE</t>
        </is>
      </c>
      <c r="D571" s="15" t="str">
        <f>IFERROR(INDEX(觀察名單!$F$2:$F$533,MATCH($C571,觀察名單!$B$2:$B$533,0)),"")</f>
        <v>USD</v>
      </c>
      <c r="E571" s="16">
        <f>IF($D571&lt;&gt;"USD","",IFERROR(INDEX(觀察名單!$L$2:$L$533,MATCH($C571,觀察名單!$B$2:$B$533,0)),""))</f>
        <v>0.214042</v>
      </c>
      <c r="F571" s="16">
        <f>IF($D571&lt;&gt;"USD","",IFERROR(INDEX(觀察名單!$Q$2:$Q$533,MATCH($C571,觀察名單!$B$2:$B$533,0)),""))</f>
        <v>-15.418458</v>
      </c>
    </row>
    <row r="572">
      <c r="A572" s="15" t="inlineStr">
        <is>
          <t>AI 小群組</t>
        </is>
      </c>
      <c r="B572" s="15" t="inlineStr">
        <is>
          <t>G3 AI</t>
        </is>
      </c>
      <c r="C572" s="15" t="inlineStr">
        <is>
          <t>NOW</t>
        </is>
      </c>
      <c r="D572" s="15" t="str">
        <f>IFERROR(INDEX(觀察名單!$F$2:$F$533,MATCH($C572,觀察名單!$B$2:$B$533,0)),"")</f>
        <v>USD</v>
      </c>
      <c r="E572" s="16">
        <f>IF($D572&lt;&gt;"USD","",IFERROR(INDEX(觀察名單!$L$2:$L$533,MATCH($C572,觀察名單!$B$2:$B$533,0)),""))</f>
        <v>3987.0</v>
      </c>
      <c r="F572" s="16">
        <f>IF($D572&lt;&gt;"USD","",IFERROR(INDEX(觀察名單!$Q$2:$Q$533,MATCH($C572,觀察名單!$B$2:$B$533,0)),""))</f>
        <v>162.0</v>
      </c>
    </row>
    <row r="573">
      <c r="A573" s="15" t="inlineStr">
        <is>
          <t>AI 小群組</t>
        </is>
      </c>
      <c r="B573" s="15" t="inlineStr">
        <is>
          <t>F3 能源</t>
        </is>
      </c>
      <c r="C573" s="15" t="inlineStr">
        <is>
          <t>NRG</t>
        </is>
      </c>
      <c r="D573" s="15" t="str">
        <f>IFERROR(INDEX(觀察名單!$F$2:$F$533,MATCH($C573,觀察名單!$B$2:$B$533,0)),"")</f>
        <v>USD</v>
      </c>
      <c r="E573" s="16">
        <f>IF($D573&lt;&gt;"USD","",IFERROR(INDEX(觀察名單!$L$2:$L$533,MATCH($C573,觀察名單!$B$2:$B$533,0)),""))</f>
        <v>7481.0</v>
      </c>
      <c r="F573" s="16">
        <f>IF($D573&lt;&gt;"USD","",IFERROR(INDEX(觀察名單!$Q$2:$Q$533,MATCH($C573,觀察名單!$B$2:$B$533,0)),""))</f>
        <v>955.0</v>
      </c>
    </row>
    <row r="574">
      <c r="A574" s="15" t="inlineStr">
        <is>
          <t>AI 小群組</t>
        </is>
      </c>
      <c r="B574" s="15" t="inlineStr">
        <is>
          <t>C4 儲存系統</t>
        </is>
      </c>
      <c r="C574" s="15" t="inlineStr">
        <is>
          <t>NTAP</t>
        </is>
      </c>
      <c r="D574" s="15" t="str">
        <f>IFERROR(INDEX(觀察名單!$F$2:$F$533,MATCH($C574,觀察名單!$B$2:$B$533,0)),"")</f>
        <v>USD</v>
      </c>
      <c r="E574" s="16" t="str">
        <f>IF($D574&lt;&gt;"USD","",IFERROR(INDEX(觀察名單!$L$2:$L$533,MATCH($C574,觀察名單!$B$2:$B$533,0)),""))</f>
        <v/>
      </c>
      <c r="F574" s="16" t="str">
        <f>IF($D574&lt;&gt;"USD","",IFERROR(INDEX(觀察名單!$Q$2:$Q$533,MATCH($C574,觀察名單!$B$2:$B$533,0)),""))</f>
        <v/>
      </c>
    </row>
    <row r="575">
      <c r="A575" s="15" t="inlineStr">
        <is>
          <t>AI 小群組</t>
        </is>
      </c>
      <c r="B575" s="15" t="inlineStr">
        <is>
          <t>A1 GPU</t>
        </is>
      </c>
      <c r="C575" s="15" t="inlineStr">
        <is>
          <t>NVDA</t>
        </is>
      </c>
      <c r="D575" s="15" t="str">
        <f>IFERROR(INDEX(觀察名單!$F$2:$F$533,MATCH($C575,觀察名單!$B$2:$B$533,0)),"")</f>
        <v>USD</v>
      </c>
      <c r="E575" s="16">
        <f>IF($D575&lt;&gt;"USD","",IFERROR(INDEX(觀察名單!$L$2:$L$533,MATCH($C575,觀察名單!$B$2:$B$533,0)),""))</f>
        <v>96221.0</v>
      </c>
      <c r="F575" s="16">
        <f>IF($D575&lt;&gt;"USD","",IFERROR(INDEX(觀察名單!$Q$2:$Q$533,MATCH($C575,觀察名單!$B$2:$B$533,0)),""))</f>
        <v>63734.0</v>
      </c>
    </row>
    <row r="576">
      <c r="A576" s="15" t="inlineStr">
        <is>
          <t>AI 小群組</t>
        </is>
      </c>
      <c r="B576" s="15" t="inlineStr">
        <is>
          <t>F3 能源</t>
        </is>
      </c>
      <c r="C576" s="15" t="inlineStr">
        <is>
          <t>OKLO</t>
        </is>
      </c>
      <c r="D576" s="15" t="str">
        <f>IFERROR(INDEX(觀察名單!$F$2:$F$533,MATCH($C576,觀察名單!$B$2:$B$533,0)),"")</f>
        <v>USD</v>
      </c>
      <c r="E576" s="16">
        <f>IF($D576&lt;&gt;"USD","",IFERROR(INDEX(觀察名單!$L$2:$L$533,MATCH($C576,觀察名單!$B$2:$B$533,0)),""))</f>
        <v>1.21</v>
      </c>
      <c r="F576" s="16">
        <f>IF($D576&lt;&gt;"USD","",IFERROR(INDEX(觀察名單!$Q$2:$Q$533,MATCH($C576,觀察名單!$B$2:$B$533,0)),""))</f>
        <v>-73.19</v>
      </c>
    </row>
    <row r="577">
      <c r="A577" s="15" t="inlineStr">
        <is>
          <t>AI 小群組</t>
        </is>
      </c>
      <c r="B577" s="15" t="inlineStr">
        <is>
          <t>B3 先進封裝</t>
        </is>
      </c>
      <c r="C577" s="15" t="inlineStr">
        <is>
          <t>ONTO</t>
        </is>
      </c>
      <c r="D577" s="15" t="str">
        <f>IFERROR(INDEX(觀察名單!$F$2:$F$533,MATCH($C577,觀察名單!$B$2:$B$533,0)),"")</f>
        <v>USD</v>
      </c>
      <c r="E577" s="16">
        <f>IF($D577&lt;&gt;"USD","",IFERROR(INDEX(觀察名單!$L$2:$L$533,MATCH($C577,觀察名單!$B$2:$B$533,0)),""))</f>
        <v>343.129</v>
      </c>
      <c r="F577" s="16">
        <f>IF($D577&lt;&gt;"USD","",IFERROR(INDEX(觀察名單!$Q$2:$Q$533,MATCH($C577,觀察名單!$B$2:$B$533,0)),""))</f>
        <v>67.311</v>
      </c>
    </row>
    <row r="578">
      <c r="A578" s="15" t="inlineStr">
        <is>
          <t>AI 小群組</t>
        </is>
      </c>
      <c r="B578" s="15" t="inlineStr">
        <is>
          <t>G1 其他雲平台</t>
        </is>
      </c>
      <c r="C578" s="15" t="inlineStr">
        <is>
          <t>ORCL</t>
        </is>
      </c>
      <c r="D578" s="15" t="str">
        <f>IFERROR(INDEX(觀察名單!$F$2:$F$533,MATCH($C578,觀察名單!$B$2:$B$533,0)),"")</f>
        <v>USD</v>
      </c>
      <c r="E578" s="16">
        <f>IF($D578&lt;&gt;"USD","",IFERROR(INDEX(觀察名單!$L$2:$L$533,MATCH($C578,觀察名單!$B$2:$B$533,0)),""))</f>
        <v>19184.0</v>
      </c>
      <c r="F578" s="16">
        <f>IF($D578&lt;&gt;"USD","",IFERROR(INDEX(觀察名單!$Q$2:$Q$533,MATCH($C578,觀察名單!$B$2:$B$533,0)),""))</f>
        <v>6955.0</v>
      </c>
    </row>
    <row r="579">
      <c r="A579" s="15" t="inlineStr">
        <is>
          <t>AI 小群組</t>
        </is>
      </c>
      <c r="B579" s="15" t="inlineStr">
        <is>
          <t>D8 安全</t>
        </is>
      </c>
      <c r="C579" s="15" t="inlineStr">
        <is>
          <t>PANW</t>
        </is>
      </c>
      <c r="D579" s="15" t="str">
        <f>IFERROR(INDEX(觀察名單!$F$2:$F$533,MATCH($C579,觀察名單!$B$2:$B$533,0)),"")</f>
        <v>USD</v>
      </c>
      <c r="E579" s="16">
        <f>IF($D579&lt;&gt;"USD","",IFERROR(INDEX(觀察名單!$L$2:$L$533,MATCH($C579,觀察名單!$B$2:$B$533,0)),""))</f>
        <v>3002.0</v>
      </c>
      <c r="F579" s="16">
        <f>IF($D579&lt;&gt;"USD","",IFERROR(INDEX(觀察名單!$Q$2:$Q$533,MATCH($C579,觀察名單!$B$2:$B$533,0)),""))</f>
        <v>-183.0</v>
      </c>
    </row>
    <row r="580">
      <c r="A580" s="15" t="inlineStr">
        <is>
          <t>AI 小群組</t>
        </is>
      </c>
      <c r="B580" s="15" t="inlineStr">
        <is>
          <t>G3 AI</t>
        </is>
      </c>
      <c r="C580" s="15" t="inlineStr">
        <is>
          <t>PLTR</t>
        </is>
      </c>
      <c r="D580" s="15" t="str">
        <f>IFERROR(INDEX(觀察名單!$F$2:$F$533,MATCH($C580,觀察名單!$B$2:$B$533,0)),"")</f>
        <v>USD</v>
      </c>
      <c r="E580" s="16">
        <f>IF($D580&lt;&gt;"USD","",IFERROR(INDEX(觀察名單!$L$2:$L$533,MATCH($C580,觀察名單!$B$2:$B$533,0)),""))</f>
        <v>1935.464</v>
      </c>
      <c r="F580" s="16">
        <f>IF($D580&lt;&gt;"USD","",IFERROR(INDEX(觀察名單!$Q$2:$Q$533,MATCH($C580,觀察名單!$B$2:$B$533,0)),""))</f>
        <v>912.004</v>
      </c>
    </row>
    <row r="581">
      <c r="A581" s="15" t="inlineStr">
        <is>
          <t>AI 小群組</t>
        </is>
      </c>
      <c r="B581" s="15" t="inlineStr">
        <is>
          <t>D2 矽光</t>
        </is>
      </c>
      <c r="C581" s="15" t="inlineStr">
        <is>
          <t>POET</t>
        </is>
      </c>
      <c r="D581" s="15" t="str">
        <f>IFERROR(INDEX(觀察名單!$F$2:$F$533,MATCH($C581,觀察名單!$B$2:$B$533,0)),"")</f>
        <v>USD</v>
      </c>
      <c r="E581" s="16">
        <f>IF($D581&lt;&gt;"USD","",IFERROR(INDEX(觀察名單!$L$2:$L$533,MATCH($C581,觀察名單!$B$2:$B$533,0)),""))</f>
        <v>0.569925</v>
      </c>
      <c r="F581" s="16">
        <f>IF($D581&lt;&gt;"USD","",IFERROR(INDEX(觀察名單!$Q$2:$Q$533,MATCH($C581,觀察名單!$B$2:$B$533,0)),""))</f>
        <v>-14.017971</v>
      </c>
    </row>
    <row r="582">
      <c r="A582" s="15" t="inlineStr">
        <is>
          <t>AI 小群組</t>
        </is>
      </c>
      <c r="B582" s="15" t="inlineStr">
        <is>
          <t>F1 電源</t>
        </is>
      </c>
      <c r="C582" s="15" t="inlineStr">
        <is>
          <t>PWR</t>
        </is>
      </c>
      <c r="D582" s="15" t="str">
        <f>IFERROR(INDEX(觀察名單!$F$2:$F$533,MATCH($C582,觀察名單!$B$2:$B$533,0)),"")</f>
        <v>USD</v>
      </c>
      <c r="E582" s="16">
        <f>IF($D582&lt;&gt;"USD","",IFERROR(INDEX(觀察名單!$L$2:$L$533,MATCH($C582,觀察名單!$B$2:$B$533,0)),""))</f>
        <v>9556.997</v>
      </c>
      <c r="F582" s="16">
        <f>IF($D582&lt;&gt;"USD","",IFERROR(INDEX(觀察名單!$Q$2:$Q$533,MATCH($C582,觀察名單!$B$2:$B$533,0)),""))</f>
        <v>689.731</v>
      </c>
    </row>
    <row r="583">
      <c r="A583" s="15" t="inlineStr">
        <is>
          <t>AI 小群組</t>
        </is>
      </c>
      <c r="B583" s="15" t="inlineStr">
        <is>
          <t>A4 運算</t>
        </is>
      </c>
      <c r="C583" s="15" t="inlineStr">
        <is>
          <t>QCOM</t>
        </is>
      </c>
      <c r="D583" s="15" t="str">
        <f>IFERROR(INDEX(觀察名單!$F$2:$F$533,MATCH($C583,觀察名單!$B$2:$B$533,0)),"")</f>
        <v>USD</v>
      </c>
      <c r="E583" s="16">
        <f>IF($D583&lt;&gt;"USD","",IFERROR(INDEX(觀察名單!$L$2:$L$533,MATCH($C583,觀察名單!$B$2:$B$533,0)),""))</f>
        <v>9947.0</v>
      </c>
      <c r="F583" s="16">
        <f>IF($D583&lt;&gt;"USD","",IFERROR(INDEX(觀察名單!$Q$2:$Q$533,MATCH($C583,觀察名單!$B$2:$B$533,0)),""))</f>
        <v>1626.0</v>
      </c>
    </row>
    <row r="584">
      <c r="A584" s="15" t="inlineStr">
        <is>
          <t>AI 小群組</t>
        </is>
      </c>
      <c r="B584" s="15" t="inlineStr">
        <is>
          <t>C3 記憶體介面/控制晶片</t>
        </is>
      </c>
      <c r="C584" s="15" t="inlineStr">
        <is>
          <t>RMBS</t>
        </is>
      </c>
      <c r="D584" s="15" t="str">
        <f>IFERROR(INDEX(觀察名單!$F$2:$F$533,MATCH($C584,觀察名單!$B$2:$B$533,0)),"")</f>
        <v>USD</v>
      </c>
      <c r="E584" s="16">
        <f>IF($D584&lt;&gt;"USD","",IFERROR(INDEX(觀察名單!$L$2:$L$533,MATCH($C584,觀察名單!$B$2:$B$533,0)),""))</f>
        <v>207.385</v>
      </c>
      <c r="F584" s="16">
        <f>IF($D584&lt;&gt;"USD","",IFERROR(INDEX(觀察名單!$Q$2:$Q$533,MATCH($C584,觀察名單!$B$2:$B$533,0)),""))</f>
        <v>76.013</v>
      </c>
    </row>
    <row r="585">
      <c r="A585" s="15" t="inlineStr">
        <is>
          <t>AI 小群組</t>
        </is>
      </c>
      <c r="B585" s="15" t="inlineStr">
        <is>
          <t>G5 IT</t>
        </is>
      </c>
      <c r="C585" s="15" t="inlineStr">
        <is>
          <t>RXT</t>
        </is>
      </c>
      <c r="D585" s="15" t="str">
        <f>IFERROR(INDEX(觀察名單!$F$2:$F$533,MATCH($C585,觀察名單!$B$2:$B$533,0)),"")</f>
        <v>USD</v>
      </c>
      <c r="E585" s="16">
        <f>IF($D585&lt;&gt;"USD","",IFERROR(INDEX(觀察名單!$L$2:$L$533,MATCH($C585,觀察名單!$B$2:$B$533,0)),""))</f>
        <v>670.1</v>
      </c>
      <c r="F585" s="16">
        <f>IF($D585&lt;&gt;"USD","",IFERROR(INDEX(觀察名單!$Q$2:$Q$533,MATCH($C585,觀察名單!$B$2:$B$533,0)),""))</f>
        <v>-33.2</v>
      </c>
    </row>
    <row r="586">
      <c r="A586" s="15" t="inlineStr">
        <is>
          <t>AI 小群組</t>
        </is>
      </c>
      <c r="B586" s="15" t="inlineStr">
        <is>
          <t>F1 電源</t>
        </is>
      </c>
      <c r="C586" s="15" t="inlineStr">
        <is>
          <t>SBGSY</t>
        </is>
      </c>
      <c r="D586" s="15" t="str">
        <f>IFERROR(INDEX(觀察名單!$F$2:$F$533,MATCH($C586,觀察名單!$B$2:$B$533,0)),"")</f>
        <v>EUR</v>
      </c>
      <c r="E586" s="16" t="str">
        <f>IF($D586&lt;&gt;"USD","",IFERROR(INDEX(觀察名單!$L$2:$L$533,MATCH($C586,觀察名單!$B$2:$B$533,0)),""))</f>
        <v/>
      </c>
      <c r="F586" s="16" t="str">
        <f>IF($D586&lt;&gt;"USD","",IFERROR(INDEX(觀察名單!$Q$2:$Q$533,MATCH($C586,觀察名單!$B$2:$B$533,0)),""))</f>
        <v/>
      </c>
    </row>
    <row r="587">
      <c r="A587" s="15" t="inlineStr">
        <is>
          <t>AI 小群組</t>
        </is>
      </c>
      <c r="B587" s="15" t="inlineStr">
        <is>
          <t>C3 記憶體介面/控制晶片</t>
        </is>
      </c>
      <c r="C587" s="15" t="inlineStr">
        <is>
          <t>SIMO</t>
        </is>
      </c>
      <c r="D587" s="15" t="str">
        <f>IFERROR(INDEX(觀察名單!$F$2:$F$533,MATCH($C587,觀察名單!$B$2:$B$533,0)),"")</f>
        <v>USD</v>
      </c>
      <c r="E587" s="16">
        <f>IF($D587&lt;&gt;"USD","",IFERROR(INDEX(觀察名單!$L$2:$L$533,MATCH($C587,觀察名單!$B$2:$B$533,0)),""))</f>
        <v>451.001</v>
      </c>
      <c r="F587" s="16">
        <f>IF($D587&lt;&gt;"USD","",IFERROR(INDEX(觀察名單!$Q$2:$Q$533,MATCH($C587,觀察名單!$B$2:$B$533,0)),""))</f>
        <v>101.114</v>
      </c>
    </row>
    <row r="588">
      <c r="A588" s="15" t="inlineStr">
        <is>
          <t>AI 小群組</t>
        </is>
      </c>
      <c r="B588" s="15" t="inlineStr">
        <is>
          <t>E1 Server</t>
        </is>
      </c>
      <c r="C588" s="15" t="inlineStr">
        <is>
          <t>SMCI</t>
        </is>
      </c>
      <c r="D588" s="15" t="str">
        <f>IFERROR(INDEX(觀察名單!$F$2:$F$533,MATCH($C588,觀察名單!$B$2:$B$533,0)),"")</f>
        <v>USD</v>
      </c>
      <c r="E588" s="16">
        <f>IF($D588&lt;&gt;"USD","",IFERROR(INDEX(觀察名單!$L$2:$L$533,MATCH($C588,觀察名單!$B$2:$B$533,0)),""))</f>
        <v>11119.777</v>
      </c>
      <c r="F588" s="16">
        <f>IF($D588&lt;&gt;"USD","",IFERROR(INDEX(觀察名單!$Q$2:$Q$533,MATCH($C588,觀察名單!$B$2:$B$533,0)),""))</f>
        <v>1488.064</v>
      </c>
    </row>
    <row r="589">
      <c r="A589" s="15" t="inlineStr">
        <is>
          <t>AI 小群組</t>
        </is>
      </c>
      <c r="B589" s="15" t="inlineStr">
        <is>
          <t>F3 能源</t>
        </is>
      </c>
      <c r="C589" s="15" t="inlineStr">
        <is>
          <t>SMR</t>
        </is>
      </c>
      <c r="D589" s="15" t="str">
        <f>IFERROR(INDEX(觀察名單!$F$2:$F$533,MATCH($C589,觀察名單!$B$2:$B$533,0)),"")</f>
        <v>USD</v>
      </c>
      <c r="E589" s="16">
        <f>IF($D589&lt;&gt;"USD","",IFERROR(INDEX(觀察名單!$L$2:$L$533,MATCH($C589,觀察名單!$B$2:$B$533,0)),""))</f>
        <v>0.075</v>
      </c>
      <c r="F589" s="16">
        <f>IF($D589&lt;&gt;"USD","",IFERROR(INDEX(觀察名單!$Q$2:$Q$533,MATCH($C589,觀察名單!$B$2:$B$533,0)),""))</f>
        <v>-64.003</v>
      </c>
    </row>
    <row r="590">
      <c r="A590" s="15" t="inlineStr">
        <is>
          <t>AI 小群組</t>
        </is>
      </c>
      <c r="B590" s="15" t="inlineStr">
        <is>
          <t>D3 高速互連</t>
        </is>
      </c>
      <c r="C590" s="15" t="inlineStr">
        <is>
          <t>SMTC</t>
        </is>
      </c>
      <c r="D590" s="15" t="str">
        <f>IFERROR(INDEX(觀察名單!$F$2:$F$533,MATCH($C590,觀察名單!$B$2:$B$533,0)),"")</f>
        <v>USD</v>
      </c>
      <c r="E590" s="16">
        <f>IF($D590&lt;&gt;"USD","",IFERROR(INDEX(觀察名單!$L$2:$L$533,MATCH($C590,觀察名單!$B$2:$B$533,0)),""))</f>
        <v>341.871</v>
      </c>
      <c r="F590" s="16">
        <f>IF($D590&lt;&gt;"USD","",IFERROR(INDEX(觀察名單!$Q$2:$Q$533,MATCH($C590,觀察名單!$B$2:$B$533,0)),""))</f>
        <v>55.46</v>
      </c>
    </row>
    <row r="591">
      <c r="A591" s="15" t="inlineStr">
        <is>
          <t>AI 小群組</t>
        </is>
      </c>
      <c r="B591" s="15" t="inlineStr">
        <is>
          <t>C2 NAND</t>
        </is>
      </c>
      <c r="C591" s="15" t="inlineStr">
        <is>
          <t>SNDK</t>
        </is>
      </c>
      <c r="D591" s="15" t="str">
        <f>IFERROR(INDEX(觀察名單!$F$2:$F$533,MATCH($C591,觀察名單!$B$2:$B$533,0)),"")</f>
        <v>USD</v>
      </c>
      <c r="E591" s="16">
        <f>IF($D591&lt;&gt;"USD","",IFERROR(INDEX(觀察名單!$L$2:$L$533,MATCH($C591,觀察名單!$B$2:$B$533,0)),""))</f>
        <v>8965.0</v>
      </c>
      <c r="F591" s="16">
        <f>IF($D591&lt;&gt;"USD","",IFERROR(INDEX(觀察名單!$Q$2:$Q$533,MATCH($C591,觀察名單!$B$2:$B$533,0)),""))</f>
        <v>7037.0</v>
      </c>
    </row>
    <row r="592">
      <c r="A592" s="15" t="inlineStr">
        <is>
          <t>AI 小群組</t>
        </is>
      </c>
      <c r="B592" s="15" t="inlineStr">
        <is>
          <t>G3 AI</t>
        </is>
      </c>
      <c r="C592" s="15" t="inlineStr">
        <is>
          <t>SNOW</t>
        </is>
      </c>
      <c r="D592" s="15" t="str">
        <f>IFERROR(INDEX(觀察名單!$F$2:$F$533,MATCH($C592,觀察名單!$B$2:$B$533,0)),"")</f>
        <v>USD</v>
      </c>
      <c r="E592" s="16" t="str">
        <f>IF($D592&lt;&gt;"USD","",IFERROR(INDEX(觀察名單!$L$2:$L$533,MATCH($C592,觀察名單!$B$2:$B$533,0)),""))</f>
        <v/>
      </c>
      <c r="F592" s="16" t="str">
        <f>IF($D592&lt;&gt;"USD","",IFERROR(INDEX(觀察名單!$Q$2:$Q$533,MATCH($C592,觀察名單!$B$2:$B$533,0)),""))</f>
        <v/>
      </c>
    </row>
    <row r="593">
      <c r="A593" s="15" t="inlineStr">
        <is>
          <t>AI 小群組</t>
        </is>
      </c>
      <c r="B593" s="15" t="inlineStr">
        <is>
          <t>B5 EDA</t>
        </is>
      </c>
      <c r="C593" s="15" t="inlineStr">
        <is>
          <t>SNPS</t>
        </is>
      </c>
      <c r="D593" s="15" t="str">
        <f>IFERROR(INDEX(觀察名單!$F$2:$F$533,MATCH($C593,觀察名單!$B$2:$B$533,0)),"")</f>
        <v>USD</v>
      </c>
      <c r="E593" s="16">
        <f>IF($D593&lt;&gt;"USD","",IFERROR(INDEX(觀察名單!$L$2:$L$533,MATCH($C593,觀察名單!$B$2:$B$533,0)),""))</f>
        <v>2476.822</v>
      </c>
      <c r="F593" s="16">
        <f>IF($D593&lt;&gt;"USD","",IFERROR(INDEX(觀察名單!$Q$2:$Q$533,MATCH($C593,觀察名單!$B$2:$B$533,0)),""))</f>
        <v>359.655</v>
      </c>
    </row>
    <row r="594">
      <c r="A594" s="15" t="inlineStr">
        <is>
          <t>AI 小群組</t>
        </is>
      </c>
      <c r="B594" s="15" t="inlineStr">
        <is>
          <t>G3 AI</t>
        </is>
      </c>
      <c r="C594" s="15" t="inlineStr">
        <is>
          <t>SOUN</t>
        </is>
      </c>
      <c r="D594" s="15" t="str">
        <f>IFERROR(INDEX(觀察名單!$F$2:$F$533,MATCH($C594,觀察名單!$B$2:$B$533,0)),"")</f>
        <v>USD</v>
      </c>
      <c r="E594" s="16">
        <f>IF($D594&lt;&gt;"USD","",IFERROR(INDEX(觀察名單!$L$2:$L$533,MATCH($C594,觀察名單!$B$2:$B$533,0)),""))</f>
        <v>61.897</v>
      </c>
      <c r="F594" s="16">
        <f>IF($D594&lt;&gt;"USD","",IFERROR(INDEX(觀察名單!$Q$2:$Q$533,MATCH($C594,觀察名單!$B$2:$B$533,0)),""))</f>
        <v>-46.995</v>
      </c>
    </row>
    <row r="595">
      <c r="A595" s="15" t="inlineStr">
        <is>
          <t>AI 小群組</t>
        </is>
      </c>
      <c r="B595" s="15" t="inlineStr">
        <is>
          <t>C2 NAND</t>
        </is>
      </c>
      <c r="C595" s="15" t="inlineStr">
        <is>
          <t>STX</t>
        </is>
      </c>
      <c r="D595" s="15" t="str">
        <f>IFERROR(INDEX(觀察名單!$F$2:$F$533,MATCH($C595,觀察名單!$B$2:$B$533,0)),"")</f>
        <v>USD</v>
      </c>
      <c r="E595" s="16">
        <f>IF($D595&lt;&gt;"USD","",IFERROR(INDEX(觀察名單!$L$2:$L$533,MATCH($C595,觀察名單!$B$2:$B$533,0)),""))</f>
        <v>3629.0</v>
      </c>
      <c r="F595" s="16">
        <f>IF($D595&lt;&gt;"USD","",IFERROR(INDEX(觀察名單!$Q$2:$Q$533,MATCH($C595,觀察名單!$B$2:$B$533,0)),""))</f>
        <v>1563.0</v>
      </c>
    </row>
    <row r="596">
      <c r="A596" s="15" t="inlineStr">
        <is>
          <t>AI 小群組</t>
        </is>
      </c>
      <c r="B596" s="15" t="inlineStr">
        <is>
          <t>G4 機器人</t>
        </is>
      </c>
      <c r="C596" s="15" t="inlineStr">
        <is>
          <t>SYM</t>
        </is>
      </c>
      <c r="D596" s="15" t="str">
        <f>IFERROR(INDEX(觀察名單!$F$2:$F$533,MATCH($C596,觀察名單!$B$2:$B$533,0)),"")</f>
        <v>USD</v>
      </c>
      <c r="E596" s="16">
        <f>IF($D596&lt;&gt;"USD","",IFERROR(INDEX(觀察名單!$L$2:$L$533,MATCH($C596,觀察名單!$B$2:$B$533,0)),""))</f>
        <v>720.838</v>
      </c>
      <c r="F596" s="16">
        <f>IF($D596&lt;&gt;"USD","",IFERROR(INDEX(觀察名單!$Q$2:$Q$533,MATCH($C596,觀察名單!$B$2:$B$533,0)),""))</f>
        <v>32.895</v>
      </c>
    </row>
    <row r="597">
      <c r="A597" s="15" t="inlineStr">
        <is>
          <t>AI 小群組</t>
        </is>
      </c>
      <c r="B597" s="15" t="inlineStr">
        <is>
          <t>AA3 中國雲</t>
        </is>
      </c>
      <c r="C597" s="15" t="inlineStr">
        <is>
          <t>TCEHY</t>
        </is>
      </c>
      <c r="D597" s="15" t="str">
        <f>IFERROR(INDEX(觀察名單!$F$2:$F$533,MATCH($C597,觀察名單!$B$2:$B$533,0)),"")</f>
        <v>CNY</v>
      </c>
      <c r="E597" s="16" t="str">
        <f>IF($D597&lt;&gt;"USD","",IFERROR(INDEX(觀察名單!$L$2:$L$533,MATCH($C597,觀察名單!$B$2:$B$533,0)),""))</f>
        <v/>
      </c>
      <c r="F597" s="16" t="str">
        <f>IF($D597&lt;&gt;"USD","",IFERROR(INDEX(觀察名單!$Q$2:$Q$533,MATCH($C597,觀察名單!$B$2:$B$533,0)),""))</f>
        <v/>
      </c>
    </row>
    <row r="598">
      <c r="A598" s="15" t="inlineStr">
        <is>
          <t>AI 小群組</t>
        </is>
      </c>
      <c r="B598" s="15" t="inlineStr">
        <is>
          <t>D5 連接器</t>
        </is>
      </c>
      <c r="C598" s="15" t="inlineStr">
        <is>
          <t>TEL</t>
        </is>
      </c>
      <c r="D598" s="15" t="str">
        <f>IFERROR(INDEX(觀察名單!$F$2:$F$533,MATCH($C598,觀察名單!$B$2:$B$533,0)),"")</f>
        <v>USD</v>
      </c>
      <c r="E598" s="16">
        <f>IF($D598&lt;&gt;"USD","",IFERROR(INDEX(觀察名單!$L$2:$L$533,MATCH($C598,觀察名單!$B$2:$B$533,0)),""))</f>
        <v>5160.0</v>
      </c>
      <c r="F598" s="16">
        <f>IF($D598&lt;&gt;"USD","",IFERROR(INDEX(觀察名單!$Q$2:$Q$533,MATCH($C598,觀察名單!$B$2:$B$533,0)),""))</f>
        <v>1073.0</v>
      </c>
    </row>
    <row r="599">
      <c r="A599" s="15" t="inlineStr">
        <is>
          <t>AI 小群組</t>
        </is>
      </c>
      <c r="B599" s="15" t="inlineStr">
        <is>
          <t>B3 先進封裝</t>
        </is>
      </c>
      <c r="C599" s="15" t="inlineStr">
        <is>
          <t>TER</t>
        </is>
      </c>
      <c r="D599" s="15" t="str">
        <f>IFERROR(INDEX(觀察名單!$F$2:$F$533,MATCH($C599,觀察名單!$B$2:$B$533,0)),"")</f>
        <v>USD</v>
      </c>
      <c r="E599" s="16">
        <f>IF($D599&lt;&gt;"USD","",IFERROR(INDEX(觀察名單!$L$2:$L$533,MATCH($C599,觀察名單!$B$2:$B$533,0)),""))</f>
        <v>1328.99</v>
      </c>
      <c r="F599" s="16">
        <f>IF($D599&lt;&gt;"USD","",IFERROR(INDEX(觀察名單!$Q$2:$Q$533,MATCH($C599,觀察名單!$B$2:$B$533,0)),""))</f>
        <v>440.842</v>
      </c>
    </row>
    <row r="600">
      <c r="A600" s="15" t="inlineStr">
        <is>
          <t>AI 小群組</t>
        </is>
      </c>
      <c r="B600" s="15" t="inlineStr">
        <is>
          <t>F3 能源</t>
        </is>
      </c>
      <c r="C600" s="15" t="inlineStr">
        <is>
          <t>TLN</t>
        </is>
      </c>
      <c r="D600" s="15" t="str">
        <f>IFERROR(INDEX(觀察名單!$F$2:$F$533,MATCH($C600,觀察名單!$B$2:$B$533,0)),"")</f>
        <v>USD</v>
      </c>
      <c r="E600" s="16">
        <f>IF($D600&lt;&gt;"USD","",IFERROR(INDEX(觀察名單!$L$2:$L$533,MATCH($C600,觀察名單!$B$2:$B$533,0)),""))</f>
        <v>959.0</v>
      </c>
      <c r="F600" s="16">
        <f>IF($D600&lt;&gt;"USD","",IFERROR(INDEX(觀察名單!$Q$2:$Q$533,MATCH($C600,觀察名單!$B$2:$B$533,0)),""))</f>
        <v>139.0</v>
      </c>
    </row>
    <row r="601">
      <c r="A601" s="15" t="inlineStr">
        <is>
          <t>AI 小群組</t>
        </is>
      </c>
      <c r="B601" s="15" t="inlineStr">
        <is>
          <t>D2 矽光</t>
        </is>
      </c>
      <c r="C601" s="15" t="inlineStr">
        <is>
          <t>TSEM</t>
        </is>
      </c>
      <c r="D601" s="15" t="str">
        <f>IFERROR(INDEX(觀察名單!$F$2:$F$533,MATCH($C601,觀察名單!$B$2:$B$533,0)),"")</f>
        <v>USD</v>
      </c>
      <c r="E601" s="16">
        <f>IF($D601&lt;&gt;"USD","",IFERROR(INDEX(觀察名單!$L$2:$L$533,MATCH($C601,觀察名單!$B$2:$B$533,0)),""))</f>
        <v>460.079</v>
      </c>
      <c r="F601" s="16">
        <f>IF($D601&lt;&gt;"USD","",IFERROR(INDEX(觀察名單!$Q$2:$Q$533,MATCH($C601,觀察名單!$B$2:$B$533,0)),""))</f>
        <v>90.29</v>
      </c>
    </row>
    <row r="602">
      <c r="A602" s="15" t="inlineStr">
        <is>
          <t>AI 小群組</t>
        </is>
      </c>
      <c r="B602" s="15" t="inlineStr">
        <is>
          <t>G4 機器人</t>
        </is>
      </c>
      <c r="C602" s="15" t="inlineStr">
        <is>
          <t>TSLA</t>
        </is>
      </c>
      <c r="D602" s="15" t="str">
        <f>IFERROR(INDEX(觀察名單!$F$2:$F$533,MATCH($C602,觀察名單!$B$2:$B$533,0)),"")</f>
        <v>USD</v>
      </c>
      <c r="E602" s="16">
        <f>IF($D602&lt;&gt;"USD","",IFERROR(INDEX(觀察名單!$L$2:$L$533,MATCH($C602,觀察名單!$B$2:$B$533,0)),""))</f>
        <v>28236.0</v>
      </c>
      <c r="F602" s="16">
        <f>IF($D602&lt;&gt;"USD","",IFERROR(INDEX(觀察名單!$Q$2:$Q$533,MATCH($C602,觀察名單!$B$2:$B$533,0)),""))</f>
        <v>398.0</v>
      </c>
    </row>
    <row r="603">
      <c r="A603" s="15" t="inlineStr">
        <is>
          <t>AI 小群組</t>
        </is>
      </c>
      <c r="B603" s="15" t="inlineStr">
        <is>
          <t>B1 Foundry</t>
        </is>
      </c>
      <c r="C603" s="15" t="inlineStr">
        <is>
          <t>TSM</t>
        </is>
      </c>
      <c r="D603" s="15" t="str">
        <f>IFERROR(INDEX(觀察名單!$F$2:$F$533,MATCH($C603,觀察名單!$B$2:$B$533,0)),"")</f>
        <v>TWD</v>
      </c>
      <c r="E603" s="16" t="str">
        <f>IF($D603&lt;&gt;"USD","",IFERROR(INDEX(觀察名單!$L$2:$L$533,MATCH($C603,觀察名單!$B$2:$B$533,0)),""))</f>
        <v/>
      </c>
      <c r="F603" s="16" t="str">
        <f>IF($D603&lt;&gt;"USD","",IFERROR(INDEX(觀察名單!$Q$2:$Q$533,MATCH($C603,觀察名單!$B$2:$B$533,0)),""))</f>
        <v/>
      </c>
    </row>
    <row r="604">
      <c r="A604" s="15" t="inlineStr">
        <is>
          <t>AI 小群組</t>
        </is>
      </c>
      <c r="B604" s="15" t="inlineStr">
        <is>
          <t>F2 散熱液冷</t>
        </is>
      </c>
      <c r="C604" s="15" t="inlineStr">
        <is>
          <t>TT</t>
        </is>
      </c>
      <c r="D604" s="15" t="str">
        <f>IFERROR(INDEX(觀察名單!$F$2:$F$533,MATCH($C604,觀察名單!$B$2:$B$533,0)),"")</f>
        <v>USD</v>
      </c>
      <c r="E604" s="16">
        <f>IF($D604&lt;&gt;"USD","",IFERROR(INDEX(觀察名單!$L$2:$L$533,MATCH($C604,觀察名單!$B$2:$B$533,0)),""))</f>
        <v>6353.5</v>
      </c>
      <c r="F604" s="16">
        <f>IF($D604&lt;&gt;"USD","",IFERROR(INDEX(觀察名單!$Q$2:$Q$533,MATCH($C604,觀察名單!$B$2:$B$533,0)),""))</f>
        <v>1224.3</v>
      </c>
    </row>
    <row r="605">
      <c r="A605" s="15" t="inlineStr">
        <is>
          <t>AI 小群組</t>
        </is>
      </c>
      <c r="B605" s="15" t="inlineStr">
        <is>
          <t>G3 AI</t>
        </is>
      </c>
      <c r="C605" s="15" t="inlineStr">
        <is>
          <t>UPST</t>
        </is>
      </c>
      <c r="D605" s="15" t="str">
        <f>IFERROR(INDEX(觀察名單!$F$2:$F$533,MATCH($C605,觀察名單!$B$2:$B$533,0)),"")</f>
        <v>USD</v>
      </c>
      <c r="E605" s="16">
        <f>IF($D605&lt;&gt;"USD","",IFERROR(INDEX(觀察名單!$L$2:$L$533,MATCH($C605,觀察名單!$B$2:$B$533,0)),""))</f>
        <v>364.708</v>
      </c>
      <c r="F605" s="16" t="str">
        <f>IF($D605&lt;&gt;"USD","",IFERROR(INDEX(觀察名單!$Q$2:$Q$533,MATCH($C605,觀察名單!$B$2:$B$533,0)),""))</f>
        <v/>
      </c>
    </row>
    <row r="606">
      <c r="A606" s="15" t="inlineStr">
        <is>
          <t>AI 小群組</t>
        </is>
      </c>
      <c r="B606" s="15" t="inlineStr">
        <is>
          <t>B4 光模塊/化合物半導體設備</t>
        </is>
      </c>
      <c r="C606" s="15" t="inlineStr">
        <is>
          <t>VECO</t>
        </is>
      </c>
      <c r="D606" s="15" t="str">
        <f>IFERROR(INDEX(觀察名單!$F$2:$F$533,MATCH($C606,觀察名單!$B$2:$B$533,0)),"")</f>
        <v>USD</v>
      </c>
      <c r="E606" s="16">
        <f>IF($D606&lt;&gt;"USD","",IFERROR(INDEX(觀察名單!$L$2:$L$533,MATCH($C606,觀察名單!$B$2:$B$533,0)),""))</f>
        <v>158.341</v>
      </c>
      <c r="F606" s="16">
        <f>IF($D606&lt;&gt;"USD","",IFERROR(INDEX(觀察名單!$Q$2:$Q$533,MATCH($C606,觀察名單!$B$2:$B$533,0)),""))</f>
        <v>-0.646</v>
      </c>
    </row>
    <row r="607">
      <c r="A607" s="15" t="inlineStr">
        <is>
          <t>AI 小群組</t>
        </is>
      </c>
      <c r="B607" s="15" t="inlineStr">
        <is>
          <t>D9 光模塊上游</t>
        </is>
      </c>
      <c r="C607" s="15" t="inlineStr">
        <is>
          <t>VIAV</t>
        </is>
      </c>
      <c r="D607" s="15" t="str">
        <f>IFERROR(INDEX(觀察名單!$F$2:$F$533,MATCH($C607,觀察名單!$B$2:$B$533,0)),"")</f>
        <v>USD</v>
      </c>
      <c r="E607" s="16">
        <f>IF($D607&lt;&gt;"USD","",IFERROR(INDEX(觀察名單!$L$2:$L$533,MATCH($C607,觀察名單!$B$2:$B$533,0)),""))</f>
        <v>443.1</v>
      </c>
      <c r="F607" s="16">
        <f>IF($D607&lt;&gt;"USD","",IFERROR(INDEX(觀察名單!$Q$2:$Q$533,MATCH($C607,觀察名單!$B$2:$B$533,0)),""))</f>
        <v>60.3</v>
      </c>
    </row>
    <row r="608">
      <c r="A608" s="15" t="inlineStr">
        <is>
          <t>AI 小群組</t>
        </is>
      </c>
      <c r="B608" s="15" t="inlineStr">
        <is>
          <t>F1 電源</t>
        </is>
      </c>
      <c r="C608" s="15" t="inlineStr">
        <is>
          <t>VRT</t>
        </is>
      </c>
      <c r="D608" s="15" t="str">
        <f>IFERROR(INDEX(觀察名單!$F$2:$F$533,MATCH($C608,觀察名單!$B$2:$B$533,0)),"")</f>
        <v>USD</v>
      </c>
      <c r="E608" s="16">
        <f>IF($D608&lt;&gt;"USD","",IFERROR(INDEX(觀察名單!$L$2:$L$533,MATCH($C608,觀察名單!$B$2:$B$533,0)),""))</f>
        <v>3274.3</v>
      </c>
      <c r="F608" s="16">
        <f>IF($D608&lt;&gt;"USD","",IFERROR(INDEX(觀察名單!$Q$2:$Q$533,MATCH($C608,觀察名單!$B$2:$B$533,0)),""))</f>
        <v>637.9</v>
      </c>
    </row>
    <row r="609">
      <c r="A609" s="15" t="inlineStr">
        <is>
          <t>AI 小群組</t>
        </is>
      </c>
      <c r="B609" s="15" t="inlineStr">
        <is>
          <t>F3 能源</t>
        </is>
      </c>
      <c r="C609" s="15" t="inlineStr">
        <is>
          <t>VST</t>
        </is>
      </c>
      <c r="D609" s="15" t="str">
        <f>IFERROR(INDEX(觀察名單!$F$2:$F$533,MATCH($C609,觀察名單!$B$2:$B$533,0)),"")</f>
        <v>USD</v>
      </c>
      <c r="E609" s="16">
        <f>IF($D609&lt;&gt;"USD","",IFERROR(INDEX(觀察名單!$L$2:$L$533,MATCH($C609,觀察名單!$B$2:$B$533,0)),""))</f>
        <v>4017.0</v>
      </c>
      <c r="F609" s="16">
        <f>IF($D609&lt;&gt;"USD","",IFERROR(INDEX(觀察名單!$Q$2:$Q$533,MATCH($C609,觀察名單!$B$2:$B$533,0)),""))</f>
        <v>553.0</v>
      </c>
    </row>
    <row r="610">
      <c r="A610" s="15" t="inlineStr">
        <is>
          <t>AI 小群組</t>
        </is>
      </c>
      <c r="B610" s="15" t="inlineStr">
        <is>
          <t>C2 NAND</t>
        </is>
      </c>
      <c r="C610" s="15" t="inlineStr">
        <is>
          <t>WDC</t>
        </is>
      </c>
      <c r="D610" s="15" t="str">
        <f>IFERROR(INDEX(觀察名單!$F$2:$F$533,MATCH($C610,觀察名單!$B$2:$B$533,0)),"")</f>
        <v>USD</v>
      </c>
      <c r="E610" s="16">
        <f>IF($D610&lt;&gt;"USD","",IFERROR(INDEX(觀察名單!$L$2:$L$533,MATCH($C610,觀察名單!$B$2:$B$533,0)),""))</f>
        <v>3747.0</v>
      </c>
      <c r="F610" s="16">
        <f>IF($D610&lt;&gt;"USD","",IFERROR(INDEX(觀察名單!$Q$2:$Q$533,MATCH($C610,觀察名單!$B$2:$B$533,0)),""))</f>
        <v>1606.0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30" customWidth="1" min="2" max="2"/>
    <col width="9" customWidth="1" min="3" max="3"/>
    <col width="16" customWidth="1" min="4" max="4"/>
    <col width="18" customWidth="1" min="5" max="5"/>
    <col width="15" customWidth="1" min="6" max="6"/>
    <col width="15" customWidth="1" min="7" max="7"/>
    <col width="14" customWidth="1" min="8" max="8"/>
    <col width="16" customWidth="1" min="9" max="9"/>
    <col width="60" customWidth="1" min="10" max="10"/>
  </cols>
  <sheetData>
    <row r="1" ht="40" customHeight="1">
      <c r="A1" s="5" t="inlineStr">
        <is>
          <t>#</t>
        </is>
      </c>
      <c r="B1" s="5" t="inlineStr">
        <is>
          <t>群組</t>
        </is>
      </c>
      <c r="C1" s="5" t="inlineStr">
        <is>
          <t>成分股數</t>
        </is>
      </c>
      <c r="D1" s="5" t="inlineStr">
        <is>
          <t>營收 Q0 合計
(百萬美元)</t>
        </is>
      </c>
      <c r="E1" s="5" t="inlineStr">
        <is>
          <t>營業利益 Q0 合計
(百萬美元)</t>
        </is>
      </c>
      <c r="F1" s="5" t="inlineStr">
        <is>
          <t>合計營業利益率 %</t>
        </is>
      </c>
      <c r="G1" s="5" t="inlineStr">
        <is>
          <t>盈利成分股數
(營業利益 &gt; 0)</t>
        </is>
      </c>
      <c r="H1" s="5" t="inlineStr">
        <is>
          <t>非美元呈報
(不計入合計)</t>
        </is>
      </c>
      <c r="I1" s="5" t="inlineStr">
        <is>
          <t>R4.00 5日資金流向 z</t>
        </is>
      </c>
      <c r="J1" s="5" t="inlineStr">
        <is>
          <t>成分股</t>
        </is>
      </c>
    </row>
    <row r="2">
      <c r="A2" s="17" t="n">
        <v>1</v>
      </c>
      <c r="B2" s="18" t="inlineStr">
        <is>
          <t>IPP與電力交易商</t>
        </is>
      </c>
      <c r="C2" s="17" t="n">
        <v>4</v>
      </c>
      <c r="D2" s="19">
        <f>SUMIFS(明細對照!$E$2:$E$610,明細對照!$A$2:$A$610,"子板塊",明細對照!$B$2:$B$610,$B2)</f>
        <v>19961.0</v>
      </c>
      <c r="E2" s="20">
        <f>SUMIFS(明細對照!$F$2:$F$610,明細對照!$A$2:$A$610,"子板塊",明細對照!$B$2:$B$610,$B2)</f>
        <v>1600.0</v>
      </c>
      <c r="F2" s="21">
        <f>IF(N(D2)=0,"",E2/D2)</f>
        <v>0.08015630479434899</v>
      </c>
      <c r="G2" s="17">
        <f>COUNTIFS(明細對照!$A$2:$A$610,"子板塊",明細對照!$B$2:$B$610,$B2,明細對照!$F$2:$F$610,"&gt;0")</f>
        <v>3.0</v>
      </c>
      <c r="H2" s="17">
        <f>COUNTIFS(明細對照!$A$2:$A$610,"子板塊",明細對照!$B$2:$B$610,$B2)-COUNTIFS(明細對照!$A$2:$A$610,"子板塊",明細對照!$B$2:$B$610,$B2,明細對照!$D$2:$D$610,"USD")</f>
        <v>0.0</v>
      </c>
      <c r="I2" s="22" t="n">
        <v>1.09</v>
      </c>
      <c r="J2" s="23" t="inlineStr">
        <is>
          <t>CEG、VST、NRG、TLN</t>
        </is>
      </c>
    </row>
    <row r="3">
      <c r="A3" s="17" t="n">
        <v>2</v>
      </c>
      <c r="B3" s="18" t="inlineStr">
        <is>
          <t>記憶體/HBM</t>
        </is>
      </c>
      <c r="C3" s="17" t="n">
        <v>4</v>
      </c>
      <c r="D3" s="19">
        <f>SUMIFS(明細對照!$E$2:$E$610,明細對照!$A$2:$A$610,"子板塊",明細對照!$B$2:$B$610,$B3)</f>
        <v>57797.0</v>
      </c>
      <c r="E3" s="20">
        <f>SUMIFS(明細對照!$F$2:$F$610,明細對照!$A$2:$A$610,"子板塊",明細對照!$B$2:$B$610,$B3)</f>
        <v>43524.0</v>
      </c>
      <c r="F3" s="21">
        <f>IF(N(D3)=0,"",E3/D3)</f>
        <v>0.7530494662352717</v>
      </c>
      <c r="G3" s="17">
        <f>COUNTIFS(明細對照!$A$2:$A$610,"子板塊",明細對照!$B$2:$B$610,$B3,明細對照!$F$2:$F$610,"&gt;0")</f>
        <v>4.0</v>
      </c>
      <c r="H3" s="17">
        <f>COUNTIFS(明細對照!$A$2:$A$610,"子板塊",明細對照!$B$2:$B$610,$B3)-COUNTIFS(明細對照!$A$2:$A$610,"子板塊",明細對照!$B$2:$B$610,$B3,明細對照!$D$2:$D$610,"USD")</f>
        <v>0.0</v>
      </c>
      <c r="I3" s="22" t="n">
        <v>0.98</v>
      </c>
      <c r="J3" s="23" t="inlineStr">
        <is>
          <t>MU、WDC、SNDK、STX</t>
        </is>
      </c>
    </row>
    <row r="4">
      <c r="A4" s="17" t="n">
        <v>3</v>
      </c>
      <c r="B4" s="18" t="inlineStr">
        <is>
          <t>數位資產金融與礦業轉HPC</t>
        </is>
      </c>
      <c r="C4" s="17" t="n">
        <v>6</v>
      </c>
      <c r="D4" s="19">
        <f>SUMIFS(明細對照!$E$2:$E$610,明細對照!$A$2:$A$610,"子板塊",明細對照!$B$2:$B$610,$B4)</f>
        <v>3715.724</v>
      </c>
      <c r="E4" s="20">
        <f>SUMIFS(明細對照!$F$2:$F$610,明細對照!$A$2:$A$610,"子板塊",明細對照!$B$2:$B$610,$B4)</f>
        <v>41.20799999999997</v>
      </c>
      <c r="F4" s="21">
        <f>IF(N(D4)=0,"",E4/D4)</f>
        <v>0.01109016708453049</v>
      </c>
      <c r="G4" s="17">
        <f>COUNTIFS(明細對照!$A$2:$A$610,"子板塊",明細對照!$B$2:$B$610,$B4,明細對照!$F$2:$F$610,"&gt;0")</f>
        <v>2.0</v>
      </c>
      <c r="H4" s="17">
        <f>COUNTIFS(明細對照!$A$2:$A$610,"子板塊",明細對照!$B$2:$B$610,$B4)-COUNTIFS(明細對照!$A$2:$A$610,"子板塊",明細對照!$B$2:$B$610,$B4,明細對照!$D$2:$D$610,"USD")</f>
        <v>0.0</v>
      </c>
      <c r="I4" s="22" t="n">
        <v>0.91</v>
      </c>
      <c r="J4" s="23" t="inlineStr">
        <is>
          <t>COIN、HOOD、CRCL、MARA、RIOT、IREN</t>
        </is>
      </c>
    </row>
    <row r="5">
      <c r="A5" s="17" t="n">
        <v>4</v>
      </c>
      <c r="B5" s="18" t="inlineStr">
        <is>
          <t>晶圓代工/IDM</t>
        </is>
      </c>
      <c r="C5" s="17" t="n">
        <v>4</v>
      </c>
      <c r="D5" s="19">
        <f>SUMIFS(明細對照!$E$2:$E$610,明細對照!$A$2:$A$610,"子板塊",明細對照!$B$2:$B$610,$B5)</f>
        <v>17914.0</v>
      </c>
      <c r="E5" s="20">
        <f>SUMIFS(明細對照!$F$2:$F$610,明細對照!$A$2:$A$610,"子板塊",明細對照!$B$2:$B$610,$B5)</f>
        <v>2140.0</v>
      </c>
      <c r="F5" s="21">
        <f>IF(N(D5)=0,"",E5/D5)</f>
        <v>0.11945964050463324</v>
      </c>
      <c r="G5" s="17">
        <f>COUNTIFS(明細對照!$A$2:$A$610,"子板塊",明細對照!$B$2:$B$610,$B5,明細對照!$F$2:$F$610,"&gt;0")</f>
        <v>2.0</v>
      </c>
      <c r="H5" s="17">
        <f>COUNTIFS(明細對照!$A$2:$A$610,"子板塊",明細對照!$B$2:$B$610,$B5)-COUNTIFS(明細對照!$A$2:$A$610,"子板塊",明細對照!$B$2:$B$610,$B5,明細對照!$D$2:$D$610,"USD")</f>
        <v>2.0</v>
      </c>
      <c r="I5" s="22" t="n">
        <v>0.9</v>
      </c>
      <c r="J5" s="23" t="inlineStr">
        <is>
          <t>TSM、INTC、GFS、UMC</t>
        </is>
      </c>
    </row>
    <row r="6">
      <c r="A6" s="17" t="n">
        <v>5</v>
      </c>
      <c r="B6" s="18" t="inlineStr">
        <is>
          <t>傳統汽車與零部件</t>
        </is>
      </c>
      <c r="C6" s="17" t="n">
        <v>5</v>
      </c>
      <c r="D6" s="19">
        <f>SUMIFS(明細對照!$E$2:$E$610,明細對照!$A$2:$A$610,"子板塊",明細對照!$B$2:$B$610,$B6)</f>
        <v>116785.4</v>
      </c>
      <c r="E6" s="20">
        <f>SUMIFS(明細對照!$F$2:$F$610,明細對照!$A$2:$A$610,"子板塊",明細對照!$B$2:$B$610,$B6)</f>
        <v>3370.9</v>
      </c>
      <c r="F6" s="21">
        <f>IF(N(D6)=0,"",E6/D6)</f>
        <v>0.02886405321213097</v>
      </c>
      <c r="G6" s="17">
        <f>COUNTIFS(明細對照!$A$2:$A$610,"子板塊",明細對照!$B$2:$B$610,$B6,明細對照!$F$2:$F$610,"&gt;0")</f>
        <v>5.0</v>
      </c>
      <c r="H6" s="17">
        <f>COUNTIFS(明細對照!$A$2:$A$610,"子板塊",明細對照!$B$2:$B$610,$B6)-COUNTIFS(明細對照!$A$2:$A$610,"子板塊",明細對照!$B$2:$B$610,$B6,明細對照!$D$2:$D$610,"USD")</f>
        <v>0.0</v>
      </c>
      <c r="I6" s="22" t="n">
        <v>0.79</v>
      </c>
      <c r="J6" s="23" t="inlineStr">
        <is>
          <t>GM、F、APTV、LEA、MGA</t>
        </is>
      </c>
    </row>
    <row r="7">
      <c r="A7" s="17" t="n">
        <v>6</v>
      </c>
      <c r="B7" s="18" t="inlineStr">
        <is>
          <t>煉油與成品油</t>
        </is>
      </c>
      <c r="C7" s="17" t="n">
        <v>4</v>
      </c>
      <c r="D7" s="19">
        <f>SUMIFS(明細對照!$E$2:$E$610,明細對照!$A$2:$A$610,"子板塊",明細對照!$B$2:$B$610,$B7)</f>
        <v>147474.0</v>
      </c>
      <c r="E7" s="20">
        <f>SUMIFS(明細對照!$F$2:$F$610,明細對照!$A$2:$A$610,"子板塊",明細對照!$B$2:$B$610,$B7)</f>
        <v>16455.0</v>
      </c>
      <c r="F7" s="21">
        <f>IF(N(D7)=0,"",E7/D7)</f>
        <v>0.11157899019488181</v>
      </c>
      <c r="G7" s="17">
        <f>COUNTIFS(明細對照!$A$2:$A$610,"子板塊",明細對照!$B$2:$B$610,$B7,明細對照!$F$2:$F$610,"&gt;0")</f>
        <v>3.0</v>
      </c>
      <c r="H7" s="17">
        <f>COUNTIFS(明細對照!$A$2:$A$610,"子板塊",明細對照!$B$2:$B$610,$B7)-COUNTIFS(明細對照!$A$2:$A$610,"子板塊",明細對照!$B$2:$B$610,$B7,明細對照!$D$2:$D$610,"USD")</f>
        <v>0.0</v>
      </c>
      <c r="I7" s="22" t="n">
        <v>0.77</v>
      </c>
      <c r="J7" s="23" t="inlineStr">
        <is>
          <t>MPC、PSX、VLO、DINO</t>
        </is>
      </c>
    </row>
    <row r="8">
      <c r="A8" s="17" t="n">
        <v>7</v>
      </c>
      <c r="B8" s="18" t="inlineStr">
        <is>
          <t>腫瘤與細胞治療</t>
        </is>
      </c>
      <c r="C8" s="17" t="n">
        <v>8</v>
      </c>
      <c r="D8" s="19">
        <f>SUMIFS(明細對照!$E$2:$E$610,明細對照!$A$2:$A$610,"子板塊",明細對照!$B$2:$B$610,$B8)</f>
        <v>743.235</v>
      </c>
      <c r="E8" s="20">
        <f>SUMIFS(明細對照!$F$2:$F$610,明細對照!$A$2:$A$610,"子板塊",明細對照!$B$2:$B$610,$B8)</f>
        <v>-475.71600000000007</v>
      </c>
      <c r="F8" s="21">
        <f>IF(N(D8)=0,"",E8/D8)</f>
        <v>-0.6400613534077378</v>
      </c>
      <c r="G8" s="17">
        <f>COUNTIFS(明細對照!$A$2:$A$610,"子板塊",明細對照!$B$2:$B$610,$B8,明細對照!$F$2:$F$610,"&gt;0")</f>
        <v>2.0</v>
      </c>
      <c r="H8" s="17">
        <f>COUNTIFS(明細對照!$A$2:$A$610,"子板塊",明細對照!$B$2:$B$610,$B8)-COUNTIFS(明細對照!$A$2:$A$610,"子板塊",明細對照!$B$2:$B$610,$B8,明細對照!$D$2:$D$610,"USD")</f>
        <v>0.0</v>
      </c>
      <c r="I8" s="22" t="n">
        <v>0.6899999999999999</v>
      </c>
      <c r="J8" s="23" t="inlineStr">
        <is>
          <t>LEGN、IOVA、ALLO、ARVN、RVMD、NKTX、FATE、CRVS</t>
        </is>
      </c>
    </row>
    <row r="9">
      <c r="A9" s="17" t="n">
        <v>8</v>
      </c>
      <c r="B9" s="18" t="inlineStr">
        <is>
          <t>小型模組化核能SMR</t>
        </is>
      </c>
      <c r="C9" s="17" t="n">
        <v>4</v>
      </c>
      <c r="D9" s="19">
        <f>SUMIFS(明細對照!$E$2:$E$610,明細對照!$A$2:$A$610,"子板塊",明細對照!$B$2:$B$610,$B9)</f>
        <v>6.622042</v>
      </c>
      <c r="E9" s="20">
        <f>SUMIFS(明細對照!$F$2:$F$610,明細對照!$A$2:$A$610,"子板塊",明細對照!$B$2:$B$610,$B9)</f>
        <v>-186.80645799999996</v>
      </c>
      <c r="F9" s="21">
        <f>IF(N(D9)=0,"",E9/D9)</f>
        <v>-28.209796615605875</v>
      </c>
      <c r="G9" s="17">
        <f>COUNTIFS(明細對照!$A$2:$A$610,"子板塊",明細對照!$B$2:$B$610,$B9,明細對照!$F$2:$F$610,"&gt;0")</f>
        <v>0.0</v>
      </c>
      <c r="H9" s="17">
        <f>COUNTIFS(明細對照!$A$2:$A$610,"子板塊",明細對照!$B$2:$B$610,$B9)-COUNTIFS(明細對照!$A$2:$A$610,"子板塊",明細對照!$B$2:$B$610,$B9,明細對照!$D$2:$D$610,"USD")</f>
        <v>0.0</v>
      </c>
      <c r="I9" s="22" t="n">
        <v>0.6899999999999999</v>
      </c>
      <c r="J9" s="23" t="inlineStr">
        <is>
          <t>OKLO、SMR、NNE、ASPI</t>
        </is>
      </c>
    </row>
    <row r="10">
      <c r="A10" s="17" t="n">
        <v>9</v>
      </c>
      <c r="B10" s="18" t="inlineStr">
        <is>
          <t>電氣設備與電網</t>
        </is>
      </c>
      <c r="C10" s="17" t="n">
        <v>5</v>
      </c>
      <c r="D10" s="19">
        <f>SUMIFS(明細對照!$E$2:$E$610,明細對照!$A$2:$A$610,"子板塊",明細對照!$B$2:$B$610,$B10)</f>
        <v>22372.797</v>
      </c>
      <c r="E10" s="20">
        <f>SUMIFS(明細對照!$F$2:$F$610,明細對照!$A$2:$A$610,"子板塊",明細對照!$B$2:$B$610,$B10)</f>
        <v>1693.3310000000001</v>
      </c>
      <c r="F10" s="21">
        <f>IF(N(D10)=0,"",E10/D10)</f>
        <v>0.07568704976852024</v>
      </c>
      <c r="G10" s="17">
        <f>COUNTIFS(明細對照!$A$2:$A$610,"子板塊",明細對照!$B$2:$B$610,$B10,明細對照!$F$2:$F$610,"&gt;0")</f>
        <v>3.0</v>
      </c>
      <c r="H10" s="17">
        <f>COUNTIFS(明細對照!$A$2:$A$610,"子板塊",明細對照!$B$2:$B$610,$B10)-COUNTIFS(明細對照!$A$2:$A$610,"子板塊",明細對照!$B$2:$B$610,$B10,明細對照!$D$2:$D$610,"USD")</f>
        <v>0.0</v>
      </c>
      <c r="I10" s="22" t="n">
        <v>0.66</v>
      </c>
      <c r="J10" s="23" t="inlineStr">
        <is>
          <t>ETN、EMR、PWR、HUBB、GEV</t>
        </is>
      </c>
    </row>
    <row r="11">
      <c r="A11" s="17" t="n">
        <v>10</v>
      </c>
      <c r="B11" s="18" t="inlineStr">
        <is>
          <t>樓宇產品與HVAC</t>
        </is>
      </c>
      <c r="C11" s="17" t="n">
        <v>5</v>
      </c>
      <c r="D11" s="19">
        <f>SUMIFS(明細對照!$E$2:$E$610,明細對照!$A$2:$A$610,"子板塊",明細對照!$B$2:$B$610,$B11)</f>
        <v>21490.775999999998</v>
      </c>
      <c r="E11" s="20">
        <f>SUMIFS(明細對照!$F$2:$F$610,明細對照!$A$2:$A$610,"子板塊",明細對照!$B$2:$B$610,$B11)</f>
        <v>3488.032</v>
      </c>
      <c r="F11" s="21">
        <f>IF(N(D11)=0,"",E11/D11)</f>
        <v>0.16230367856423614</v>
      </c>
      <c r="G11" s="17">
        <f>COUNTIFS(明細對照!$A$2:$A$610,"子板塊",明細對照!$B$2:$B$610,$B11,明細對照!$F$2:$F$610,"&gt;0")</f>
        <v>5.0</v>
      </c>
      <c r="H11" s="17">
        <f>COUNTIFS(明細對照!$A$2:$A$610,"子板塊",明細對照!$B$2:$B$610,$B11)-COUNTIFS(明細對照!$A$2:$A$610,"子板塊",明細對照!$B$2:$B$610,$B11,明細對照!$D$2:$D$610,"USD")</f>
        <v>0.0</v>
      </c>
      <c r="I11" s="22" t="n">
        <v>0.59</v>
      </c>
      <c r="J11" s="23" t="inlineStr">
        <is>
          <t>CARR、TT、JCI、LII、AAON</t>
        </is>
      </c>
    </row>
    <row r="12">
      <c r="A12" s="17" t="n">
        <v>11</v>
      </c>
      <c r="B12" s="18" t="inlineStr">
        <is>
          <t>電子硬件與EMS/連接器</t>
        </is>
      </c>
      <c r="C12" s="17" t="n">
        <v>6</v>
      </c>
      <c r="D12" s="19">
        <f>SUMIFS(明細對照!$E$2:$E$610,明細對照!$A$2:$A$610,"子板塊",明細對照!$B$2:$B$610,$B12)</f>
        <v>123328.0</v>
      </c>
      <c r="E12" s="20">
        <f>SUMIFS(明細對照!$F$2:$F$610,明細對照!$A$2:$A$610,"子板塊",明細對照!$B$2:$B$610,$B12)</f>
        <v>37224.0</v>
      </c>
      <c r="F12" s="21">
        <f>IF(N(D12)=0,"",E12/D12)</f>
        <v>0.3018292682926829</v>
      </c>
      <c r="G12" s="17">
        <f>COUNTIFS(明細對照!$A$2:$A$610,"子板塊",明細對照!$B$2:$B$610,$B12,明細對照!$F$2:$F$610,"&gt;0")</f>
        <v>3.0</v>
      </c>
      <c r="H12" s="17">
        <f>COUNTIFS(明細對照!$A$2:$A$610,"子板塊",明細對照!$B$2:$B$610,$B12)-COUNTIFS(明細對照!$A$2:$A$610,"子板塊",明細對照!$B$2:$B$610,$B12,明細對照!$D$2:$D$610,"USD")</f>
        <v>0.0</v>
      </c>
      <c r="I12" s="22" t="n">
        <v>0.55</v>
      </c>
      <c r="J12" s="23" t="inlineStr">
        <is>
          <t>AAPL、DELL、FLEX、JBL、APH、TEL</t>
        </is>
      </c>
    </row>
    <row r="13">
      <c r="A13" s="17" t="n">
        <v>12</v>
      </c>
      <c r="B13" s="18" t="inlineStr">
        <is>
          <t>機械與重工</t>
        </is>
      </c>
      <c r="C13" s="17" t="n">
        <v>5</v>
      </c>
      <c r="D13" s="19">
        <f>SUMIFS(明細對照!$E$2:$E$610,明細對照!$A$2:$A$610,"子板塊",明細對照!$B$2:$B$610,$B13)</f>
        <v>58558.7</v>
      </c>
      <c r="E13" s="20">
        <f>SUMIFS(明細對照!$F$2:$F$610,明細對照!$A$2:$A$610,"子板塊",明細對照!$B$2:$B$610,$B13)</f>
        <v>10295.2</v>
      </c>
      <c r="F13" s="21">
        <f>IF(N(D13)=0,"",E13/D13)</f>
        <v>0.17580991381297742</v>
      </c>
      <c r="G13" s="17">
        <f>COUNTIFS(明細對照!$A$2:$A$610,"子板塊",明細對照!$B$2:$B$610,$B13,明細對照!$F$2:$F$610,"&gt;0")</f>
        <v>5.0</v>
      </c>
      <c r="H13" s="17">
        <f>COUNTIFS(明細對照!$A$2:$A$610,"子板塊",明細對照!$B$2:$B$610,$B13)-COUNTIFS(明細對照!$A$2:$A$610,"子板塊",明細對照!$B$2:$B$610,$B13,明細對照!$D$2:$D$610,"USD")</f>
        <v>0.0</v>
      </c>
      <c r="I13" s="22" t="n">
        <v>0.52</v>
      </c>
      <c r="J13" s="23" t="inlineStr">
        <is>
          <t>CAT、DE、CMI、PCAR、HON</t>
        </is>
      </c>
    </row>
    <row r="14">
      <c r="A14" s="17" t="n">
        <v>13</v>
      </c>
      <c r="B14" s="18" t="inlineStr">
        <is>
          <t>基礎化工與化肥</t>
        </is>
      </c>
      <c r="C14" s="17" t="n">
        <v>5</v>
      </c>
      <c r="D14" s="19">
        <f>SUMIFS(明細對照!$E$2:$E$610,明細對照!$A$2:$A$610,"子板塊",明細對照!$B$2:$B$610,$B14)</f>
        <v>37127.1</v>
      </c>
      <c r="E14" s="20">
        <f>SUMIFS(明細對照!$F$2:$F$610,明細對照!$A$2:$A$610,"子板塊",明細對照!$B$2:$B$610,$B14)</f>
        <v>6064.7</v>
      </c>
      <c r="F14" s="21">
        <f>IF(N(D14)=0,"",E14/D14)</f>
        <v>0.16334968257687782</v>
      </c>
      <c r="G14" s="17">
        <f>COUNTIFS(明細對照!$A$2:$A$610,"子板塊",明細對照!$B$2:$B$610,$B14,明細對照!$F$2:$F$610,"&gt;0")</f>
        <v>4.0</v>
      </c>
      <c r="H14" s="17">
        <f>COUNTIFS(明細對照!$A$2:$A$610,"子板塊",明細對照!$B$2:$B$610,$B14)-COUNTIFS(明細對照!$A$2:$A$610,"子板塊",明細對照!$B$2:$B$610,$B14,明細對照!$D$2:$D$610,"USD")</f>
        <v>0.0</v>
      </c>
      <c r="I14" s="22" t="n">
        <v>0.44</v>
      </c>
      <c r="J14" s="23" t="inlineStr">
        <is>
          <t>DOW、LYB、CF、MOS、NTR</t>
        </is>
      </c>
    </row>
    <row r="15">
      <c r="A15" s="17" t="n">
        <v>14</v>
      </c>
      <c r="B15" s="18" t="inlineStr">
        <is>
          <t>大型生物科技</t>
        </is>
      </c>
      <c r="C15" s="17" t="n">
        <v>5</v>
      </c>
      <c r="D15" s="19">
        <f>SUMIFS(明細對照!$E$2:$E$610,明細對照!$A$2:$A$610,"子板塊",明細對照!$B$2:$B$610,$B15)</f>
        <v>28217.600000000002</v>
      </c>
      <c r="E15" s="20">
        <f>SUMIFS(明細對照!$F$2:$F$610,明細對照!$A$2:$A$610,"子板塊",明細對照!$B$2:$B$610,$B15)</f>
        <v>9225.0</v>
      </c>
      <c r="F15" s="21">
        <f>IF(N(D15)=0,"",E15/D15)</f>
        <v>0.32692362213653886</v>
      </c>
      <c r="G15" s="17">
        <f>COUNTIFS(明細對照!$A$2:$A$610,"子板塊",明細對照!$B$2:$B$610,$B15,明細對照!$F$2:$F$610,"&gt;0")</f>
        <v>5.0</v>
      </c>
      <c r="H15" s="17">
        <f>COUNTIFS(明細對照!$A$2:$A$610,"子板塊",明細對照!$B$2:$B$610,$B15)-COUNTIFS(明細對照!$A$2:$A$610,"子板塊",明細對照!$B$2:$B$610,$B15,明細對照!$D$2:$D$610,"USD")</f>
        <v>0.0</v>
      </c>
      <c r="I15" s="22" t="n">
        <v>0.44</v>
      </c>
      <c r="J15" s="23" t="inlineStr">
        <is>
          <t>AMGN、GILD、REGN、VRTX、BIIB</t>
        </is>
      </c>
    </row>
    <row r="16">
      <c r="A16" s="17" t="n">
        <v>15</v>
      </c>
      <c r="B16" s="18" t="inlineStr">
        <is>
          <t>AI加速晶片/GPU</t>
        </is>
      </c>
      <c r="C16" s="17" t="n">
        <v>4</v>
      </c>
      <c r="D16" s="19">
        <f>SUMIFS(明細對照!$E$2:$E$610,明細對照!$A$2:$A$610,"子板塊",明細對照!$B$2:$B$610,$B16)</f>
        <v>110496.3</v>
      </c>
      <c r="E16" s="20">
        <f>SUMIFS(明細對照!$F$2:$F$610,明細對照!$A$2:$A$610,"子板塊",明細對照!$B$2:$B$610,$B16)</f>
        <v>66180.9</v>
      </c>
      <c r="F16" s="21">
        <f>IF(N(D16)=0,"",E16/D16)</f>
        <v>0.5989422270247963</v>
      </c>
      <c r="G16" s="17">
        <f>COUNTIFS(明細對照!$A$2:$A$610,"子板塊",明細對照!$B$2:$B$610,$B16,明細對照!$F$2:$F$610,"&gt;0")</f>
        <v>3.0</v>
      </c>
      <c r="H16" s="17">
        <f>COUNTIFS(明細對照!$A$2:$A$610,"子板塊",明細對照!$B$2:$B$610,$B16)-COUNTIFS(明細對照!$A$2:$A$610,"子板塊",明細對照!$B$2:$B$610,$B16,明細對照!$D$2:$D$610,"USD")</f>
        <v>0.0</v>
      </c>
      <c r="I16" s="22" t="n">
        <v>0.43</v>
      </c>
      <c r="J16" s="23" t="inlineStr">
        <is>
          <t>NVDA、AMD、AVGO、MRVL</t>
        </is>
      </c>
    </row>
    <row r="17">
      <c r="A17" s="17" t="n">
        <v>16</v>
      </c>
      <c r="B17" s="18" t="inlineStr">
        <is>
          <t>大型網絡平台與數位廣告</t>
        </is>
      </c>
      <c r="C17" s="17" t="n">
        <v>2</v>
      </c>
      <c r="D17" s="19">
        <f>SUMIFS(明細對照!$E$2:$E$610,明細對照!$A$2:$A$610,"子板塊",明細對照!$B$2:$B$610,$B17)</f>
        <v>180597.0</v>
      </c>
      <c r="E17" s="20">
        <f>SUMIFS(明細對照!$F$2:$F$610,明細對照!$A$2:$A$610,"子板塊",明細對照!$B$2:$B$610,$B17)</f>
        <v>59545.0</v>
      </c>
      <c r="F17" s="21">
        <f>IF(N(D17)=0,"",E17/D17)</f>
        <v>0.3297120107200009</v>
      </c>
      <c r="G17" s="17">
        <f>COUNTIFS(明細對照!$A$2:$A$610,"子板塊",明細對照!$B$2:$B$610,$B17,明細對照!$F$2:$F$610,"&gt;0")</f>
        <v>2.0</v>
      </c>
      <c r="H17" s="17">
        <f>COUNTIFS(明細對照!$A$2:$A$610,"子板塊",明細對照!$B$2:$B$610,$B17)-COUNTIFS(明細對照!$A$2:$A$610,"子板塊",明細對照!$B$2:$B$610,$B17,明細對照!$D$2:$D$610,"USD")</f>
        <v>0.0</v>
      </c>
      <c r="I17" s="22" t="n">
        <v>0.39</v>
      </c>
      <c r="J17" s="23" t="inlineStr">
        <is>
          <t>GOOGL、META</t>
        </is>
      </c>
    </row>
    <row r="18">
      <c r="A18" s="17" t="n">
        <v>17</v>
      </c>
      <c r="B18" s="18" t="inlineStr">
        <is>
          <t>半導體設備</t>
        </is>
      </c>
      <c r="C18" s="17" t="n">
        <v>5</v>
      </c>
      <c r="D18" s="19">
        <f>SUMIFS(明細對照!$E$2:$E$610,明細對照!$A$2:$A$610,"子板塊",明細對照!$B$2:$B$610,$B18)</f>
        <v>20823.784000000003</v>
      </c>
      <c r="E18" s="20">
        <f>SUMIFS(明細對照!$F$2:$F$610,明細對照!$A$2:$A$610,"子板塊",明細對照!$B$2:$B$610,$B18)</f>
        <v>7583.277999999999</v>
      </c>
      <c r="F18" s="21">
        <f>IF(N(D18)=0,"",E18/D18)</f>
        <v>0.36416426524593215</v>
      </c>
      <c r="G18" s="17">
        <f>COUNTIFS(明細對照!$A$2:$A$610,"子板塊",明細對照!$B$2:$B$610,$B18,明細對照!$F$2:$F$610,"&gt;0")</f>
        <v>4.0</v>
      </c>
      <c r="H18" s="17">
        <f>COUNTIFS(明細對照!$A$2:$A$610,"子板塊",明細對照!$B$2:$B$610,$B18)-COUNTIFS(明細對照!$A$2:$A$610,"子板塊",明細對照!$B$2:$B$610,$B18,明細對照!$D$2:$D$610,"USD")</f>
        <v>1.0</v>
      </c>
      <c r="I18" s="22" t="n">
        <v>0.38</v>
      </c>
      <c r="J18" s="23" t="inlineStr">
        <is>
          <t>AMAT、LRCX、KLAC、ASML、TER</t>
        </is>
      </c>
    </row>
    <row r="19">
      <c r="A19" s="17" t="n">
        <v>18</v>
      </c>
      <c r="B19" s="18" t="inlineStr">
        <is>
          <t>資料中心REIT</t>
        </is>
      </c>
      <c r="C19" s="17" t="n">
        <v>2</v>
      </c>
      <c r="D19" s="19">
        <f>SUMIFS(明細對照!$E$2:$E$610,明細對照!$A$2:$A$610,"子板塊",明細對照!$B$2:$B$610,$B19)</f>
        <v>2625.0</v>
      </c>
      <c r="E19" s="20">
        <f>SUMIFS(明細對照!$F$2:$F$610,明細對照!$A$2:$A$610,"子板塊",明細對照!$B$2:$B$610,$B19)</f>
        <v>694.0</v>
      </c>
      <c r="F19" s="21">
        <f>IF(N(D19)=0,"",E19/D19)</f>
        <v>0.2643809523809524</v>
      </c>
      <c r="G19" s="17">
        <f>COUNTIFS(明細對照!$A$2:$A$610,"子板塊",明細對照!$B$2:$B$610,$B19,明細對照!$F$2:$F$610,"&gt;0")</f>
        <v>1.0</v>
      </c>
      <c r="H19" s="17">
        <f>COUNTIFS(明細對照!$A$2:$A$610,"子板塊",明細對照!$B$2:$B$610,$B19)-COUNTIFS(明細對照!$A$2:$A$610,"子板塊",明細對照!$B$2:$B$610,$B19,明細對照!$D$2:$D$610,"USD")</f>
        <v>0.0</v>
      </c>
      <c r="I19" s="22" t="n">
        <v>0.38</v>
      </c>
      <c r="J19" s="23" t="inlineStr">
        <is>
          <t>EQIX、DLR</t>
        </is>
      </c>
    </row>
    <row r="20">
      <c r="A20" s="17" t="n">
        <v>19</v>
      </c>
      <c r="B20" s="18" t="inlineStr">
        <is>
          <t>投行與資本巿場</t>
        </is>
      </c>
      <c r="C20" s="17" t="n">
        <v>5</v>
      </c>
      <c r="D20" s="19">
        <f>SUMIFS(明細對照!$E$2:$E$610,明細對照!$A$2:$A$610,"子板塊",明細對照!$B$2:$B$610,$B20)</f>
        <v>23992.396</v>
      </c>
      <c r="E20" s="20">
        <f>SUMIFS(明細對照!$F$2:$F$610,明細對照!$A$2:$A$610,"子板塊",明細對照!$B$2:$B$610,$B20)</f>
        <v>1291.893</v>
      </c>
      <c r="F20" s="21">
        <f>IF(N(D20)=0,"",E20/D20)</f>
        <v>0.05384593518713179</v>
      </c>
      <c r="G20" s="17">
        <f>COUNTIFS(明細對照!$A$2:$A$610,"子板塊",明細對照!$B$2:$B$610,$B20,明細對照!$F$2:$F$610,"&gt;0")</f>
        <v>1.0</v>
      </c>
      <c r="H20" s="17">
        <f>COUNTIFS(明細對照!$A$2:$A$610,"子板塊",明細對照!$B$2:$B$610,$B20)-COUNTIFS(明細對照!$A$2:$A$610,"子板塊",明細對照!$B$2:$B$610,$B20,明細對照!$D$2:$D$610,"USD")</f>
        <v>0.0</v>
      </c>
      <c r="I20" s="22" t="n">
        <v>0.37</v>
      </c>
      <c r="J20" s="23" t="inlineStr">
        <is>
          <t>GS、MS、EVR、LAZ、JEF</t>
        </is>
      </c>
    </row>
    <row r="21">
      <c r="A21" s="17" t="n">
        <v>20</v>
      </c>
      <c r="B21" s="18" t="inlineStr">
        <is>
          <t>AI資料中心建設</t>
        </is>
      </c>
      <c r="C21" s="17" t="n">
        <v>5</v>
      </c>
      <c r="D21" s="19">
        <f>SUMIFS(明細對照!$E$2:$E$610,明細對照!$A$2:$A$610,"子板塊",明細對照!$B$2:$B$610,$B21)</f>
        <v>19874.616</v>
      </c>
      <c r="E21" s="20">
        <f>SUMIFS(明細對照!$F$2:$F$610,明細對照!$A$2:$A$610,"子板塊",明細對照!$B$2:$B$610,$B21)</f>
        <v>3821.3399999999997</v>
      </c>
      <c r="F21" s="21">
        <f>IF(N(D21)=0,"",E21/D21)</f>
        <v>0.1922723940930481</v>
      </c>
      <c r="G21" s="17">
        <f>COUNTIFS(明細對照!$A$2:$A$610,"子板塊",明細對照!$B$2:$B$610,$B21,明細對照!$F$2:$F$610,"&gt;0")</f>
        <v>5.0</v>
      </c>
      <c r="H21" s="17">
        <f>COUNTIFS(明細對照!$A$2:$A$610,"子板塊",明細對照!$B$2:$B$610,$B21)-COUNTIFS(明細對照!$A$2:$A$610,"子板塊",明細對照!$B$2:$B$610,$B21,明細對照!$D$2:$D$610,"USD")</f>
        <v>0.0</v>
      </c>
      <c r="I21" s="22" t="n">
        <v>0.35</v>
      </c>
      <c r="J21" s="23" t="inlineStr">
        <is>
          <t>VRT、SMCI、ANET、MOD、CIEN</t>
        </is>
      </c>
    </row>
    <row r="22">
      <c r="A22" s="17" t="n">
        <v>21</v>
      </c>
      <c r="B22" s="18" t="inlineStr">
        <is>
          <t>區域與社區銀行</t>
        </is>
      </c>
      <c r="C22" s="17" t="n">
        <v>5</v>
      </c>
      <c r="D22" s="19">
        <f>SUMIFS(明細對照!$E$2:$E$610,明細對照!$A$2:$A$610,"子板塊",明細對照!$B$2:$B$610,$B22)</f>
        <v>17737.0</v>
      </c>
      <c r="E22" s="20">
        <f>SUMIFS(明細對照!$F$2:$F$610,明細對照!$A$2:$A$610,"子板塊",明細對照!$B$2:$B$610,$B22)</f>
        <v>0.0</v>
      </c>
      <c r="F22" s="21">
        <f>IF(N(D22)=0,"",E22/D22)</f>
        <v>0.0</v>
      </c>
      <c r="G22" s="17">
        <f>COUNTIFS(明細對照!$A$2:$A$610,"子板塊",明細對照!$B$2:$B$610,$B22,明細對照!$F$2:$F$610,"&gt;0")</f>
        <v>0.0</v>
      </c>
      <c r="H22" s="17">
        <f>COUNTIFS(明細對照!$A$2:$A$610,"子板塊",明細對照!$B$2:$B$610,$B22)-COUNTIFS(明細對照!$A$2:$A$610,"子板塊",明細對照!$B$2:$B$610,$B22,明細對照!$D$2:$D$610,"USD")</f>
        <v>0.0</v>
      </c>
      <c r="I22" s="22" t="n">
        <v>0.35</v>
      </c>
      <c r="J22" s="23" t="inlineStr">
        <is>
          <t>USB、PNC、TFC、MTB、ZION</t>
        </is>
      </c>
    </row>
    <row r="23">
      <c r="A23" s="17" t="n">
        <v>22</v>
      </c>
      <c r="B23" s="18" t="inlineStr">
        <is>
          <t>大型全能銀行</t>
        </is>
      </c>
      <c r="C23" s="17" t="n">
        <v>4</v>
      </c>
      <c r="D23" s="19">
        <f>SUMIFS(明細對照!$E$2:$E$610,明細對照!$A$2:$A$610,"子板塊",明細對照!$B$2:$B$610,$B23)</f>
        <v>100239.0</v>
      </c>
      <c r="E23" s="20">
        <f>SUMIFS(明細對照!$F$2:$F$610,明細對照!$A$2:$A$610,"子板塊",明細對照!$B$2:$B$610,$B23)</f>
        <v>0.0</v>
      </c>
      <c r="F23" s="21">
        <f>IF(N(D23)=0,"",E23/D23)</f>
        <v>0.0</v>
      </c>
      <c r="G23" s="17">
        <f>COUNTIFS(明細對照!$A$2:$A$610,"子板塊",明細對照!$B$2:$B$610,$B23,明細對照!$F$2:$F$610,"&gt;0")</f>
        <v>0.0</v>
      </c>
      <c r="H23" s="17">
        <f>COUNTIFS(明細對照!$A$2:$A$610,"子板塊",明細對照!$B$2:$B$610,$B23)-COUNTIFS(明細對照!$A$2:$A$610,"子板塊",明細對照!$B$2:$B$610,$B23,明細對照!$D$2:$D$610,"USD")</f>
        <v>0.0</v>
      </c>
      <c r="I23" s="22" t="n">
        <v>0.35</v>
      </c>
      <c r="J23" s="23" t="inlineStr">
        <is>
          <t>JPM、BAC、C、WFC</t>
        </is>
      </c>
    </row>
    <row r="24">
      <c r="A24" s="17" t="n">
        <v>23</v>
      </c>
      <c r="B24" s="18" t="inlineStr">
        <is>
          <t>工業自動化與機器人</t>
        </is>
      </c>
      <c r="C24" s="17" t="n">
        <v>4</v>
      </c>
      <c r="D24" s="19">
        <f>SUMIFS(明細對照!$E$2:$E$610,明細對照!$A$2:$A$610,"子板塊",明細對照!$B$2:$B$610,$B24)</f>
        <v>5180.495</v>
      </c>
      <c r="E24" s="20">
        <f>SUMIFS(明細對照!$F$2:$F$610,明細對照!$A$2:$A$610,"子板塊",明細對照!$B$2:$B$610,$B24)</f>
        <v>1177.829</v>
      </c>
      <c r="F24" s="21">
        <f>IF(N(D24)=0,"",E24/D24)</f>
        <v>0.2273583894975287</v>
      </c>
      <c r="G24" s="17">
        <f>COUNTIFS(明細對照!$A$2:$A$610,"子板塊",明細對照!$B$2:$B$610,$B24,明細對照!$F$2:$F$610,"&gt;0")</f>
        <v>4.0</v>
      </c>
      <c r="H24" s="17">
        <f>COUNTIFS(明細對照!$A$2:$A$610,"子板塊",明細對照!$B$2:$B$610,$B24)-COUNTIFS(明細對照!$A$2:$A$610,"子板塊",明細對照!$B$2:$B$610,$B24,明細對照!$D$2:$D$610,"USD")</f>
        <v>0.0</v>
      </c>
      <c r="I24" s="22" t="n">
        <v>0.34</v>
      </c>
      <c r="J24" s="23" t="inlineStr">
        <is>
          <t>ROK、SYM、NDSN、TER</t>
        </is>
      </c>
    </row>
    <row r="25">
      <c r="A25" s="17" t="n">
        <v>24</v>
      </c>
      <c r="B25" s="18" t="inlineStr">
        <is>
          <t>類比/功率半導體</t>
        </is>
      </c>
      <c r="C25" s="17" t="n">
        <v>5</v>
      </c>
      <c r="D25" s="19">
        <f>SUMIFS(明細對照!$E$2:$E$610,明細對照!$A$2:$A$610,"子板塊",明細對照!$B$2:$B$610,$B25)</f>
        <v>15565.041</v>
      </c>
      <c r="E25" s="20">
        <f>SUMIFS(明細對照!$F$2:$F$610,明細對照!$A$2:$A$610,"子板塊",明細對照!$B$2:$B$610,$B25)</f>
        <v>5595.447</v>
      </c>
      <c r="F25" s="21">
        <f>IF(N(D25)=0,"",E25/D25)</f>
        <v>0.3594880990034013</v>
      </c>
      <c r="G25" s="17">
        <f>COUNTIFS(明細對照!$A$2:$A$610,"子板塊",明細對照!$B$2:$B$610,$B25,明細對照!$F$2:$F$610,"&gt;0")</f>
        <v>5.0</v>
      </c>
      <c r="H25" s="17">
        <f>COUNTIFS(明細對照!$A$2:$A$610,"子板塊",明細對照!$B$2:$B$610,$B25)-COUNTIFS(明細對照!$A$2:$A$610,"子板塊",明細對照!$B$2:$B$610,$B25,明細對照!$D$2:$D$610,"USD")</f>
        <v>0.0</v>
      </c>
      <c r="I25" s="22" t="n">
        <v>0.29</v>
      </c>
      <c r="J25" s="23" t="inlineStr">
        <is>
          <t>TXN、ADI、ON、MPWR、NXPI</t>
        </is>
      </c>
    </row>
    <row r="26">
      <c r="A26" s="17" t="n">
        <v>25</v>
      </c>
      <c r="B26" s="18" t="inlineStr">
        <is>
          <t>LNG液化天然氣</t>
        </is>
      </c>
      <c r="C26" s="17" t="n">
        <v>5</v>
      </c>
      <c r="D26" s="19">
        <f>SUMIFS(明細對照!$E$2:$E$610,明細對照!$A$2:$A$610,"子板塊",明細對照!$B$2:$B$610,$B26)</f>
        <v>11082.246</v>
      </c>
      <c r="E26" s="20">
        <f>SUMIFS(明細對照!$F$2:$F$610,明細對照!$A$2:$A$610,"子板塊",明細對照!$B$2:$B$610,$B26)</f>
        <v>6548.272</v>
      </c>
      <c r="F26" s="21">
        <f>IF(N(D26)=0,"",E26/D26)</f>
        <v>0.5908795022236467</v>
      </c>
      <c r="G26" s="17">
        <f>COUNTIFS(明細對照!$A$2:$A$610,"子板塊",明細對照!$B$2:$B$610,$B26,明細對照!$F$2:$F$610,"&gt;0")</f>
        <v>4.0</v>
      </c>
      <c r="H26" s="17">
        <f>COUNTIFS(明細對照!$A$2:$A$610,"子板塊",明細對照!$B$2:$B$610,$B26)-COUNTIFS(明細對照!$A$2:$A$610,"子板塊",明細對照!$B$2:$B$610,$B26,明細對照!$D$2:$D$610,"USD")</f>
        <v>0.0</v>
      </c>
      <c r="I26" s="22" t="n">
        <v>0.29</v>
      </c>
      <c r="J26" s="23" t="inlineStr">
        <is>
          <t>LNG、NFE、GLNG、VG、EE</t>
        </is>
      </c>
    </row>
    <row r="27">
      <c r="A27" s="17" t="n">
        <v>26</v>
      </c>
      <c r="B27" s="18" t="inlineStr">
        <is>
          <t>水務公用</t>
        </is>
      </c>
      <c r="C27" s="17" t="n">
        <v>5</v>
      </c>
      <c r="D27" s="19">
        <f>SUMIFS(明細對照!$E$2:$E$610,明細對照!$A$2:$A$610,"子板塊",明細對照!$B$2:$B$610,$B27)</f>
        <v>2586.214</v>
      </c>
      <c r="E27" s="20">
        <f>SUMIFS(明細對照!$F$2:$F$610,明細對照!$A$2:$A$610,"子板塊",明細對照!$B$2:$B$610,$B27)</f>
        <v>930.2270000000001</v>
      </c>
      <c r="F27" s="21">
        <f>IF(N(D27)=0,"",E27/D27)</f>
        <v>0.35968678539362947</v>
      </c>
      <c r="G27" s="17">
        <f>COUNTIFS(明細對照!$A$2:$A$610,"子板塊",明細對照!$B$2:$B$610,$B27,明細對照!$F$2:$F$610,"&gt;0")</f>
        <v>5.0</v>
      </c>
      <c r="H27" s="17">
        <f>COUNTIFS(明細對照!$A$2:$A$610,"子板塊",明細對照!$B$2:$B$610,$B27)-COUNTIFS(明細對照!$A$2:$A$610,"子板塊",明細對照!$B$2:$B$610,$B27,明細對照!$D$2:$D$610,"USD")</f>
        <v>0.0</v>
      </c>
      <c r="I27" s="22" t="n">
        <v>0.28</v>
      </c>
      <c r="J27" s="23" t="inlineStr">
        <is>
          <t>AWK、WTRG、CWT、AWR、HTO</t>
        </is>
      </c>
    </row>
    <row r="28">
      <c r="A28" s="17" t="n">
        <v>27</v>
      </c>
      <c r="B28" s="18" t="inlineStr">
        <is>
          <t>再生能源與太陽能</t>
        </is>
      </c>
      <c r="C28" s="17" t="n">
        <v>5</v>
      </c>
      <c r="D28" s="19">
        <f>SUMIFS(明細對照!$E$2:$E$610,明細對照!$A$2:$A$610,"子板塊",明細對照!$B$2:$B$610,$B28)</f>
        <v>10687.204999999998</v>
      </c>
      <c r="E28" s="20">
        <f>SUMIFS(明細對照!$F$2:$F$610,明細對照!$A$2:$A$610,"子板塊",明細對照!$B$2:$B$610,$B28)</f>
        <v>3005.558</v>
      </c>
      <c r="F28" s="21">
        <f>IF(N(D28)=0,"",E28/D28)</f>
        <v>0.28122956376339747</v>
      </c>
      <c r="G28" s="17">
        <f>COUNTIFS(明細對照!$A$2:$A$610,"子板塊",明細對照!$B$2:$B$610,$B28,明細對照!$F$2:$F$610,"&gt;0")</f>
        <v>5.0</v>
      </c>
      <c r="H28" s="17">
        <f>COUNTIFS(明細對照!$A$2:$A$610,"子板塊",明細對照!$B$2:$B$610,$B28)-COUNTIFS(明細對照!$A$2:$A$610,"子板塊",明細對照!$B$2:$B$610,$B28,明細對照!$D$2:$D$610,"USD")</f>
        <v>0.0</v>
      </c>
      <c r="I28" s="22" t="n">
        <v>0.28</v>
      </c>
      <c r="J28" s="23" t="inlineStr">
        <is>
          <t>NEE、FSLR、ENPH、RUN、NXT</t>
        </is>
      </c>
    </row>
    <row r="29">
      <c r="A29" s="17" t="n">
        <v>28</v>
      </c>
      <c r="B29" s="18" t="inlineStr">
        <is>
          <t>家居耐用與休閒用品</t>
        </is>
      </c>
      <c r="C29" s="17" t="n">
        <v>4</v>
      </c>
      <c r="D29" s="19">
        <f>SUMIFS(明細對照!$E$2:$E$610,明細對照!$A$2:$A$610,"子板塊",明細對照!$B$2:$B$610,$B29)</f>
        <v>6897.738</v>
      </c>
      <c r="E29" s="20">
        <f>SUMIFS(明細對照!$F$2:$F$610,明細對照!$A$2:$A$610,"子板塊",明細對照!$B$2:$B$610,$B29)</f>
        <v>469.07899999999995</v>
      </c>
      <c r="F29" s="21">
        <f>IF(N(D29)=0,"",E29/D29)</f>
        <v>0.06800475750166213</v>
      </c>
      <c r="G29" s="17">
        <f>COUNTIFS(明細對照!$A$2:$A$610,"子板塊",明細對照!$B$2:$B$610,$B29,明細對照!$F$2:$F$610,"&gt;0")</f>
        <v>3.0</v>
      </c>
      <c r="H29" s="17">
        <f>COUNTIFS(明細對照!$A$2:$A$610,"子板塊",明細對照!$B$2:$B$610,$B29)-COUNTIFS(明細對照!$A$2:$A$610,"子板塊",明細對照!$B$2:$B$610,$B29,明細對照!$D$2:$D$610,"USD")</f>
        <v>0.0</v>
      </c>
      <c r="I29" s="22" t="n">
        <v>0.26</v>
      </c>
      <c r="J29" s="23" t="inlineStr">
        <is>
          <t>WHR、MHK、POOL、BC</t>
        </is>
      </c>
    </row>
    <row r="30">
      <c r="A30" s="17" t="n">
        <v>29</v>
      </c>
      <c r="B30" s="18" t="inlineStr">
        <is>
          <t>壽險與年金</t>
        </is>
      </c>
      <c r="C30" s="17" t="n">
        <v>5</v>
      </c>
      <c r="D30" s="19">
        <f>SUMIFS(明細對照!$E$2:$E$610,明細對照!$A$2:$A$610,"子板塊",明細對照!$B$2:$B$610,$B30)</f>
        <v>44995.0</v>
      </c>
      <c r="E30" s="20">
        <f>SUMIFS(明細對照!$F$2:$F$610,明細對照!$A$2:$A$610,"子板塊",明細對照!$B$2:$B$610,$B30)</f>
        <v>3674.0</v>
      </c>
      <c r="F30" s="21">
        <f>IF(N(D30)=0,"",E30/D30)</f>
        <v>0.08165351705745083</v>
      </c>
      <c r="G30" s="17">
        <f>COUNTIFS(明細對照!$A$2:$A$610,"子板塊",明細對照!$B$2:$B$610,$B30,明細對照!$F$2:$F$610,"&gt;0")</f>
        <v>3.0</v>
      </c>
      <c r="H30" s="17">
        <f>COUNTIFS(明細對照!$A$2:$A$610,"子板塊",明細對照!$B$2:$B$610,$B30)-COUNTIFS(明細對照!$A$2:$A$610,"子板塊",明細對照!$B$2:$B$610,$B30,明細對照!$D$2:$D$610,"USD")</f>
        <v>0.0</v>
      </c>
      <c r="I30" s="22" t="n">
        <v>0.26</v>
      </c>
      <c r="J30" s="23" t="inlineStr">
        <is>
          <t>MET、PRU、AFL、LNC、EQH</t>
        </is>
      </c>
    </row>
    <row r="31">
      <c r="A31" s="17" t="n">
        <v>30</v>
      </c>
      <c r="B31" s="18" t="inlineStr">
        <is>
          <t>GLP-1減重與代謝</t>
        </is>
      </c>
      <c r="C31" s="17" t="n">
        <v>4</v>
      </c>
      <c r="D31" s="19">
        <f>SUMIFS(明細對照!$E$2:$E$610,明細對照!$A$2:$A$610,"子板塊",明細對照!$B$2:$B$610,$B31)</f>
        <v>22974.0</v>
      </c>
      <c r="E31" s="20">
        <f>SUMIFS(明細對照!$F$2:$F$610,明細對照!$A$2:$A$610,"子板塊",明細對照!$B$2:$B$610,$B31)</f>
        <v>12298.174</v>
      </c>
      <c r="F31" s="21">
        <f>IF(N(D31)=0,"",E31/D31)</f>
        <v>0.5353083485679464</v>
      </c>
      <c r="G31" s="17">
        <f>COUNTIFS(明細對照!$A$2:$A$610,"子板塊",明細對照!$B$2:$B$610,$B31,明細對照!$F$2:$F$610,"&gt;0")</f>
        <v>1.0</v>
      </c>
      <c r="H31" s="17">
        <f>COUNTIFS(明細對照!$A$2:$A$610,"子板塊",明細對照!$B$2:$B$610,$B31)-COUNTIFS(明細對照!$A$2:$A$610,"子板塊",明細對照!$B$2:$B$610,$B31,明細對照!$D$2:$D$610,"USD")</f>
        <v>1.0</v>
      </c>
      <c r="I31" s="22" t="n">
        <v>0.25</v>
      </c>
      <c r="J31" s="23" t="inlineStr">
        <is>
          <t>LLY、NVO、VKTX、ALT</t>
        </is>
      </c>
    </row>
    <row r="32">
      <c r="A32" s="17" t="n">
        <v>31</v>
      </c>
      <c r="B32" s="18" t="inlineStr">
        <is>
          <t>燃氣公用</t>
        </is>
      </c>
      <c r="C32" s="17" t="n">
        <v>4</v>
      </c>
      <c r="D32" s="19">
        <f>SUMIFS(明細對照!$E$2:$E$610,明細對照!$A$2:$A$610,"子板塊",明細對照!$B$2:$B$610,$B32)</f>
        <v>2990.8389999999995</v>
      </c>
      <c r="E32" s="20">
        <f>SUMIFS(明細對照!$F$2:$F$610,明細對照!$A$2:$A$610,"子板塊",明細對照!$B$2:$B$610,$B32)</f>
        <v>603.806</v>
      </c>
      <c r="F32" s="21">
        <f>IF(N(D32)=0,"",E32/D32)</f>
        <v>0.20188515663999304</v>
      </c>
      <c r="G32" s="17">
        <f>COUNTIFS(明細對照!$A$2:$A$610,"子板塊",明細對照!$B$2:$B$610,$B32,明細對照!$F$2:$F$610,"&gt;0")</f>
        <v>4.0</v>
      </c>
      <c r="H32" s="17">
        <f>COUNTIFS(明細對照!$A$2:$A$610,"子板塊",明細對照!$B$2:$B$610,$B32)-COUNTIFS(明細對照!$A$2:$A$610,"子板塊",明細對照!$B$2:$B$610,$B32,明細對照!$D$2:$D$610,"USD")</f>
        <v>0.0</v>
      </c>
      <c r="I32" s="22" t="n">
        <v>0.25</v>
      </c>
      <c r="J32" s="23" t="inlineStr">
        <is>
          <t>ATO、NI、SR、NJR</t>
        </is>
      </c>
    </row>
    <row r="33">
      <c r="A33" s="17" t="n">
        <v>32</v>
      </c>
      <c r="B33" s="18" t="inlineStr">
        <is>
          <t>鋼鐵</t>
        </is>
      </c>
      <c r="C33" s="17" t="n">
        <v>4</v>
      </c>
      <c r="D33" s="19">
        <f>SUMIFS(明細對照!$E$2:$E$610,明細對照!$A$2:$A$610,"子板塊",明細對照!$B$2:$B$610,$B33)</f>
        <v>26344.557</v>
      </c>
      <c r="E33" s="20">
        <f>SUMIFS(明細對照!$F$2:$F$610,明細對照!$A$2:$A$610,"子板塊",明細對照!$B$2:$B$610,$B33)</f>
        <v>2782.393</v>
      </c>
      <c r="F33" s="21">
        <f>IF(N(D33)=0,"",E33/D33)</f>
        <v>0.10561547874955726</v>
      </c>
      <c r="G33" s="17">
        <f>COUNTIFS(明細對照!$A$2:$A$610,"子板塊",明細對照!$B$2:$B$610,$B33,明細對照!$F$2:$F$610,"&gt;0")</f>
        <v>3.0</v>
      </c>
      <c r="H33" s="17">
        <f>COUNTIFS(明細對照!$A$2:$A$610,"子板塊",明細對照!$B$2:$B$610,$B33)-COUNTIFS(明細對照!$A$2:$A$610,"子板塊",明細對照!$B$2:$B$610,$B33,明細對照!$D$2:$D$610,"USD")</f>
        <v>0.0</v>
      </c>
      <c r="I33" s="22" t="n">
        <v>0.24</v>
      </c>
      <c r="J33" s="23" t="inlineStr">
        <is>
          <t>NUE、STLD、CLF、RS</t>
        </is>
      </c>
    </row>
    <row r="34">
      <c r="A34" s="17" t="n">
        <v>33</v>
      </c>
      <c r="B34" s="18" t="inlineStr">
        <is>
          <t>煤炭</t>
        </is>
      </c>
      <c r="C34" s="17" t="n">
        <v>5</v>
      </c>
      <c r="D34" s="19">
        <f>SUMIFS(明細對照!$E$2:$E$610,明細對照!$A$2:$A$610,"子板塊",明細對照!$B$2:$B$610,$B34)</f>
        <v>3291.559</v>
      </c>
      <c r="E34" s="20">
        <f>SUMIFS(明細對照!$F$2:$F$610,明細對照!$A$2:$A$610,"子板塊",明細對照!$B$2:$B$610,$B34)</f>
        <v>126.23100000000001</v>
      </c>
      <c r="F34" s="21">
        <f>IF(N(D34)=0,"",E34/D34)</f>
        <v>0.038349912609799794</v>
      </c>
      <c r="G34" s="17">
        <f>COUNTIFS(明細對照!$A$2:$A$610,"子板塊",明細對照!$B$2:$B$610,$B34,明細對照!$F$2:$F$610,"&gt;0")</f>
        <v>2.0</v>
      </c>
      <c r="H34" s="17">
        <f>COUNTIFS(明細對照!$A$2:$A$610,"子板塊",明細對照!$B$2:$B$610,$B34)-COUNTIFS(明細對照!$A$2:$A$610,"子板塊",明細對照!$B$2:$B$610,$B34,明細對照!$D$2:$D$610,"USD")</f>
        <v>0.0</v>
      </c>
      <c r="I34" s="22" t="n">
        <v>0.22</v>
      </c>
      <c r="J34" s="23" t="inlineStr">
        <is>
          <t>BTU、AMR、HCC、CNR、METC</t>
        </is>
      </c>
    </row>
    <row r="35">
      <c r="A35" s="17" t="n">
        <v>34</v>
      </c>
      <c r="B35" s="18" t="inlineStr">
        <is>
          <t>藥品分銷與藥房</t>
        </is>
      </c>
      <c r="C35" s="17" t="n">
        <v>4</v>
      </c>
      <c r="D35" s="19">
        <f>SUMIFS(明細對照!$E$2:$E$610,明細對照!$A$2:$A$610,"子板塊",明細對照!$B$2:$B$610,$B35)</f>
        <v>359902.837</v>
      </c>
      <c r="E35" s="20">
        <f>SUMIFS(明細對照!$F$2:$F$610,明細對照!$A$2:$A$610,"子板塊",明細對照!$B$2:$B$610,$B35)</f>
        <v>8143.271</v>
      </c>
      <c r="F35" s="21">
        <f>IF(N(D35)=0,"",E35/D35)</f>
        <v>0.02262630399882066</v>
      </c>
      <c r="G35" s="17">
        <f>COUNTIFS(明細對照!$A$2:$A$610,"子板塊",明細對照!$B$2:$B$610,$B35,明細對照!$F$2:$F$610,"&gt;0")</f>
        <v>4.0</v>
      </c>
      <c r="H35" s="17">
        <f>COUNTIFS(明細對照!$A$2:$A$610,"子板塊",明細對照!$B$2:$B$610,$B35)-COUNTIFS(明細對照!$A$2:$A$610,"子板塊",明細對照!$B$2:$B$610,$B35,明細對照!$D$2:$D$610,"USD")</f>
        <v>0.0</v>
      </c>
      <c r="I35" s="22" t="n">
        <v>0.22</v>
      </c>
      <c r="J35" s="23" t="inlineStr">
        <is>
          <t>MCK、COR、CAH、CVS</t>
        </is>
      </c>
    </row>
    <row r="36">
      <c r="A36" s="17" t="n">
        <v>35</v>
      </c>
      <c r="B36" s="18" t="inlineStr">
        <is>
          <t>農產品與農業投入</t>
        </is>
      </c>
      <c r="C36" s="17" t="n">
        <v>5</v>
      </c>
      <c r="D36" s="19">
        <f>SUMIFS(明細對照!$E$2:$E$610,明細對照!$A$2:$A$610,"子板塊",明細對照!$B$2:$B$610,$B36)</f>
        <v>62440.0</v>
      </c>
      <c r="E36" s="20">
        <f>SUMIFS(明細對照!$F$2:$F$610,明細對照!$A$2:$A$610,"子板塊",明細對照!$B$2:$B$610,$B36)</f>
        <v>2579.0</v>
      </c>
      <c r="F36" s="21">
        <f>IF(N(D36)=0,"",E36/D36)</f>
        <v>0.041303651505445224</v>
      </c>
      <c r="G36" s="17">
        <f>COUNTIFS(明細對照!$A$2:$A$610,"子板塊",明細對照!$B$2:$B$610,$B36,明細對照!$F$2:$F$610,"&gt;0")</f>
        <v>4.0</v>
      </c>
      <c r="H36" s="17">
        <f>COUNTIFS(明細對照!$A$2:$A$610,"子板塊",明細對照!$B$2:$B$610,$B36)-COUNTIFS(明細對照!$A$2:$A$610,"子板塊",明細對照!$B$2:$B$610,$B36,明細對照!$D$2:$D$610,"USD")</f>
        <v>0.0</v>
      </c>
      <c r="I36" s="22" t="n">
        <v>0.21</v>
      </c>
      <c r="J36" s="23" t="inlineStr">
        <is>
          <t>ADM、BG、TSN、INGR、CTVA</t>
        </is>
      </c>
    </row>
    <row r="37">
      <c r="A37" s="17" t="n">
        <v>36</v>
      </c>
      <c r="B37" s="18" t="inlineStr">
        <is>
          <t>鈾與核燃料</t>
        </is>
      </c>
      <c r="C37" s="17" t="n">
        <v>5</v>
      </c>
      <c r="D37" s="19">
        <f>SUMIFS(明細對照!$E$2:$E$610,明細對照!$A$2:$A$610,"子板塊",明細對照!$B$2:$B$610,$B37)</f>
        <v>201.208</v>
      </c>
      <c r="E37" s="20">
        <f>SUMIFS(明細對照!$F$2:$F$610,明細對照!$A$2:$A$610,"子板塊",明細對照!$B$2:$B$610,$B37)</f>
        <v>-50.191</v>
      </c>
      <c r="F37" s="21">
        <f>IF(N(D37)=0,"",E37/D37)</f>
        <v>-0.24944833207427142</v>
      </c>
      <c r="G37" s="17">
        <f>COUNTIFS(明細對照!$A$2:$A$610,"子板塊",明細對照!$B$2:$B$610,$B37,明細對照!$F$2:$F$610,"&gt;0")</f>
        <v>1.0</v>
      </c>
      <c r="H37" s="17">
        <f>COUNTIFS(明細對照!$A$2:$A$610,"子板塊",明細對照!$B$2:$B$610,$B37)-COUNTIFS(明細對照!$A$2:$A$610,"子板塊",明細對照!$B$2:$B$610,$B37,明細對照!$D$2:$D$610,"USD")</f>
        <v>2.0</v>
      </c>
      <c r="I37" s="22" t="n">
        <v>0.16</v>
      </c>
      <c r="J37" s="23" t="inlineStr">
        <is>
          <t>CCJ、UEC、LEU、UUUU、DNN</t>
        </is>
      </c>
    </row>
    <row r="38">
      <c r="A38" s="17" t="n">
        <v>37</v>
      </c>
      <c r="B38" s="18" t="inlineStr">
        <is>
          <t>油田服務</t>
        </is>
      </c>
      <c r="C38" s="17" t="n">
        <v>4</v>
      </c>
      <c r="D38" s="19">
        <f>SUMIFS(明細對照!$E$2:$E$610,明細對照!$A$2:$A$610,"子板塊",明細對照!$B$2:$B$610,$B38)</f>
        <v>22533.0</v>
      </c>
      <c r="E38" s="20">
        <f>SUMIFS(明細對照!$F$2:$F$610,明細對照!$A$2:$A$610,"子板塊",明細對照!$B$2:$B$610,$B38)</f>
        <v>2804.0</v>
      </c>
      <c r="F38" s="21">
        <f>IF(N(D38)=0,"",E38/D38)</f>
        <v>0.1244397106466072</v>
      </c>
      <c r="G38" s="17">
        <f>COUNTIFS(明細對照!$A$2:$A$610,"子板塊",明細對照!$B$2:$B$610,$B38,明細對照!$F$2:$F$610,"&gt;0")</f>
        <v>4.0</v>
      </c>
      <c r="H38" s="17">
        <f>COUNTIFS(明細對照!$A$2:$A$610,"子板塊",明細對照!$B$2:$B$610,$B38)-COUNTIFS(明細對照!$A$2:$A$610,"子板塊",明細對照!$B$2:$B$610,$B38,明細對照!$D$2:$D$610,"USD")</f>
        <v>0.0</v>
      </c>
      <c r="I38" s="22" t="n">
        <v>0.16</v>
      </c>
      <c r="J38" s="23" t="inlineStr">
        <is>
          <t>SLB、HAL、BKR、WFRD</t>
        </is>
      </c>
    </row>
    <row r="39">
      <c r="A39" s="17" t="n">
        <v>38</v>
      </c>
      <c r="B39" s="18" t="inlineStr">
        <is>
          <t>航空公司</t>
        </is>
      </c>
      <c r="C39" s="17" t="n">
        <v>4</v>
      </c>
      <c r="D39" s="19">
        <f>SUMIFS(明細對照!$E$2:$E$610,明細對照!$A$2:$A$610,"子板塊",明細對照!$B$2:$B$610,$B39)</f>
        <v>62596.0</v>
      </c>
      <c r="E39" s="20">
        <f>SUMIFS(明細對照!$F$2:$F$610,明細對照!$A$2:$A$610,"子板塊",明細對照!$B$2:$B$610,$B39)</f>
        <v>3553.0</v>
      </c>
      <c r="F39" s="21">
        <f>IF(N(D39)=0,"",E39/D39)</f>
        <v>0.0567608153875647</v>
      </c>
      <c r="G39" s="17">
        <f>COUNTIFS(明細對照!$A$2:$A$610,"子板塊",明細對照!$B$2:$B$610,$B39,明細對照!$F$2:$F$610,"&gt;0")</f>
        <v>4.0</v>
      </c>
      <c r="H39" s="17">
        <f>COUNTIFS(明細對照!$A$2:$A$610,"子板塊",明細對照!$B$2:$B$610,$B39)-COUNTIFS(明細對照!$A$2:$A$610,"子板塊",明細對照!$B$2:$B$610,$B39,明細對照!$D$2:$D$610,"USD")</f>
        <v>0.0</v>
      </c>
      <c r="I39" s="22" t="n">
        <v>0.15</v>
      </c>
      <c r="J39" s="23" t="inlineStr">
        <is>
          <t>DAL、UAL、AAL、LUV</t>
        </is>
      </c>
    </row>
    <row r="40">
      <c r="A40" s="17" t="n">
        <v>39</v>
      </c>
      <c r="B40" s="18" t="inlineStr">
        <is>
          <t>量子運算</t>
        </is>
      </c>
      <c r="C40" s="17" t="n">
        <v>4</v>
      </c>
      <c r="D40" s="19">
        <f>SUMIFS(明細對照!$E$2:$E$610,明細對照!$A$2:$A$610,"子板塊",明細對照!$B$2:$B$610,$B40)</f>
        <v>93.815</v>
      </c>
      <c r="E40" s="20">
        <f>SUMIFS(明細對照!$F$2:$F$610,明細對照!$A$2:$A$610,"子板塊",明細對照!$B$2:$B$610,$B40)</f>
        <v>-441.596</v>
      </c>
      <c r="F40" s="21">
        <f>IF(N(D40)=0,"",E40/D40)</f>
        <v>-4.707093748334488</v>
      </c>
      <c r="G40" s="17">
        <f>COUNTIFS(明細對照!$A$2:$A$610,"子板塊",明細對照!$B$2:$B$610,$B40,明細對照!$F$2:$F$610,"&gt;0")</f>
        <v>0.0</v>
      </c>
      <c r="H40" s="17">
        <f>COUNTIFS(明細對照!$A$2:$A$610,"子板塊",明細對照!$B$2:$B$610,$B40)-COUNTIFS(明細對照!$A$2:$A$610,"子板塊",明細對照!$B$2:$B$610,$B40,明細對照!$D$2:$D$610,"USD")</f>
        <v>0.0</v>
      </c>
      <c r="I40" s="22" t="n">
        <v>0.12</v>
      </c>
      <c r="J40" s="23" t="inlineStr">
        <is>
          <t>IONQ、RGTI、QBTS、QUBT</t>
        </is>
      </c>
    </row>
    <row r="41">
      <c r="A41" s="17" t="n">
        <v>40</v>
      </c>
      <c r="B41" s="18" t="inlineStr">
        <is>
          <t>頁岩E&amp;P勘探生產</t>
        </is>
      </c>
      <c r="C41" s="17" t="n">
        <v>5</v>
      </c>
      <c r="D41" s="19">
        <f>SUMIFS(明細對照!$E$2:$E$610,明細對照!$A$2:$A$610,"子板塊",明細對照!$B$2:$B$610,$B41)</f>
        <v>40168.0</v>
      </c>
      <c r="E41" s="20">
        <f>SUMIFS(明細對照!$F$2:$F$610,明細對照!$A$2:$A$610,"子板塊",明細對照!$B$2:$B$610,$B41)</f>
        <v>14699.0</v>
      </c>
      <c r="F41" s="21">
        <f>IF(N(D41)=0,"",E41/D41)</f>
        <v>0.365938060147381</v>
      </c>
      <c r="G41" s="17">
        <f>COUNTIFS(明細對照!$A$2:$A$610,"子板塊",明細對照!$B$2:$B$610,$B41,明細對照!$F$2:$F$610,"&gt;0")</f>
        <v>4.0</v>
      </c>
      <c r="H41" s="17">
        <f>COUNTIFS(明細對照!$A$2:$A$610,"子板塊",明細對照!$B$2:$B$610,$B41)-COUNTIFS(明細對照!$A$2:$A$610,"子板塊",明細對照!$B$2:$B$610,$B41,明細對照!$D$2:$D$610,"USD")</f>
        <v>0.0</v>
      </c>
      <c r="I41" s="22" t="n">
        <v>0.09</v>
      </c>
      <c r="J41" s="23" t="inlineStr">
        <is>
          <t>COP、EOG、FANG、DVN、OXY</t>
        </is>
      </c>
    </row>
    <row r="42">
      <c r="A42" s="17" t="n">
        <v>41</v>
      </c>
      <c r="B42" s="18" t="inlineStr">
        <is>
          <t>工程建設/EPC</t>
        </is>
      </c>
      <c r="C42" s="17" t="n">
        <v>6</v>
      </c>
      <c r="D42" s="19">
        <f>SUMIFS(明細對照!$E$2:$E$610,明細對照!$A$2:$A$610,"子板塊",明細對照!$B$2:$B$610,$B42)</f>
        <v>23208.123</v>
      </c>
      <c r="E42" s="20">
        <f>SUMIFS(明細對照!$F$2:$F$610,明細對照!$A$2:$A$610,"子板塊",明細對照!$B$2:$B$610,$B42)</f>
        <v>1108.935</v>
      </c>
      <c r="F42" s="21">
        <f>IF(N(D42)=0,"",E42/D42)</f>
        <v>0.047782192467697625</v>
      </c>
      <c r="G42" s="17">
        <f>COUNTIFS(明細對照!$A$2:$A$610,"子板塊",明細對照!$B$2:$B$610,$B42,明細對照!$F$2:$F$610,"&gt;0")</f>
        <v>4.0</v>
      </c>
      <c r="H42" s="17">
        <f>COUNTIFS(明細對照!$A$2:$A$610,"子板塊",明細對照!$B$2:$B$610,$B42)-COUNTIFS(明細對照!$A$2:$A$610,"子板塊",明細對照!$B$2:$B$610,$B42,明細對照!$D$2:$D$610,"USD")</f>
        <v>0.0</v>
      </c>
      <c r="I42" s="22" t="n">
        <v>0.08</v>
      </c>
      <c r="J42" s="23" t="inlineStr">
        <is>
          <t>J、ACM、FLR、MTZ、PRIM、EME</t>
        </is>
      </c>
    </row>
    <row r="43">
      <c r="A43" s="17" t="n">
        <v>42</v>
      </c>
      <c r="B43" s="18" t="inlineStr">
        <is>
          <t>醫療保險與管理式醫療</t>
        </is>
      </c>
      <c r="C43" s="17" t="n">
        <v>5</v>
      </c>
      <c r="D43" s="19">
        <f>SUMIFS(明細對照!$E$2:$E$610,明細對照!$A$2:$A$610,"子板塊",明細對照!$B$2:$B$610,$B43)</f>
        <v>328348.0</v>
      </c>
      <c r="E43" s="20">
        <f>SUMIFS(明細對照!$F$2:$F$610,明細對照!$A$2:$A$610,"子板塊",明細對照!$B$2:$B$610,$B43)</f>
        <v>15043.0</v>
      </c>
      <c r="F43" s="21">
        <f>IF(N(D43)=0,"",E43/D43)</f>
        <v>0.045814197132310844</v>
      </c>
      <c r="G43" s="17">
        <f>COUNTIFS(明細對照!$A$2:$A$610,"子板塊",明細對照!$B$2:$B$610,$B43,明細對照!$F$2:$F$610,"&gt;0")</f>
        <v>5.0</v>
      </c>
      <c r="H43" s="17">
        <f>COUNTIFS(明細對照!$A$2:$A$610,"子板塊",明細對照!$B$2:$B$610,$B43)-COUNTIFS(明細對照!$A$2:$A$610,"子板塊",明細對照!$B$2:$B$610,$B43,明細對照!$D$2:$D$610,"USD")</f>
        <v>0.0</v>
      </c>
      <c r="I43" s="22" t="n">
        <v>0.08</v>
      </c>
      <c r="J43" s="23" t="inlineStr">
        <is>
          <t>UNH、ELV、CI、HUM、CNC</t>
        </is>
      </c>
    </row>
    <row r="44">
      <c r="A44" s="17" t="n">
        <v>43</v>
      </c>
      <c r="B44" s="18" t="inlineStr">
        <is>
          <t>中游與管道</t>
        </is>
      </c>
      <c r="C44" s="17" t="n">
        <v>5</v>
      </c>
      <c r="D44" s="19">
        <f>SUMIFS(明細對照!$E$2:$E$610,明細對照!$A$2:$A$610,"子板塊",明細對照!$B$2:$B$610,$B44)</f>
        <v>72182.0</v>
      </c>
      <c r="E44" s="20">
        <f>SUMIFS(明細對照!$F$2:$F$610,明細對照!$A$2:$A$610,"子板塊",明細對照!$B$2:$B$610,$B44)</f>
        <v>9827.0</v>
      </c>
      <c r="F44" s="21">
        <f>IF(N(D44)=0,"",E44/D44)</f>
        <v>0.13614197445346485</v>
      </c>
      <c r="G44" s="17">
        <f>COUNTIFS(明細對照!$A$2:$A$610,"子板塊",明細對照!$B$2:$B$610,$B44,明細對照!$F$2:$F$610,"&gt;0")</f>
        <v>5.0</v>
      </c>
      <c r="H44" s="17">
        <f>COUNTIFS(明細對照!$A$2:$A$610,"子板塊",明細對照!$B$2:$B$610,$B44)-COUNTIFS(明細對照!$A$2:$A$610,"子板塊",明細對照!$B$2:$B$610,$B44,明細對照!$D$2:$D$610,"USD")</f>
        <v>0.0</v>
      </c>
      <c r="I44" s="22" t="n">
        <v>0.08</v>
      </c>
      <c r="J44" s="23" t="inlineStr">
        <is>
          <t>KMI、WMB、ET、EPD、OKE</t>
        </is>
      </c>
    </row>
    <row r="45">
      <c r="A45" s="17" t="n">
        <v>44</v>
      </c>
      <c r="B45" s="18" t="inlineStr">
        <is>
          <t>受監管電力公用</t>
        </is>
      </c>
      <c r="C45" s="17" t="n">
        <v>5</v>
      </c>
      <c r="D45" s="19">
        <f>SUMIFS(明細對照!$E$2:$E$610,明細對照!$A$2:$A$610,"子板塊",明細對照!$B$2:$B$610,$B45)</f>
        <v>15541.0</v>
      </c>
      <c r="E45" s="20">
        <f>SUMIFS(明細對照!$F$2:$F$610,明細對照!$A$2:$A$610,"子板塊",明細對照!$B$2:$B$610,$B45)</f>
        <v>3732.0</v>
      </c>
      <c r="F45" s="21">
        <f>IF(N(D45)=0,"",E45/D45)</f>
        <v>0.2401389871951612</v>
      </c>
      <c r="G45" s="17">
        <f>COUNTIFS(明細對照!$A$2:$A$610,"子板塊",明細對照!$B$2:$B$610,$B45,明細對照!$F$2:$F$610,"&gt;0")</f>
        <v>3.0</v>
      </c>
      <c r="H45" s="17">
        <f>COUNTIFS(明細對照!$A$2:$A$610,"子板塊",明細對照!$B$2:$B$610,$B45)-COUNTIFS(明細對照!$A$2:$A$610,"子板塊",明細對照!$B$2:$B$610,$B45,明細對照!$D$2:$D$610,"USD")</f>
        <v>0.0</v>
      </c>
      <c r="I45" s="22" t="n">
        <v>0.08</v>
      </c>
      <c r="J45" s="23" t="inlineStr">
        <is>
          <t>DUK、SO、AEP、D、XEL</t>
        </is>
      </c>
    </row>
    <row r="46">
      <c r="A46" s="17" t="n">
        <v>45</v>
      </c>
      <c r="B46" s="18" t="inlineStr">
        <is>
          <t>數位醫療與遠距醫療</t>
        </is>
      </c>
      <c r="C46" s="17" t="n">
        <v>4</v>
      </c>
      <c r="D46" s="19">
        <f>SUMIFS(明細對照!$E$2:$E$610,明細對照!$A$2:$A$610,"子板塊",明細對照!$B$2:$B$610,$B46)</f>
        <v>6396.979</v>
      </c>
      <c r="E46" s="20">
        <f>SUMIFS(明細對照!$F$2:$F$610,明細對照!$A$2:$A$610,"子板塊",明細對照!$B$2:$B$610,$B46)</f>
        <v>289.67400000000004</v>
      </c>
      <c r="F46" s="21">
        <f>IF(N(D46)=0,"",E46/D46)</f>
        <v>0.045282937461573664</v>
      </c>
      <c r="G46" s="17">
        <f>COUNTIFS(明細對照!$A$2:$A$610,"子板塊",明細對照!$B$2:$B$610,$B46,明細對照!$F$2:$F$610,"&gt;0")</f>
        <v>2.0</v>
      </c>
      <c r="H46" s="17">
        <f>COUNTIFS(明細對照!$A$2:$A$610,"子板塊",明細對照!$B$2:$B$610,$B46)-COUNTIFS(明細對照!$A$2:$A$610,"子板塊",明細對照!$B$2:$B$610,$B46,明細對照!$D$2:$D$610,"USD")</f>
        <v>0.0</v>
      </c>
      <c r="I46" s="22" t="n">
        <v>0.07000000000000001</v>
      </c>
      <c r="J46" s="23" t="inlineStr">
        <is>
          <t>HIMS、TDOC、DOCS、OSCR</t>
        </is>
      </c>
    </row>
    <row r="47">
      <c r="A47" s="17" t="n">
        <v>46</v>
      </c>
      <c r="B47" s="18" t="inlineStr">
        <is>
          <t>廢物管理與環境服務</t>
        </is>
      </c>
      <c r="C47" s="17" t="n">
        <v>5</v>
      </c>
      <c r="D47" s="19">
        <f>SUMIFS(明細對照!$E$2:$E$610,明細對照!$A$2:$A$610,"子板塊",明細對照!$B$2:$B$610,$B47)</f>
        <v>15954.36</v>
      </c>
      <c r="E47" s="20">
        <f>SUMIFS(明細對照!$F$2:$F$610,明細對照!$A$2:$A$610,"子板塊",明細對照!$B$2:$B$610,$B47)</f>
        <v>2966.065</v>
      </c>
      <c r="F47" s="21">
        <f>IF(N(D47)=0,"",E47/D47)</f>
        <v>0.18590936897500118</v>
      </c>
      <c r="G47" s="17">
        <f>COUNTIFS(明細對照!$A$2:$A$610,"子板塊",明細對照!$B$2:$B$610,$B47,明細對照!$F$2:$F$610,"&gt;0")</f>
        <v>5.0</v>
      </c>
      <c r="H47" s="17">
        <f>COUNTIFS(明細對照!$A$2:$A$610,"子板塊",明細對照!$B$2:$B$610,$B47)-COUNTIFS(明細對照!$A$2:$A$610,"子板塊",明細對照!$B$2:$B$610,$B47,明細對照!$D$2:$D$610,"USD")</f>
        <v>0.0</v>
      </c>
      <c r="I47" s="22" t="n">
        <v>0.06</v>
      </c>
      <c r="J47" s="23" t="inlineStr">
        <is>
          <t>WM、RSG、WCN、CLH、CWST</t>
        </is>
      </c>
    </row>
    <row r="48">
      <c r="A48" s="17" t="n">
        <v>47</v>
      </c>
      <c r="B48" s="18" t="inlineStr">
        <is>
          <t>貨運與物流</t>
        </is>
      </c>
      <c r="C48" s="17" t="n">
        <v>5</v>
      </c>
      <c r="D48" s="19">
        <f>SUMIFS(明細對照!$E$2:$E$610,明細對照!$A$2:$A$610,"子板塊",明細對照!$B$2:$B$610,$B48)</f>
        <v>55245.3</v>
      </c>
      <c r="E48" s="20">
        <f>SUMIFS(明細對照!$F$2:$F$610,明細對照!$A$2:$A$610,"子板塊",明細對照!$B$2:$B$610,$B48)</f>
        <v>4033.7529999999997</v>
      </c>
      <c r="F48" s="21">
        <f>IF(N(D48)=0,"",E48/D48)</f>
        <v>0.07301531532999186</v>
      </c>
      <c r="G48" s="17">
        <f>COUNTIFS(明細對照!$A$2:$A$610,"子板塊",明細對照!$B$2:$B$610,$B48,明細對照!$F$2:$F$610,"&gt;0")</f>
        <v>5.0</v>
      </c>
      <c r="H48" s="17">
        <f>COUNTIFS(明細對照!$A$2:$A$610,"子板塊",明細對照!$B$2:$B$610,$B48)-COUNTIFS(明細對照!$A$2:$A$610,"子板塊",明細對照!$B$2:$B$610,$B48,明細對照!$D$2:$D$610,"USD")</f>
        <v>0.0</v>
      </c>
      <c r="I48" s="22" t="n">
        <v>0.05</v>
      </c>
      <c r="J48" s="23" t="inlineStr">
        <is>
          <t>UPS、FDX、ODFL、JBHT、XPO</t>
        </is>
      </c>
    </row>
    <row r="49">
      <c r="A49" s="17" t="n">
        <v>48</v>
      </c>
      <c r="B49" s="18" t="inlineStr">
        <is>
          <t>資產管理</t>
        </is>
      </c>
      <c r="C49" s="17" t="n">
        <v>4</v>
      </c>
      <c r="D49" s="19">
        <f>SUMIFS(明細對照!$E$2:$E$610,明細對照!$A$2:$A$610,"子板塊",明細對照!$B$2:$B$610,$B49)</f>
        <v>11927.0</v>
      </c>
      <c r="E49" s="20">
        <f>SUMIFS(明細對照!$F$2:$F$610,明細對照!$A$2:$A$610,"子板塊",明細對照!$B$2:$B$610,$B49)</f>
        <v>3608.9</v>
      </c>
      <c r="F49" s="21">
        <f>IF(N(D49)=0,"",E49/D49)</f>
        <v>0.3025823761214052</v>
      </c>
      <c r="G49" s="17">
        <f>COUNTIFS(明細對照!$A$2:$A$610,"子板塊",明細對照!$B$2:$B$610,$B49,明細對照!$F$2:$F$610,"&gt;0")</f>
        <v>4.0</v>
      </c>
      <c r="H49" s="17">
        <f>COUNTIFS(明細對照!$A$2:$A$610,"子板塊",明細對照!$B$2:$B$610,$B49)-COUNTIFS(明細對照!$A$2:$A$610,"子板塊",明細對照!$B$2:$B$610,$B49,明細對照!$D$2:$D$610,"USD")</f>
        <v>0.0</v>
      </c>
      <c r="I49" s="22" t="n">
        <v>0.04</v>
      </c>
      <c r="J49" s="23" t="inlineStr">
        <is>
          <t>BLK、TROW、BEN、AMG</t>
        </is>
      </c>
    </row>
    <row r="50">
      <c r="A50" s="17" t="n">
        <v>49</v>
      </c>
      <c r="B50" s="18" t="inlineStr">
        <is>
          <t>診斷與生命科學工具</t>
        </is>
      </c>
      <c r="C50" s="17" t="n">
        <v>4</v>
      </c>
      <c r="D50" s="19">
        <f>SUMIFS(明細對照!$E$2:$E$610,明細對照!$A$2:$A$610,"子板塊",明細對照!$B$2:$B$610,$B50)</f>
        <v>20137.0</v>
      </c>
      <c r="E50" s="20">
        <f>SUMIFS(明細對照!$F$2:$F$610,明細對照!$A$2:$A$610,"子板塊",明細對照!$B$2:$B$610,$B50)</f>
        <v>3756.0</v>
      </c>
      <c r="F50" s="21">
        <f>IF(N(D50)=0,"",E50/D50)</f>
        <v>0.18652232209365843</v>
      </c>
      <c r="G50" s="17">
        <f>COUNTIFS(明細對照!$A$2:$A$610,"子板塊",明細對照!$B$2:$B$610,$B50,明細對照!$F$2:$F$610,"&gt;0")</f>
        <v>3.0</v>
      </c>
      <c r="H50" s="17">
        <f>COUNTIFS(明細對照!$A$2:$A$610,"子板塊",明細對照!$B$2:$B$610,$B50)-COUNTIFS(明細對照!$A$2:$A$610,"子板塊",明細對照!$B$2:$B$610,$B50,明細對照!$D$2:$D$610,"USD")</f>
        <v>0.0</v>
      </c>
      <c r="I50" s="22" t="n">
        <v>0.04</v>
      </c>
      <c r="J50" s="23" t="inlineStr">
        <is>
          <t>TMO、DHR、A、ILMN</t>
        </is>
      </c>
    </row>
    <row r="51">
      <c r="A51" s="17" t="n">
        <v>50</v>
      </c>
      <c r="B51" s="18" t="inlineStr">
        <is>
          <t>工業與物流REIT</t>
        </is>
      </c>
      <c r="C51" s="17" t="n">
        <v>4</v>
      </c>
      <c r="D51" s="19">
        <f>SUMIFS(明細對照!$E$2:$E$610,明細對照!$A$2:$A$610,"子板塊",明細對照!$B$2:$B$610,$B51)</f>
        <v>3038.0920000000006</v>
      </c>
      <c r="E51" s="20">
        <f>SUMIFS(明細對照!$F$2:$F$610,明細對照!$A$2:$A$610,"子板塊",明細對照!$B$2:$B$610,$B51)</f>
        <v>1209.9470000000001</v>
      </c>
      <c r="F51" s="21">
        <f>IF(N(D51)=0,"",E51/D51)</f>
        <v>0.39825884140440776</v>
      </c>
      <c r="G51" s="17">
        <f>COUNTIFS(明細對照!$A$2:$A$610,"子板塊",明細對照!$B$2:$B$610,$B51,明細對照!$F$2:$F$610,"&gt;0")</f>
        <v>4.0</v>
      </c>
      <c r="H51" s="17">
        <f>COUNTIFS(明細對照!$A$2:$A$610,"子板塊",明細對照!$B$2:$B$610,$B51)-COUNTIFS(明細對照!$A$2:$A$610,"子板塊",明細對照!$B$2:$B$610,$B51,明細對照!$D$2:$D$610,"USD")</f>
        <v>0.0</v>
      </c>
      <c r="I51" s="22" t="n">
        <v>0.03</v>
      </c>
      <c r="J51" s="23" t="inlineStr">
        <is>
          <t>PLD、EGP、FR、STAG</t>
        </is>
      </c>
    </row>
    <row r="52">
      <c r="A52" s="17" t="n">
        <v>51</v>
      </c>
      <c r="B52" s="18" t="inlineStr">
        <is>
          <t>黃金與貴金屬礦</t>
        </is>
      </c>
      <c r="C52" s="17" t="n">
        <v>6</v>
      </c>
      <c r="D52" s="19">
        <f>SUMIFS(明細對照!$E$2:$E$610,明細對照!$A$2:$A$610,"子板塊",明細對照!$B$2:$B$610,$B52)</f>
        <v>26064.185999999998</v>
      </c>
      <c r="E52" s="20">
        <f>SUMIFS(明細對照!$F$2:$F$610,明細對照!$A$2:$A$610,"子板塊",明細對照!$B$2:$B$610,$B52)</f>
        <v>8560.938</v>
      </c>
      <c r="F52" s="21">
        <f>IF(N(D52)=0,"",E52/D52)</f>
        <v>0.3284559893794497</v>
      </c>
      <c r="G52" s="17">
        <f>COUNTIFS(明細對照!$A$2:$A$610,"子板塊",明細對照!$B$2:$B$610,$B52,明細對照!$F$2:$F$610,"&gt;0")</f>
        <v>6.0</v>
      </c>
      <c r="H52" s="17">
        <f>COUNTIFS(明細對照!$A$2:$A$610,"子板塊",明細對照!$B$2:$B$610,$B52)-COUNTIFS(明細對照!$A$2:$A$610,"子板塊",明細對照!$B$2:$B$610,$B52,明細對照!$D$2:$D$610,"USD")</f>
        <v>0.0</v>
      </c>
      <c r="I52" s="22" t="n">
        <v>0.02</v>
      </c>
      <c r="J52" s="23" t="inlineStr">
        <is>
          <t>NEM、GOLD、AEM、AU、KGC、RGLD</t>
        </is>
      </c>
    </row>
    <row r="53">
      <c r="A53" s="17" t="n">
        <v>52</v>
      </c>
      <c r="B53" s="18" t="inlineStr">
        <is>
          <t>專門零售</t>
        </is>
      </c>
      <c r="C53" s="17" t="n">
        <v>5</v>
      </c>
      <c r="D53" s="19">
        <f>SUMIFS(明細對照!$E$2:$E$610,明細對照!$A$2:$A$610,"子板塊",明細對照!$B$2:$B$610,$B53)</f>
        <v>95261.886</v>
      </c>
      <c r="E53" s="20">
        <f>SUMIFS(明細對照!$F$2:$F$610,明細對照!$A$2:$A$610,"子板塊",明細對照!$B$2:$B$610,$B53)</f>
        <v>13478.618</v>
      </c>
      <c r="F53" s="21">
        <f>IF(N(D53)=0,"",E53/D53)</f>
        <v>0.14149014433747406</v>
      </c>
      <c r="G53" s="17">
        <f>COUNTIFS(明細對照!$A$2:$A$610,"子板塊",明細對照!$B$2:$B$610,$B53,明細對照!$F$2:$F$610,"&gt;0")</f>
        <v>4.0</v>
      </c>
      <c r="H53" s="17">
        <f>COUNTIFS(明細對照!$A$2:$A$610,"子板塊",明細對照!$B$2:$B$610,$B53)-COUNTIFS(明細對照!$A$2:$A$610,"子板塊",明細對照!$B$2:$B$610,$B53,明細對照!$D$2:$D$610,"USD")</f>
        <v>0.0</v>
      </c>
      <c r="I53" s="22" t="n">
        <v>0.01</v>
      </c>
      <c r="J53" s="23" t="inlineStr">
        <is>
          <t>HD、LOW、TJX、ROST、BBY</t>
        </is>
      </c>
    </row>
    <row r="54">
      <c r="A54" s="17" t="n">
        <v>53</v>
      </c>
      <c r="B54" s="18" t="inlineStr">
        <is>
          <t>互動遊戲</t>
        </is>
      </c>
      <c r="C54" s="17" t="n">
        <v>3</v>
      </c>
      <c r="D54" s="19">
        <f>SUMIFS(明細對照!$E$2:$E$610,明細對照!$A$2:$A$610,"子板塊",明細對照!$B$2:$B$610,$B54)</f>
        <v>3734.0</v>
      </c>
      <c r="E54" s="20">
        <f>SUMIFS(明細對照!$F$2:$F$610,明細對照!$A$2:$A$610,"子板塊",明細對照!$B$2:$B$610,$B54)</f>
        <v>-129.4</v>
      </c>
      <c r="F54" s="21">
        <f>IF(N(D54)=0,"",E54/D54)</f>
        <v>-0.03465452597750402</v>
      </c>
      <c r="G54" s="17">
        <f>COUNTIFS(明細對照!$A$2:$A$610,"子板塊",明細對照!$B$2:$B$610,$B54,明細對照!$F$2:$F$610,"&gt;0")</f>
        <v>1.0</v>
      </c>
      <c r="H54" s="17">
        <f>COUNTIFS(明細對照!$A$2:$A$610,"子板塊",明細對照!$B$2:$B$610,$B54)-COUNTIFS(明細對照!$A$2:$A$610,"子板塊",明細對照!$B$2:$B$610,$B54,明細對照!$D$2:$D$610,"USD")</f>
        <v>0.0</v>
      </c>
      <c r="I54" s="22" t="n">
        <v>-0</v>
      </c>
      <c r="J54" s="23" t="inlineStr">
        <is>
          <t>TTWO、RBLX、PLTK</t>
        </is>
      </c>
    </row>
    <row r="55">
      <c r="A55" s="17" t="n">
        <v>54</v>
      </c>
      <c r="B55" s="18" t="inlineStr">
        <is>
          <t>白銀礦</t>
        </is>
      </c>
      <c r="C55" s="17" t="n">
        <v>4</v>
      </c>
      <c r="D55" s="19">
        <f>SUMIFS(明細對照!$E$2:$E$610,明細對照!$A$2:$A$610,"子板塊",明細對照!$B$2:$B$610,$B55)</f>
        <v>2623.831</v>
      </c>
      <c r="E55" s="20">
        <f>SUMIFS(明細對照!$F$2:$F$610,明細對照!$A$2:$A$610,"子板塊",明細對照!$B$2:$B$610,$B55)</f>
        <v>842.559</v>
      </c>
      <c r="F55" s="21">
        <f>IF(N(D55)=0,"",E55/D55)</f>
        <v>0.32111786163056993</v>
      </c>
      <c r="G55" s="17">
        <f>COUNTIFS(明細對照!$A$2:$A$610,"子板塊",明細對照!$B$2:$B$610,$B55,明細對照!$F$2:$F$610,"&gt;0")</f>
        <v>3.0</v>
      </c>
      <c r="H55" s="17">
        <f>COUNTIFS(明細對照!$A$2:$A$610,"子板塊",明細對照!$B$2:$B$610,$B55)-COUNTIFS(明細對照!$A$2:$A$610,"子板塊",明細對照!$B$2:$B$610,$B55,明細對照!$D$2:$D$610,"USD")</f>
        <v>0.0</v>
      </c>
      <c r="I55" s="22" t="n">
        <v>-0.01</v>
      </c>
      <c r="J55" s="23" t="inlineStr">
        <is>
          <t>PAAS、HL、AG、CDE</t>
        </is>
      </c>
    </row>
    <row r="56">
      <c r="A56" s="17" t="n">
        <v>55</v>
      </c>
      <c r="B56" s="18" t="inlineStr">
        <is>
          <t>消費金融與BNPL</t>
        </is>
      </c>
      <c r="C56" s="17" t="n">
        <v>5</v>
      </c>
      <c r="D56" s="19">
        <f>SUMIFS(明細對照!$E$2:$E$610,明細對照!$A$2:$A$610,"子板塊",明細對照!$B$2:$B$610,$B56)</f>
        <v>41589.637</v>
      </c>
      <c r="E56" s="20">
        <f>SUMIFS(明細對照!$F$2:$F$610,明細對照!$A$2:$A$610,"子板塊",明細對照!$B$2:$B$610,$B56)</f>
        <v>265.772</v>
      </c>
      <c r="F56" s="21">
        <f>IF(N(D56)=0,"",E56/D56)</f>
        <v>0.006390341901757882</v>
      </c>
      <c r="G56" s="17">
        <f>COUNTIFS(明細對照!$A$2:$A$610,"子板塊",明細對照!$B$2:$B$610,$B56,明細對照!$F$2:$F$610,"&gt;0")</f>
        <v>1.0</v>
      </c>
      <c r="H56" s="17">
        <f>COUNTIFS(明細對照!$A$2:$A$610,"子板塊",明細對照!$B$2:$B$610,$B56)-COUNTIFS(明細對照!$A$2:$A$610,"子板塊",明細對照!$B$2:$B$610,$B56,明細對照!$D$2:$D$610,"USD")</f>
        <v>0.0</v>
      </c>
      <c r="I56" s="22" t="n">
        <v>-0.02</v>
      </c>
      <c r="J56" s="23" t="inlineStr">
        <is>
          <t>AXP、COF、SYF、SOFI、AFRM</t>
        </is>
      </c>
    </row>
    <row r="57">
      <c r="A57" s="17" t="n">
        <v>56</v>
      </c>
      <c r="B57" s="18" t="inlineStr">
        <is>
          <t>基因治療與基因編輯</t>
        </is>
      </c>
      <c r="C57" s="17" t="n">
        <v>3</v>
      </c>
      <c r="D57" s="19">
        <f>SUMIFS(明細對照!$E$2:$E$610,明細對照!$A$2:$A$610,"子板塊",明細對照!$B$2:$B$610,$B57)</f>
        <v>18.148999999999997</v>
      </c>
      <c r="E57" s="20">
        <f>SUMIFS(明細對照!$F$2:$F$610,明細對照!$A$2:$A$610,"子板塊",明細對照!$B$2:$B$610,$B57)</f>
        <v>-356.582</v>
      </c>
      <c r="F57" s="21">
        <f>IF(N(D57)=0,"",E57/D57)</f>
        <v>-19.64747369001047</v>
      </c>
      <c r="G57" s="17">
        <f>COUNTIFS(明細對照!$A$2:$A$610,"子板塊",明細對照!$B$2:$B$610,$B57,明細對照!$F$2:$F$610,"&gt;0")</f>
        <v>0.0</v>
      </c>
      <c r="H57" s="17">
        <f>COUNTIFS(明細對照!$A$2:$A$610,"子板塊",明細對照!$B$2:$B$610,$B57)-COUNTIFS(明細對照!$A$2:$A$610,"子板塊",明細對照!$B$2:$B$610,$B57,明細對照!$D$2:$D$610,"USD")</f>
        <v>0.0</v>
      </c>
      <c r="I57" s="22" t="n">
        <v>-0.04</v>
      </c>
      <c r="J57" s="23" t="inlineStr">
        <is>
          <t>CRSP、NTLA、BEAM</t>
        </is>
      </c>
    </row>
    <row r="58">
      <c r="A58" s="17" t="n">
        <v>57</v>
      </c>
      <c r="B58" s="18" t="inlineStr">
        <is>
          <t>大型藥廠</t>
        </is>
      </c>
      <c r="C58" s="17" t="n">
        <v>6</v>
      </c>
      <c r="D58" s="19">
        <f>SUMIFS(明細對照!$E$2:$E$610,明細對照!$A$2:$A$610,"子板塊",明細對照!$B$2:$B$610,$B58)</f>
        <v>109888.0</v>
      </c>
      <c r="E58" s="20">
        <f>SUMIFS(明細對照!$F$2:$F$610,明細對照!$A$2:$A$610,"子板塊",明細對照!$B$2:$B$610,$B58)</f>
        <v>33483.0</v>
      </c>
      <c r="F58" s="21">
        <f>IF(N(D58)=0,"",E58/D58)</f>
        <v>0.30470115026208505</v>
      </c>
      <c r="G58" s="17">
        <f>COUNTIFS(明細對照!$A$2:$A$610,"子板塊",明細對照!$B$2:$B$610,$B58,明細對照!$F$2:$F$610,"&gt;0")</f>
        <v>5.0</v>
      </c>
      <c r="H58" s="17">
        <f>COUNTIFS(明細對照!$A$2:$A$610,"子板塊",明細對照!$B$2:$B$610,$B58)-COUNTIFS(明細對照!$A$2:$A$610,"子板塊",明細對照!$B$2:$B$610,$B58,明細對照!$D$2:$D$610,"USD")</f>
        <v>0.0</v>
      </c>
      <c r="I58" s="22" t="n">
        <v>-0.04</v>
      </c>
      <c r="J58" s="23" t="inlineStr">
        <is>
          <t>LLY、JNJ、PFE、MRK、ABBV、BMY</t>
        </is>
      </c>
    </row>
    <row r="59">
      <c r="A59" s="17" t="n">
        <v>58</v>
      </c>
      <c r="B59" s="18" t="inlineStr">
        <is>
          <t>臨床期中小型生技</t>
        </is>
      </c>
      <c r="C59" s="17" t="n">
        <v>7</v>
      </c>
      <c r="D59" s="19">
        <f>SUMIFS(明細對照!$E$2:$E$610,明細對照!$A$2:$A$610,"子板塊",明細對照!$B$2:$B$610,$B59)</f>
        <v>639.125</v>
      </c>
      <c r="E59" s="20">
        <f>SUMIFS(明細對照!$F$2:$F$610,明細對照!$A$2:$A$610,"子板塊",明細對照!$B$2:$B$610,$B59)</f>
        <v>-530.7170000000001</v>
      </c>
      <c r="F59" s="21">
        <f>IF(N(D59)=0,"",E59/D59)</f>
        <v>-0.830380598474477</v>
      </c>
      <c r="G59" s="17">
        <f>COUNTIFS(明細對照!$A$2:$A$610,"子板塊",明細對照!$B$2:$B$610,$B59,明細對照!$F$2:$F$610,"&gt;0")</f>
        <v>0.0</v>
      </c>
      <c r="H59" s="17">
        <f>COUNTIFS(明細對照!$A$2:$A$610,"子板塊",明細對照!$B$2:$B$610,$B59)-COUNTIFS(明細對照!$A$2:$A$610,"子板塊",明細對照!$B$2:$B$610,$B59,明細對照!$D$2:$D$610,"USD")</f>
        <v>0.0</v>
      </c>
      <c r="I59" s="22" t="n">
        <v>-0.04</v>
      </c>
      <c r="J59" s="23" t="inlineStr">
        <is>
          <t>DNLI、ALEC、SANA、VKTX、MDGL、IONS、DTIL</t>
        </is>
      </c>
    </row>
    <row r="60">
      <c r="A60" s="17" t="n">
        <v>59</v>
      </c>
      <c r="B60" s="18" t="inlineStr">
        <is>
          <t>太空與衛星</t>
        </is>
      </c>
      <c r="C60" s="17" t="n">
        <v>5</v>
      </c>
      <c r="D60" s="19">
        <f>SUMIFS(明細對照!$E$2:$E$610,明細對照!$A$2:$A$610,"子板塊",明細對照!$B$2:$B$610,$B60)</f>
        <v>702.124</v>
      </c>
      <c r="E60" s="20">
        <f>SUMIFS(明細對照!$F$2:$F$610,明細對照!$A$2:$A$610,"子板塊",明細對照!$B$2:$B$610,$B60)</f>
        <v>-311.90400000000005</v>
      </c>
      <c r="F60" s="21">
        <f>IF(N(D60)=0,"",E60/D60)</f>
        <v>-0.44422922446747304</v>
      </c>
      <c r="G60" s="17">
        <f>COUNTIFS(明細對照!$A$2:$A$610,"子板塊",明細對照!$B$2:$B$610,$B60,明細對照!$F$2:$F$610,"&gt;0")</f>
        <v>0.0</v>
      </c>
      <c r="H60" s="17">
        <f>COUNTIFS(明細對照!$A$2:$A$610,"子板塊",明細對照!$B$2:$B$610,$B60)-COUNTIFS(明細對照!$A$2:$A$610,"子板塊",明細對照!$B$2:$B$610,$B60,明細對照!$D$2:$D$610,"USD")</f>
        <v>0.0</v>
      </c>
      <c r="I60" s="22" t="n">
        <v>-0.04</v>
      </c>
      <c r="J60" s="23" t="inlineStr">
        <is>
          <t>RKLB、ASTS、LUNR、PL、RDW</t>
        </is>
      </c>
    </row>
    <row r="61">
      <c r="A61" s="17" t="n">
        <v>60</v>
      </c>
      <c r="B61" s="18" t="inlineStr">
        <is>
          <t>大賣場與超巿</t>
        </is>
      </c>
      <c r="C61" s="17" t="n">
        <v>5</v>
      </c>
      <c r="D61" s="19">
        <f>SUMIFS(明細對照!$E$2:$E$610,明細對照!$A$2:$A$610,"子板塊",明細對照!$B$2:$B$610,$B61)</f>
        <v>335753.179</v>
      </c>
      <c r="E61" s="20">
        <f>SUMIFS(明細對照!$F$2:$F$610,明細對照!$A$2:$A$610,"子板塊",明細對照!$B$2:$B$610,$B61)</f>
        <v>14122.693</v>
      </c>
      <c r="F61" s="21">
        <f>IF(N(D61)=0,"",E61/D61)</f>
        <v>0.042062723105296344</v>
      </c>
      <c r="G61" s="17">
        <f>COUNTIFS(明細對照!$A$2:$A$610,"子板塊",明細對照!$B$2:$B$610,$B61,明細對照!$F$2:$F$610,"&gt;0")</f>
        <v>5.0</v>
      </c>
      <c r="H61" s="17">
        <f>COUNTIFS(明細對照!$A$2:$A$610,"子板塊",明細對照!$B$2:$B$610,$B61)-COUNTIFS(明細對照!$A$2:$A$610,"子板塊",明細對照!$B$2:$B$610,$B61,明細對照!$D$2:$D$610,"USD")</f>
        <v>0.0</v>
      </c>
      <c r="I61" s="22" t="n">
        <v>-0.05</v>
      </c>
      <c r="J61" s="23" t="inlineStr">
        <is>
          <t>WMT、COST、KR、BJ、ACI</t>
        </is>
      </c>
    </row>
    <row r="62">
      <c r="A62" s="17" t="n">
        <v>61</v>
      </c>
      <c r="B62" s="18" t="inlineStr">
        <is>
          <t>交易所與金融數據</t>
        </is>
      </c>
      <c r="C62" s="17" t="n">
        <v>5</v>
      </c>
      <c r="D62" s="19">
        <f>SUMIFS(明細對照!$E$2:$E$610,明細對照!$A$2:$A$610,"子板塊",明細對照!$B$2:$B$610,$B62)</f>
        <v>13438.0</v>
      </c>
      <c r="E62" s="20">
        <f>SUMIFS(明細對照!$F$2:$F$610,明細對照!$A$2:$A$610,"子板塊",明細對照!$B$2:$B$610,$B62)</f>
        <v>5518.1</v>
      </c>
      <c r="F62" s="21">
        <f>IF(N(D62)=0,"",E62/D62)</f>
        <v>0.41063402292007745</v>
      </c>
      <c r="G62" s="17">
        <f>COUNTIFS(明細對照!$A$2:$A$610,"子板塊",明細對照!$B$2:$B$610,$B62,明細對照!$F$2:$F$610,"&gt;0")</f>
        <v>5.0</v>
      </c>
      <c r="H62" s="17">
        <f>COUNTIFS(明細對照!$A$2:$A$610,"子板塊",明細對照!$B$2:$B$610,$B62)-COUNTIFS(明細對照!$A$2:$A$610,"子板塊",明細對照!$B$2:$B$610,$B62,明細對照!$D$2:$D$610,"USD")</f>
        <v>0.0</v>
      </c>
      <c r="I62" s="22" t="n">
        <v>-0.05</v>
      </c>
      <c r="J62" s="23" t="inlineStr">
        <is>
          <t>CME、ICE、NDAQ、CBOE、SPGI</t>
        </is>
      </c>
    </row>
    <row r="63">
      <c r="A63" s="17" t="n">
        <v>62</v>
      </c>
      <c r="B63" s="18" t="inlineStr">
        <is>
          <t>家庭與個人護理</t>
        </is>
      </c>
      <c r="C63" s="17" t="n">
        <v>5</v>
      </c>
      <c r="D63" s="19">
        <f>SUMIFS(明細對照!$E$2:$E$610,明細對照!$A$2:$A$610,"子板塊",明細對照!$B$2:$B$610,$B63)</f>
        <v>34381.0</v>
      </c>
      <c r="E63" s="20">
        <f>SUMIFS(明細對照!$F$2:$F$610,明細對照!$A$2:$A$610,"子板塊",明細對照!$B$2:$B$610,$B63)</f>
        <v>5853.0</v>
      </c>
      <c r="F63" s="21">
        <f>IF(N(D63)=0,"",E63/D63)</f>
        <v>0.17023937639975567</v>
      </c>
      <c r="G63" s="17">
        <f>COUNTIFS(明細對照!$A$2:$A$610,"子板塊",明細對照!$B$2:$B$610,$B63,明細對照!$F$2:$F$610,"&gt;0")</f>
        <v>4.0</v>
      </c>
      <c r="H63" s="17">
        <f>COUNTIFS(明細對照!$A$2:$A$610,"子板塊",明細對照!$B$2:$B$610,$B63)-COUNTIFS(明細對照!$A$2:$A$610,"子板塊",明細對照!$B$2:$B$610,$B63,明細對照!$D$2:$D$610,"USD")</f>
        <v>0.0</v>
      </c>
      <c r="I63" s="22" t="n">
        <v>-0.06</v>
      </c>
      <c r="J63" s="23" t="inlineStr">
        <is>
          <t>PG、CL、KMB、CHD、EL</t>
        </is>
      </c>
    </row>
    <row r="64">
      <c r="A64" s="17" t="n">
        <v>63</v>
      </c>
      <c r="B64" s="18" t="inlineStr">
        <is>
          <t>IT服務與系統整合</t>
        </is>
      </c>
      <c r="C64" s="17" t="n">
        <v>5</v>
      </c>
      <c r="D64" s="19">
        <f>SUMIFS(明細對照!$E$2:$E$610,明細對照!$A$2:$A$610,"子板塊",明細對照!$B$2:$B$610,$B64)</f>
        <v>47857.911</v>
      </c>
      <c r="E64" s="20">
        <f>SUMIFS(明細對照!$F$2:$F$610,明細對照!$A$2:$A$610,"子板塊",明細對照!$B$2:$B$610,$B64)</f>
        <v>8202.52</v>
      </c>
      <c r="F64" s="21">
        <f>IF(N(D64)=0,"",E64/D64)</f>
        <v>0.17139318930991368</v>
      </c>
      <c r="G64" s="17">
        <f>COUNTIFS(明細對照!$A$2:$A$610,"子板塊",明細對照!$B$2:$B$610,$B64,明細對照!$F$2:$F$610,"&gt;0")</f>
        <v>5.0</v>
      </c>
      <c r="H64" s="17">
        <f>COUNTIFS(明細對照!$A$2:$A$610,"子板塊",明細對照!$B$2:$B$610,$B64)-COUNTIFS(明細對照!$A$2:$A$610,"子板塊",明細對照!$B$2:$B$610,$B64,明細對照!$D$2:$D$610,"USD")</f>
        <v>0.0</v>
      </c>
      <c r="I64" s="22" t="n">
        <v>-0.07000000000000001</v>
      </c>
      <c r="J64" s="23" t="inlineStr">
        <is>
          <t>ACN、IBM、INFY、CTSH、EPAM</t>
        </is>
      </c>
    </row>
    <row r="65">
      <c r="A65" s="17" t="n">
        <v>64</v>
      </c>
      <c r="B65" s="18" t="inlineStr">
        <is>
          <t>海上鑽井與設備</t>
        </is>
      </c>
      <c r="C65" s="17" t="n">
        <v>4</v>
      </c>
      <c r="D65" s="19">
        <f>SUMIFS(明細對照!$E$2:$E$610,明細對照!$A$2:$A$610,"子板塊",明細對照!$B$2:$B$610,$B65)</f>
        <v>2567.1749999999997</v>
      </c>
      <c r="E65" s="20">
        <f>SUMIFS(明細對照!$F$2:$F$610,明細對照!$A$2:$A$610,"子板塊",明細對照!$B$2:$B$610,$B65)</f>
        <v>337.85699999999997</v>
      </c>
      <c r="F65" s="21">
        <f>IF(N(D65)=0,"",E65/D65)</f>
        <v>0.13160653247246487</v>
      </c>
      <c r="G65" s="17">
        <f>COUNTIFS(明細對照!$A$2:$A$610,"子板塊",明細對照!$B$2:$B$610,$B65,明細對照!$F$2:$F$610,"&gt;0")</f>
        <v>4.0</v>
      </c>
      <c r="H65" s="17">
        <f>COUNTIFS(明細對照!$A$2:$A$610,"子板塊",明細對照!$B$2:$B$610,$B65)-COUNTIFS(明細對照!$A$2:$A$610,"子板塊",明細對照!$B$2:$B$610,$B65,明細對照!$D$2:$D$610,"USD")</f>
        <v>0.0</v>
      </c>
      <c r="I65" s="22" t="n">
        <v>-0.08</v>
      </c>
      <c r="J65" s="23" t="inlineStr">
        <is>
          <t>RIG、VAL、NE、TDW</t>
        </is>
      </c>
    </row>
    <row r="66">
      <c r="A66" s="17" t="n">
        <v>65</v>
      </c>
      <c r="B66" s="18" t="inlineStr">
        <is>
          <t>電動車與新能源車</t>
        </is>
      </c>
      <c r="C66" s="17" t="n">
        <v>3</v>
      </c>
      <c r="D66" s="19">
        <f>SUMIFS(明細對照!$E$2:$E$610,明細對照!$A$2:$A$610,"子板塊",明細對照!$B$2:$B$610,$B66)</f>
        <v>30299.347</v>
      </c>
      <c r="E66" s="20">
        <f>SUMIFS(明細對照!$F$2:$F$610,明細對照!$A$2:$A$610,"子板塊",明細對照!$B$2:$B$610,$B66)</f>
        <v>-1486.493</v>
      </c>
      <c r="F66" s="21">
        <f>IF(N(D66)=0,"",E66/D66)</f>
        <v>-0.04906023222216637</v>
      </c>
      <c r="G66" s="17">
        <f>COUNTIFS(明細對照!$A$2:$A$610,"子板塊",明細對照!$B$2:$B$610,$B66,明細對照!$F$2:$F$610,"&gt;0")</f>
        <v>1.0</v>
      </c>
      <c r="H66" s="17">
        <f>COUNTIFS(明細對照!$A$2:$A$610,"子板塊",明細對照!$B$2:$B$610,$B66)-COUNTIFS(明細對照!$A$2:$A$610,"子板塊",明細對照!$B$2:$B$610,$B66,明細對照!$D$2:$D$610,"USD")</f>
        <v>0.0</v>
      </c>
      <c r="I66" s="22" t="n">
        <v>-0.08</v>
      </c>
      <c r="J66" s="23" t="inlineStr">
        <is>
          <t>TSLA、RIVN、LCID</t>
        </is>
      </c>
    </row>
    <row r="67">
      <c r="A67" s="17" t="n">
        <v>66</v>
      </c>
      <c r="B67" s="18" t="inlineStr">
        <is>
          <t>綜合油氣巨頭</t>
        </is>
      </c>
      <c r="C67" s="17" t="n">
        <v>2</v>
      </c>
      <c r="D67" s="19">
        <f>SUMIFS(明細對照!$E$2:$E$610,明細對照!$A$2:$A$610,"子板塊",明細對照!$B$2:$B$610,$B67)</f>
        <v>181728.0</v>
      </c>
      <c r="E67" s="20">
        <f>SUMIFS(明細對照!$F$2:$F$610,明細對照!$A$2:$A$610,"子板塊",明細對照!$B$2:$B$610,$B67)</f>
        <v>32471.0</v>
      </c>
      <c r="F67" s="21">
        <f>IF(N(D67)=0,"",E67/D67)</f>
        <v>0.17867912484592358</v>
      </c>
      <c r="G67" s="17">
        <f>COUNTIFS(明細對照!$A$2:$A$610,"子板塊",明細對照!$B$2:$B$610,$B67,明細對照!$F$2:$F$610,"&gt;0")</f>
        <v>2.0</v>
      </c>
      <c r="H67" s="17">
        <f>COUNTIFS(明細對照!$A$2:$A$610,"子板塊",明細對照!$B$2:$B$610,$B67)-COUNTIFS(明細對照!$A$2:$A$610,"子板塊",明細對照!$B$2:$B$610,$B67,明細對照!$D$2:$D$610,"USD")</f>
        <v>0.0</v>
      </c>
      <c r="I67" s="22" t="n">
        <v>-0.08</v>
      </c>
      <c r="J67" s="23" t="inlineStr">
        <is>
          <t>XOM、CVX</t>
        </is>
      </c>
    </row>
    <row r="68">
      <c r="A68" s="17" t="n">
        <v>67</v>
      </c>
      <c r="B68" s="18" t="inlineStr">
        <is>
          <t>雲端基建/IaaS/Neocloud</t>
        </is>
      </c>
      <c r="C68" s="17" t="n">
        <v>5</v>
      </c>
      <c r="D68" s="19">
        <f>SUMIFS(明細對照!$E$2:$E$610,明細對照!$A$2:$A$610,"子板塊",明細對照!$B$2:$B$610,$B68)</f>
        <v>212960.3</v>
      </c>
      <c r="E68" s="20">
        <f>SUMIFS(明細對照!$F$2:$F$610,明細對照!$A$2:$A$610,"子板塊",明細對照!$B$2:$B$610,$B68)</f>
        <v>81148.1</v>
      </c>
      <c r="F68" s="21">
        <f>IF(N(D68)=0,"",E68/D68)</f>
        <v>0.3810480169308552</v>
      </c>
      <c r="G68" s="17">
        <f>COUNTIFS(明細對照!$A$2:$A$610,"子板塊",明細對照!$B$2:$B$610,$B68,明細對照!$F$2:$F$610,"&gt;0")</f>
        <v>2.0</v>
      </c>
      <c r="H68" s="17">
        <f>COUNTIFS(明細對照!$A$2:$A$610,"子板塊",明細對照!$B$2:$B$610,$B68)-COUNTIFS(明細對照!$A$2:$A$610,"子板塊",明細對照!$B$2:$B$610,$B68,明細對照!$D$2:$D$610,"USD")</f>
        <v>0.0</v>
      </c>
      <c r="I68" s="22" t="n">
        <v>-0.09</v>
      </c>
      <c r="J68" s="23" t="inlineStr">
        <is>
          <t>MSFT、AMZN、GOOGL、NBIS、CRWV</t>
        </is>
      </c>
    </row>
    <row r="69">
      <c r="A69" s="17" t="n">
        <v>68</v>
      </c>
      <c r="B69" s="18" t="inlineStr">
        <is>
          <t>醫院與醫療服務</t>
        </is>
      </c>
      <c r="C69" s="17" t="n">
        <v>4</v>
      </c>
      <c r="D69" s="19">
        <f>SUMIFS(明細對照!$E$2:$E$610,明細對照!$A$2:$A$610,"子板塊",明細對照!$B$2:$B$610,$B69)</f>
        <v>32506.412</v>
      </c>
      <c r="E69" s="20">
        <f>SUMIFS(明細對照!$F$2:$F$610,明細對照!$A$2:$A$610,"子板塊",明細對照!$B$2:$B$610,$B69)</f>
        <v>5309.075</v>
      </c>
      <c r="F69" s="21">
        <f>IF(N(D69)=0,"",E69/D69)</f>
        <v>0.1633239312908481</v>
      </c>
      <c r="G69" s="17">
        <f>COUNTIFS(明細對照!$A$2:$A$610,"子板塊",明細對照!$B$2:$B$610,$B69,明細對照!$F$2:$F$610,"&gt;0")</f>
        <v>4.0</v>
      </c>
      <c r="H69" s="17">
        <f>COUNTIFS(明細對照!$A$2:$A$610,"子板塊",明細對照!$B$2:$B$610,$B69)-COUNTIFS(明細對照!$A$2:$A$610,"子板塊",明細對照!$B$2:$B$610,$B69,明細對照!$D$2:$D$610,"USD")</f>
        <v>0.0</v>
      </c>
      <c r="I69" s="22" t="n">
        <v>-0.11</v>
      </c>
      <c r="J69" s="23" t="inlineStr">
        <is>
          <t>HCA、THC、UHS、EHC</t>
        </is>
      </c>
    </row>
    <row r="70">
      <c r="A70" s="17" t="n">
        <v>69</v>
      </c>
      <c r="B70" s="18" t="inlineStr">
        <is>
          <t>通訊塔REIT</t>
        </is>
      </c>
      <c r="C70" s="17" t="n">
        <v>3</v>
      </c>
      <c r="D70" s="19">
        <f>SUMIFS(明細對照!$E$2:$E$610,明細對照!$A$2:$A$610,"子板塊",明細對照!$B$2:$B$610,$B70)</f>
        <v>4472.374</v>
      </c>
      <c r="E70" s="20">
        <f>SUMIFS(明細對照!$F$2:$F$610,明細對照!$A$2:$A$610,"子板塊",明細對照!$B$2:$B$610,$B70)</f>
        <v>2121.153</v>
      </c>
      <c r="F70" s="21">
        <f>IF(N(D70)=0,"",E70/D70)</f>
        <v>0.4742789847181832</v>
      </c>
      <c r="G70" s="17">
        <f>COUNTIFS(明細對照!$A$2:$A$610,"子板塊",明細對照!$B$2:$B$610,$B70,明細對照!$F$2:$F$610,"&gt;0")</f>
        <v>3.0</v>
      </c>
      <c r="H70" s="17">
        <f>COUNTIFS(明細對照!$A$2:$A$610,"子板塊",明細對照!$B$2:$B$610,$B70)-COUNTIFS(明細對照!$A$2:$A$610,"子板塊",明細對照!$B$2:$B$610,$B70,明細對照!$D$2:$D$610,"USD")</f>
        <v>0.0</v>
      </c>
      <c r="I70" s="22" t="n">
        <v>-0.11</v>
      </c>
      <c r="J70" s="23" t="inlineStr">
        <is>
          <t>AMT、CCI、SBAC</t>
        </is>
      </c>
    </row>
    <row r="71">
      <c r="A71" s="17" t="n">
        <v>70</v>
      </c>
      <c r="B71" s="18" t="inlineStr">
        <is>
          <t>鋁業</t>
        </is>
      </c>
      <c r="C71" s="17" t="n">
        <v>3</v>
      </c>
      <c r="D71" s="19">
        <f>SUMIFS(明細對照!$E$2:$E$610,明細對照!$A$2:$A$610,"子板塊",明細對照!$B$2:$B$610,$B71)</f>
        <v>5974.700000000001</v>
      </c>
      <c r="E71" s="20">
        <f>SUMIFS(明細對照!$F$2:$F$610,明細對照!$A$2:$A$610,"子板塊",明細對照!$B$2:$B$610,$B71)</f>
        <v>1059.3</v>
      </c>
      <c r="F71" s="21">
        <f>IF(N(D71)=0,"",E71/D71)</f>
        <v>0.17729760490066443</v>
      </c>
      <c r="G71" s="17">
        <f>COUNTIFS(明細對照!$A$2:$A$610,"子板塊",明細對照!$B$2:$B$610,$B71,明細對照!$F$2:$F$610,"&gt;0")</f>
        <v>3.0</v>
      </c>
      <c r="H71" s="17">
        <f>COUNTIFS(明細對照!$A$2:$A$610,"子板塊",明細對照!$B$2:$B$610,$B71)-COUNTIFS(明細對照!$A$2:$A$610,"子板塊",明細對照!$B$2:$B$610,$B71,明細對照!$D$2:$D$610,"USD")</f>
        <v>0.0</v>
      </c>
      <c r="I71" s="22" t="n">
        <v>-0.14</v>
      </c>
      <c r="J71" s="23" t="inlineStr">
        <is>
          <t>AA、CENX、KALU</t>
        </is>
      </c>
    </row>
    <row r="72">
      <c r="A72" s="17" t="n">
        <v>71</v>
      </c>
      <c r="B72" s="18" t="inlineStr">
        <is>
          <t>包裝與建材</t>
        </is>
      </c>
      <c r="C72" s="17" t="n">
        <v>5</v>
      </c>
      <c r="D72" s="19">
        <f>SUMIFS(明細對照!$E$2:$E$610,明細對照!$A$2:$A$610,"子板塊",明細對照!$B$2:$B$610,$B72)</f>
        <v>23373.7</v>
      </c>
      <c r="E72" s="20">
        <f>SUMIFS(明細對照!$F$2:$F$610,明細對照!$A$2:$A$610,"子板塊",明細對照!$B$2:$B$610,$B72)</f>
        <v>3260.0</v>
      </c>
      <c r="F72" s="21">
        <f>IF(N(D72)=0,"",E72/D72)</f>
        <v>0.139472997428734</v>
      </c>
      <c r="G72" s="17">
        <f>COUNTIFS(明細對照!$A$2:$A$610,"子板塊",明細對照!$B$2:$B$610,$B72,明細對照!$F$2:$F$610,"&gt;0")</f>
        <v>5.0</v>
      </c>
      <c r="H72" s="17">
        <f>COUNTIFS(明細對照!$A$2:$A$610,"子板塊",明細對照!$B$2:$B$610,$B72)-COUNTIFS(明細對照!$A$2:$A$610,"子板塊",明細對照!$B$2:$B$610,$B72,明細對照!$D$2:$D$610,"USD")</f>
        <v>0.0</v>
      </c>
      <c r="I72" s="22" t="n">
        <v>-0.15</v>
      </c>
      <c r="J72" s="23" t="inlineStr">
        <is>
          <t>VMC、MLM、CRH、IP、PKG</t>
        </is>
      </c>
    </row>
    <row r="73">
      <c r="A73" s="17" t="n">
        <v>72</v>
      </c>
      <c r="B73" s="18" t="inlineStr">
        <is>
          <t>有線/寬頻/衛星</t>
        </is>
      </c>
      <c r="C73" s="17" t="n">
        <v>3</v>
      </c>
      <c r="D73" s="19">
        <f>SUMIFS(明細對照!$E$2:$E$610,明細對照!$A$2:$A$610,"子板塊",明細對照!$B$2:$B$610,$B73)</f>
        <v>43497.52</v>
      </c>
      <c r="E73" s="20">
        <f>SUMIFS(明細對照!$F$2:$F$610,明細對照!$A$2:$A$610,"子板塊",明細對照!$B$2:$B$610,$B73)</f>
        <v>8102.334</v>
      </c>
      <c r="F73" s="21">
        <f>IF(N(D73)=0,"",E73/D73)</f>
        <v>0.18627117132195123</v>
      </c>
      <c r="G73" s="17">
        <f>COUNTIFS(明細對照!$A$2:$A$610,"子板塊",明細對照!$B$2:$B$610,$B73,明細對照!$F$2:$F$610,"&gt;0")</f>
        <v>2.0</v>
      </c>
      <c r="H73" s="17">
        <f>COUNTIFS(明細對照!$A$2:$A$610,"子板塊",明細對照!$B$2:$B$610,$B73)-COUNTIFS(明細對照!$A$2:$A$610,"子板塊",明細對照!$B$2:$B$610,$B73,明細對照!$D$2:$D$610,"USD")</f>
        <v>0.0</v>
      </c>
      <c r="I73" s="22" t="n">
        <v>-0.15</v>
      </c>
      <c r="J73" s="23" t="inlineStr">
        <is>
          <t>CMCSA、CHTR、ASTS</t>
        </is>
      </c>
    </row>
    <row r="74">
      <c r="A74" s="17" t="n">
        <v>73</v>
      </c>
      <c r="B74" s="18" t="inlineStr">
        <is>
          <t>光通訊/CPO</t>
        </is>
      </c>
      <c r="C74" s="17" t="n">
        <v>5</v>
      </c>
      <c r="D74" s="19">
        <f>SUMIFS(明細對照!$E$2:$E$610,明細對照!$A$2:$A$610,"子板塊",明細對照!$B$2:$B$610,$B74)</f>
        <v>3681.3279249999996</v>
      </c>
      <c r="E74" s="20">
        <f>SUMIFS(明細對照!$F$2:$F$610,明細對照!$A$2:$A$610,"子板塊",明細對照!$B$2:$B$610,$B74)</f>
        <v>704.0180290000001</v>
      </c>
      <c r="F74" s="21">
        <f>IF(N(D74)=0,"",E74/D74)</f>
        <v>0.1912402381268439</v>
      </c>
      <c r="G74" s="17">
        <f>COUNTIFS(明細對照!$A$2:$A$610,"子板塊",明細對照!$B$2:$B$610,$B74,明細對照!$F$2:$F$610,"&gt;0")</f>
        <v>3.0</v>
      </c>
      <c r="H74" s="17">
        <f>COUNTIFS(明細對照!$A$2:$A$610,"子板塊",明細對照!$B$2:$B$610,$B74)-COUNTIFS(明細對照!$A$2:$A$610,"子板塊",明細對照!$B$2:$B$610,$B74,明細對照!$D$2:$D$610,"USD")</f>
        <v>0.0</v>
      </c>
      <c r="I74" s="22" t="n">
        <v>-0.16</v>
      </c>
      <c r="J74" s="23" t="inlineStr">
        <is>
          <t>COHR、LITE、AAOI、CRDO、POET</t>
        </is>
      </c>
    </row>
    <row r="75">
      <c r="A75" s="17" t="n">
        <v>74</v>
      </c>
      <c r="B75" s="18" t="inlineStr">
        <is>
          <t>電商平台</t>
        </is>
      </c>
      <c r="C75" s="17" t="n">
        <v>5</v>
      </c>
      <c r="D75" s="19">
        <f>SUMIFS(明細對照!$E$2:$E$610,明細對照!$A$2:$A$610,"子板塊",明細對照!$B$2:$B$610,$B75)</f>
        <v>13593.2</v>
      </c>
      <c r="E75" s="20">
        <f>SUMIFS(明細對照!$F$2:$F$610,明細對照!$A$2:$A$610,"子板塊",明細對照!$B$2:$B$610,$B75)</f>
        <v>1539.5</v>
      </c>
      <c r="F75" s="21">
        <f>IF(N(D75)=0,"",E75/D75)</f>
        <v>0.11325515699025983</v>
      </c>
      <c r="G75" s="17">
        <f>COUNTIFS(明細對照!$A$2:$A$610,"子板塊",明細對照!$B$2:$B$610,$B75,明細對照!$F$2:$F$610,"&gt;0")</f>
        <v>4.0</v>
      </c>
      <c r="H75" s="17">
        <f>COUNTIFS(明細對照!$A$2:$A$610,"子板塊",明細對照!$B$2:$B$610,$B75)-COUNTIFS(明細對照!$A$2:$A$610,"子板塊",明細對照!$B$2:$B$610,$B75,明細對照!$D$2:$D$610,"USD")</f>
        <v>0.0</v>
      </c>
      <c r="I75" s="22" t="n">
        <v>-0.17</v>
      </c>
      <c r="J75" s="23" t="inlineStr">
        <is>
          <t>AMZN、SHOP、EBAY、CHWY、W</t>
        </is>
      </c>
    </row>
    <row r="76">
      <c r="A76" s="17" t="n">
        <v>75</v>
      </c>
      <c r="B76" s="18" t="inlineStr">
        <is>
          <t>地產開發與服務</t>
        </is>
      </c>
      <c r="C76" s="17" t="n">
        <v>5</v>
      </c>
      <c r="D76" s="19">
        <f>SUMIFS(明細對照!$E$2:$E$610,明細對照!$A$2:$A$610,"子板塊",明細對照!$B$2:$B$610,$B76)</f>
        <v>24114.9</v>
      </c>
      <c r="E76" s="20">
        <f>SUMIFS(明細對照!$F$2:$F$610,明細對照!$A$2:$A$610,"子板塊",明細對照!$B$2:$B$610,$B76)</f>
        <v>721.6</v>
      </c>
      <c r="F76" s="21">
        <f>IF(N(D76)=0,"",E76/D76)</f>
        <v>0.029923408349194894</v>
      </c>
      <c r="G76" s="17">
        <f>COUNTIFS(明細對照!$A$2:$A$610,"子板塊",明細對照!$B$2:$B$610,$B76,明細對照!$F$2:$F$610,"&gt;0")</f>
        <v>4.0</v>
      </c>
      <c r="H76" s="17">
        <f>COUNTIFS(明細對照!$A$2:$A$610,"子板塊",明細對照!$B$2:$B$610,$B76)-COUNTIFS(明細對照!$A$2:$A$610,"子板塊",明細對照!$B$2:$B$610,$B76,明細對照!$D$2:$D$610,"USD")</f>
        <v>0.0</v>
      </c>
      <c r="I76" s="22" t="n">
        <v>-0.19</v>
      </c>
      <c r="J76" s="23" t="inlineStr">
        <is>
          <t>CBRE、JLL、Z、COMP、OPEN</t>
        </is>
      </c>
    </row>
    <row r="77">
      <c r="A77" s="17" t="n">
        <v>76</v>
      </c>
      <c r="B77" s="18" t="inlineStr">
        <is>
          <t>另類資產與私募信貸</t>
        </is>
      </c>
      <c r="C77" s="17" t="n">
        <v>5</v>
      </c>
      <c r="D77" s="19">
        <f>SUMIFS(明細對照!$E$2:$E$610,明細對照!$A$2:$A$610,"子板塊",明細對照!$B$2:$B$610,$B77)</f>
        <v>23179.934</v>
      </c>
      <c r="E77" s="20">
        <f>SUMIFS(明細對照!$F$2:$F$610,明細對照!$A$2:$A$610,"子板塊",明細對照!$B$2:$B$610,$B77)</f>
        <v>3540.758</v>
      </c>
      <c r="F77" s="21">
        <f>IF(N(D77)=0,"",E77/D77)</f>
        <v>0.15275099575348228</v>
      </c>
      <c r="G77" s="17">
        <f>COUNTIFS(明細對照!$A$2:$A$610,"子板塊",明細對照!$B$2:$B$610,$B77,明細對照!$F$2:$F$610,"&gt;0")</f>
        <v>4.0</v>
      </c>
      <c r="H77" s="17">
        <f>COUNTIFS(明細對照!$A$2:$A$610,"子板塊",明細對照!$B$2:$B$610,$B77)-COUNTIFS(明細對照!$A$2:$A$610,"子板塊",明細對照!$B$2:$B$610,$B77,明細對照!$D$2:$D$610,"USD")</f>
        <v>0.0</v>
      </c>
      <c r="I77" s="22" t="n">
        <v>-0.21</v>
      </c>
      <c r="J77" s="23" t="inlineStr">
        <is>
          <t>BX、KKR、APO、ARES、OWL</t>
        </is>
      </c>
    </row>
    <row r="78">
      <c r="A78" s="17" t="n">
        <v>77</v>
      </c>
      <c r="B78" s="18" t="inlineStr">
        <is>
          <t>產險與再保</t>
        </is>
      </c>
      <c r="C78" s="17" t="n">
        <v>5</v>
      </c>
      <c r="D78" s="19">
        <f>SUMIFS(明細對照!$E$2:$E$610,明細對照!$A$2:$A$610,"子板塊",明細對照!$B$2:$B$610,$B78)</f>
        <v>61547.772</v>
      </c>
      <c r="E78" s="20">
        <f>SUMIFS(明細對照!$F$2:$F$610,明細對照!$A$2:$A$610,"子板塊",明細對照!$B$2:$B$610,$B78)</f>
        <v>13514.516</v>
      </c>
      <c r="F78" s="21">
        <f>IF(N(D78)=0,"",E78/D78)</f>
        <v>0.21957766399732553</v>
      </c>
      <c r="G78" s="17">
        <f>COUNTIFS(明細對照!$A$2:$A$610,"子板塊",明細對照!$B$2:$B$610,$B78,明細對照!$F$2:$F$610,"&gt;0")</f>
        <v>5.0</v>
      </c>
      <c r="H78" s="17">
        <f>COUNTIFS(明細對照!$A$2:$A$610,"子板塊",明細對照!$B$2:$B$610,$B78)-COUNTIFS(明細對照!$A$2:$A$610,"子板塊",明細對照!$B$2:$B$610,$B78,明細對照!$D$2:$D$610,"USD")</f>
        <v>0.0</v>
      </c>
      <c r="I78" s="22" t="n">
        <v>-0.22</v>
      </c>
      <c r="J78" s="23" t="inlineStr">
        <is>
          <t>CB、TRV、PGR、AIG、RNR</t>
        </is>
      </c>
    </row>
    <row r="79">
      <c r="A79" s="17" t="n">
        <v>78</v>
      </c>
      <c r="B79" s="18" t="inlineStr">
        <is>
          <t>稀土與關鍵礦產</t>
        </is>
      </c>
      <c r="C79" s="17" t="n">
        <v>6</v>
      </c>
      <c r="D79" s="19">
        <f>SUMIFS(明細對照!$E$2:$E$610,明細對照!$A$2:$A$610,"子板塊",明細對照!$B$2:$B$610,$B79)</f>
        <v>140.22299999999998</v>
      </c>
      <c r="E79" s="20">
        <f>SUMIFS(明細對照!$F$2:$F$610,明細對照!$A$2:$A$610,"子板塊",明細對照!$B$2:$B$610,$B79)</f>
        <v>-199.36900000000003</v>
      </c>
      <c r="F79" s="21">
        <f>IF(N(D79)=0,"",E79/D79)</f>
        <v>-1.4217995621260424</v>
      </c>
      <c r="G79" s="17">
        <f>COUNTIFS(明細對照!$A$2:$A$610,"子板塊",明細對照!$B$2:$B$610,$B79,明細對照!$F$2:$F$610,"&gt;0")</f>
        <v>0.0</v>
      </c>
      <c r="H79" s="17">
        <f>COUNTIFS(明細對照!$A$2:$A$610,"子板塊",明細對照!$B$2:$B$610,$B79)-COUNTIFS(明細對照!$A$2:$A$610,"子板塊",明細對照!$B$2:$B$610,$B79,明細對照!$D$2:$D$610,"USD")</f>
        <v>0.0</v>
      </c>
      <c r="I79" s="22" t="n">
        <v>-0.23</v>
      </c>
      <c r="J79" s="23" t="inlineStr">
        <is>
          <t>MP、USAR、UUUU、TMC、ALOY、NB</t>
        </is>
      </c>
    </row>
    <row r="80">
      <c r="A80" s="17" t="n">
        <v>79</v>
      </c>
      <c r="B80" s="18" t="inlineStr">
        <is>
          <t>網絡安全</t>
        </is>
      </c>
      <c r="C80" s="17" t="n">
        <v>5</v>
      </c>
      <c r="D80" s="19">
        <f>SUMIFS(明細對照!$E$2:$E$610,明細對照!$A$2:$A$610,"子板塊",明細對照!$B$2:$B$610,$B80)</f>
        <v>7663.253000000001</v>
      </c>
      <c r="E80" s="20">
        <f>SUMIFS(明細對照!$F$2:$F$610,明細對照!$A$2:$A$610,"子板塊",明細對照!$B$2:$B$610,$B80)</f>
        <v>377.0919999999999</v>
      </c>
      <c r="F80" s="21">
        <f>IF(N(D80)=0,"",E80/D80)</f>
        <v>0.04920782336169769</v>
      </c>
      <c r="G80" s="17">
        <f>COUNTIFS(明細對照!$A$2:$A$610,"子板塊",明細對照!$B$2:$B$610,$B80,明細對照!$F$2:$F$610,"&gt;0")</f>
        <v>1.0</v>
      </c>
      <c r="H80" s="17">
        <f>COUNTIFS(明細對照!$A$2:$A$610,"子板塊",明細對照!$B$2:$B$610,$B80)-COUNTIFS(明細對照!$A$2:$A$610,"子板塊",明細對照!$B$2:$B$610,$B80,明細對照!$D$2:$D$610,"USD")</f>
        <v>0.0</v>
      </c>
      <c r="I80" s="22" t="n">
        <v>-0.23</v>
      </c>
      <c r="J80" s="23" t="inlineStr">
        <is>
          <t>PANW、CRWD、ZS、FTNT、S</t>
        </is>
      </c>
    </row>
    <row r="81">
      <c r="A81" s="17" t="n">
        <v>80</v>
      </c>
      <c r="B81" s="18" t="inlineStr">
        <is>
          <t>支付與收單</t>
        </is>
      </c>
      <c r="C81" s="17" t="n">
        <v>5</v>
      </c>
      <c r="D81" s="19">
        <f>SUMIFS(明細對照!$E$2:$E$610,明細對照!$A$2:$A$610,"子板塊",明細對照!$B$2:$B$610,$B81)</f>
        <v>34820.791</v>
      </c>
      <c r="E81" s="20">
        <f>SUMIFS(明細對照!$F$2:$F$610,明細對照!$A$2:$A$610,"子板塊",明細對照!$B$2:$B$610,$B81)</f>
        <v>14887.121</v>
      </c>
      <c r="F81" s="21">
        <f>IF(N(D81)=0,"",E81/D81)</f>
        <v>0.42753540549954766</v>
      </c>
      <c r="G81" s="17">
        <f>COUNTIFS(明細對照!$A$2:$A$610,"子板塊",明細對照!$B$2:$B$610,$B81,明細對照!$F$2:$F$610,"&gt;0")</f>
        <v>5.0</v>
      </c>
      <c r="H81" s="17">
        <f>COUNTIFS(明細對照!$A$2:$A$610,"子板塊",明細對照!$B$2:$B$610,$B81)-COUNTIFS(明細對照!$A$2:$A$610,"子板塊",明細對照!$B$2:$B$610,$B81,明細對照!$D$2:$D$610,"USD")</f>
        <v>0.0</v>
      </c>
      <c r="I81" s="22" t="n">
        <v>-0.24</v>
      </c>
      <c r="J81" s="23" t="inlineStr">
        <is>
          <t>V、MA、PYPL、GPN、TOST</t>
        </is>
      </c>
    </row>
    <row r="82">
      <c r="A82" s="17" t="n">
        <v>81</v>
      </c>
      <c r="B82" s="18" t="inlineStr">
        <is>
          <t>醫療器械</t>
        </is>
      </c>
      <c r="C82" s="17" t="n">
        <v>5</v>
      </c>
      <c r="D82" s="19">
        <f>SUMIFS(明細對照!$E$2:$E$610,明細對照!$A$2:$A$610,"子板塊",明細對照!$B$2:$B$610,$B82)</f>
        <v>19288.3</v>
      </c>
      <c r="E82" s="20">
        <f>SUMIFS(明細對照!$F$2:$F$610,明細對照!$A$2:$A$610,"子板塊",明細對照!$B$2:$B$610,$B82)</f>
        <v>4644.9</v>
      </c>
      <c r="F82" s="21">
        <f>IF(N(D82)=0,"",E82/D82)</f>
        <v>0.24081437970168443</v>
      </c>
      <c r="G82" s="17">
        <f>COUNTIFS(明細對照!$A$2:$A$610,"子板塊",明細對照!$B$2:$B$610,$B82,明細對照!$F$2:$F$610,"&gt;0")</f>
        <v>3.0</v>
      </c>
      <c r="H82" s="17">
        <f>COUNTIFS(明細對照!$A$2:$A$610,"子板塊",明細對照!$B$2:$B$610,$B82)-COUNTIFS(明細對照!$A$2:$A$610,"子板塊",明細對照!$B$2:$B$610,$B82,明細對照!$D$2:$D$610,"USD")</f>
        <v>0.0</v>
      </c>
      <c r="I82" s="22" t="n">
        <v>-0.25</v>
      </c>
      <c r="J82" s="23" t="inlineStr">
        <is>
          <t>ABT、MDT、SYK、BSX、ISRG</t>
        </is>
      </c>
    </row>
    <row r="83">
      <c r="A83" s="17" t="n">
        <v>82</v>
      </c>
      <c r="B83" s="18" t="inlineStr">
        <is>
          <t>服裝與奢侈品</t>
        </is>
      </c>
      <c r="C83" s="17" t="n">
        <v>5</v>
      </c>
      <c r="D83" s="19">
        <f>SUMIFS(明細對照!$E$2:$E$610,明細對照!$A$2:$A$610,"子板塊",明細對照!$B$2:$B$610,$B83)</f>
        <v>16366.962</v>
      </c>
      <c r="E83" s="20">
        <f>SUMIFS(明細對照!$F$2:$F$610,明細對照!$A$2:$A$610,"子板塊",明細對照!$B$2:$B$610,$B83)</f>
        <v>2287.154</v>
      </c>
      <c r="F83" s="21">
        <f>IF(N(D83)=0,"",E83/D83)</f>
        <v>0.1397421219649682</v>
      </c>
      <c r="G83" s="17">
        <f>COUNTIFS(明細對照!$A$2:$A$610,"子板塊",明細對照!$B$2:$B$610,$B83,明細對照!$F$2:$F$610,"&gt;0")</f>
        <v>4.0</v>
      </c>
      <c r="H83" s="17">
        <f>COUNTIFS(明細對照!$A$2:$A$610,"子板塊",明細對照!$B$2:$B$610,$B83)-COUNTIFS(明細對照!$A$2:$A$610,"子板塊",明細對照!$B$2:$B$610,$B83,明細對照!$D$2:$D$610,"USD")</f>
        <v>1.0</v>
      </c>
      <c r="I83" s="22" t="n">
        <v>-0.26</v>
      </c>
      <c r="J83" s="23" t="inlineStr">
        <is>
          <t>NKE、LULU、RL、DECK、ONON</t>
        </is>
      </c>
    </row>
    <row r="84">
      <c r="A84" s="17" t="n">
        <v>83</v>
      </c>
      <c r="B84" s="18" t="inlineStr">
        <is>
          <t>電信營運商</t>
        </is>
      </c>
      <c r="C84" s="17" t="n">
        <v>3</v>
      </c>
      <c r="D84" s="19">
        <f>SUMIFS(明細對照!$E$2:$E$610,明細對照!$A$2:$A$610,"子板塊",明細對照!$B$2:$B$610,$B84)</f>
        <v>88602.0</v>
      </c>
      <c r="E84" s="20">
        <f>SUMIFS(明細對照!$F$2:$F$610,明細對照!$A$2:$A$610,"子板塊",明細對照!$B$2:$B$610,$B84)</f>
        <v>19993.0</v>
      </c>
      <c r="F84" s="21">
        <f>IF(N(D84)=0,"",E84/D84)</f>
        <v>0.22564953387056724</v>
      </c>
      <c r="G84" s="17">
        <f>COUNTIFS(明細對照!$A$2:$A$610,"子板塊",明細對照!$B$2:$B$610,$B84,明細對照!$F$2:$F$610,"&gt;0")</f>
        <v>3.0</v>
      </c>
      <c r="H84" s="17">
        <f>COUNTIFS(明細對照!$A$2:$A$610,"子板塊",明細對照!$B$2:$B$610,$B84)-COUNTIFS(明細對照!$A$2:$A$610,"子板塊",明細對照!$B$2:$B$610,$B84,明細對照!$D$2:$D$610,"USD")</f>
        <v>0.0</v>
      </c>
      <c r="I84" s="22" t="n">
        <v>-0.26</v>
      </c>
      <c r="J84" s="23" t="inlineStr">
        <is>
          <t>T、VZ、TMUS</t>
        </is>
      </c>
    </row>
    <row r="85">
      <c r="A85" s="17" t="n">
        <v>84</v>
      </c>
      <c r="B85" s="18" t="inlineStr">
        <is>
          <t>企業軟體/SaaS</t>
        </is>
      </c>
      <c r="C85" s="17" t="n">
        <v>5</v>
      </c>
      <c r="D85" s="19">
        <f>SUMIFS(明細對照!$E$2:$E$610,明細對照!$A$2:$A$610,"子板塊",明細對照!$B$2:$B$610,$B85)</f>
        <v>26365.469</v>
      </c>
      <c r="E85" s="20">
        <f>SUMIFS(明細對照!$F$2:$F$610,明細對照!$A$2:$A$610,"子板塊",明細對照!$B$2:$B$610,$B85)</f>
        <v>5348.723</v>
      </c>
      <c r="F85" s="21">
        <f>IF(N(D85)=0,"",E85/D85)</f>
        <v>0.20286849439317767</v>
      </c>
      <c r="G85" s="17">
        <f>COUNTIFS(明細對照!$A$2:$A$610,"子板塊",明細對照!$B$2:$B$610,$B85,明細對照!$F$2:$F$610,"&gt;0")</f>
        <v>5.0</v>
      </c>
      <c r="H85" s="17">
        <f>COUNTIFS(明細對照!$A$2:$A$610,"子板塊",明細對照!$B$2:$B$610,$B85)-COUNTIFS(明細對照!$A$2:$A$610,"子板塊",明細對照!$B$2:$B$610,$B85,明細對照!$D$2:$D$610,"USD")</f>
        <v>0.0</v>
      </c>
      <c r="I85" s="22" t="n">
        <v>-0.27</v>
      </c>
      <c r="J85" s="23" t="inlineStr">
        <is>
          <t>CRM、NOW、WDAY、ADBE、TEAM</t>
        </is>
      </c>
    </row>
    <row r="86">
      <c r="A86" s="17" t="n">
        <v>85</v>
      </c>
      <c r="B86" s="18" t="inlineStr">
        <is>
          <t>國防科技與無人機</t>
        </is>
      </c>
      <c r="C86" s="17" t="n">
        <v>4</v>
      </c>
      <c r="D86" s="19">
        <f>SUMIFS(明細對照!$E$2:$E$610,明細對照!$A$2:$A$610,"子板塊",明細對照!$B$2:$B$610,$B86)</f>
        <v>1204.377</v>
      </c>
      <c r="E86" s="20">
        <f>SUMIFS(明細對照!$F$2:$F$610,明細對照!$A$2:$A$610,"子板塊",明細對照!$B$2:$B$610,$B86)</f>
        <v>-126.21599999999998</v>
      </c>
      <c r="F86" s="21">
        <f>IF(N(D86)=0,"",E86/D86)</f>
        <v>-0.10479775020612316</v>
      </c>
      <c r="G86" s="17">
        <f>COUNTIFS(明細對照!$A$2:$A$610,"子板塊",明細對照!$B$2:$B$610,$B86,明細對照!$F$2:$F$610,"&gt;0")</f>
        <v>1.0</v>
      </c>
      <c r="H86" s="17">
        <f>COUNTIFS(明細對照!$A$2:$A$610,"子板塊",明細對照!$B$2:$B$610,$B86)-COUNTIFS(明細對照!$A$2:$A$610,"子板塊",明細對照!$B$2:$B$610,$B86,明細對照!$D$2:$D$610,"USD")</f>
        <v>0.0</v>
      </c>
      <c r="I86" s="22" t="n">
        <v>-0.27</v>
      </c>
      <c r="J86" s="23" t="inlineStr">
        <is>
          <t>AVAV、KTOS、RCAT、ONDS</t>
        </is>
      </c>
    </row>
    <row r="87">
      <c r="A87" s="17" t="n">
        <v>86</v>
      </c>
      <c r="B87" s="18" t="inlineStr">
        <is>
          <t>零售與購物中心REIT</t>
        </is>
      </c>
      <c r="C87" s="17" t="n">
        <v>5</v>
      </c>
      <c r="D87" s="19">
        <f>SUMIFS(明細對照!$E$2:$E$610,明細對照!$A$2:$A$610,"子板塊",明細對照!$B$2:$B$610,$B87)</f>
        <v>4104.275</v>
      </c>
      <c r="E87" s="20">
        <f>SUMIFS(明細對照!$F$2:$F$610,明細對照!$A$2:$A$610,"子板塊",明細對照!$B$2:$B$610,$B87)</f>
        <v>1748.732</v>
      </c>
      <c r="F87" s="21">
        <f>IF(N(D87)=0,"",E87/D87)</f>
        <v>0.42607573810234456</v>
      </c>
      <c r="G87" s="17">
        <f>COUNTIFS(明細對照!$A$2:$A$610,"子板塊",明細對照!$B$2:$B$610,$B87,明細對照!$F$2:$F$610,"&gt;0")</f>
        <v>4.0</v>
      </c>
      <c r="H87" s="17">
        <f>COUNTIFS(明細對照!$A$2:$A$610,"子板塊",明細對照!$B$2:$B$610,$B87)-COUNTIFS(明細對照!$A$2:$A$610,"子板塊",明細對照!$B$2:$B$610,$B87,明細對照!$D$2:$D$610,"USD")</f>
        <v>0.0</v>
      </c>
      <c r="I87" s="22" t="n">
        <v>-0.3</v>
      </c>
      <c r="J87" s="23" t="inlineStr">
        <is>
          <t>SPG、O、KIM、REG、FRT</t>
        </is>
      </c>
    </row>
    <row r="88">
      <c r="A88" s="17" t="n">
        <v>87</v>
      </c>
      <c r="B88" s="18" t="inlineStr">
        <is>
          <t>醫療與長者住宅REIT</t>
        </is>
      </c>
      <c r="C88" s="17" t="n">
        <v>4</v>
      </c>
      <c r="D88" s="19">
        <f>SUMIFS(明細對照!$E$2:$E$610,明細對照!$A$2:$A$610,"子板塊",明細對照!$B$2:$B$610,$B88)</f>
        <v>2829.4390000000003</v>
      </c>
      <c r="E88" s="20">
        <f>SUMIFS(明細對照!$F$2:$F$610,明細對照!$A$2:$A$610,"子板塊",明細對照!$B$2:$B$610,$B88)</f>
        <v>558.067</v>
      </c>
      <c r="F88" s="21">
        <f>IF(N(D88)=0,"",E88/D88)</f>
        <v>0.19723591849833128</v>
      </c>
      <c r="G88" s="17">
        <f>COUNTIFS(明細對照!$A$2:$A$610,"子板塊",明細對照!$B$2:$B$610,$B88,明細對照!$F$2:$F$610,"&gt;0")</f>
        <v>3.0</v>
      </c>
      <c r="H88" s="17">
        <f>COUNTIFS(明細對照!$A$2:$A$610,"子板塊",明細對照!$B$2:$B$610,$B88)-COUNTIFS(明細對照!$A$2:$A$610,"子板塊",明細對照!$B$2:$B$610,$B88,明細對照!$D$2:$D$610,"USD")</f>
        <v>0.0</v>
      </c>
      <c r="I88" s="22" t="n">
        <v>-0.3</v>
      </c>
      <c r="J88" s="23" t="inlineStr">
        <is>
          <t>WELL、VTR、OHI、DOC</t>
        </is>
      </c>
    </row>
    <row r="89">
      <c r="A89" s="17" t="n">
        <v>88</v>
      </c>
      <c r="B89" s="18" t="inlineStr">
        <is>
          <t>航太與國防</t>
        </is>
      </c>
      <c r="C89" s="17" t="n">
        <v>6</v>
      </c>
      <c r="D89" s="19">
        <f>SUMIFS(明細對照!$E$2:$E$610,明細對照!$A$2:$A$610,"子板塊",明細對照!$B$2:$B$610,$B89)</f>
        <v>75622.0</v>
      </c>
      <c r="E89" s="20">
        <f>SUMIFS(明細對照!$F$2:$F$610,明細對照!$A$2:$A$610,"子板塊",明細對照!$B$2:$B$610,$B89)</f>
        <v>8510.0</v>
      </c>
      <c r="F89" s="21">
        <f>IF(N(D89)=0,"",E89/D89)</f>
        <v>0.1125333897543043</v>
      </c>
      <c r="G89" s="17">
        <f>COUNTIFS(明細對照!$A$2:$A$610,"子板塊",明細對照!$B$2:$B$610,$B89,明細對照!$F$2:$F$610,"&gt;0")</f>
        <v>5.0</v>
      </c>
      <c r="H89" s="17">
        <f>COUNTIFS(明細對照!$A$2:$A$610,"子板塊",明細對照!$B$2:$B$610,$B89)-COUNTIFS(明細對照!$A$2:$A$610,"子板塊",明細對照!$B$2:$B$610,$B89,明細對照!$D$2:$D$610,"USD")</f>
        <v>0.0</v>
      </c>
      <c r="I89" s="22" t="n">
        <v>-0.32</v>
      </c>
      <c r="J89" s="23" t="inlineStr">
        <is>
          <t>LMT、RTX、NOC、GD、LHX、BA</t>
        </is>
      </c>
    </row>
    <row r="90">
      <c r="A90" s="17" t="n">
        <v>89</v>
      </c>
      <c r="B90" s="18" t="inlineStr">
        <is>
          <t>辦公樓REIT</t>
        </is>
      </c>
      <c r="C90" s="17" t="n">
        <v>4</v>
      </c>
      <c r="D90" s="19">
        <f>SUMIFS(明細對照!$E$2:$E$610,明細對照!$A$2:$A$610,"子板塊",明細對照!$B$2:$B$610,$B90)</f>
        <v>1607.199</v>
      </c>
      <c r="E90" s="20">
        <f>SUMIFS(明細對照!$F$2:$F$610,明細對照!$A$2:$A$610,"子板塊",明細對照!$B$2:$B$610,$B90)</f>
        <v>310.004</v>
      </c>
      <c r="F90" s="21">
        <f>IF(N(D90)=0,"",E90/D90)</f>
        <v>0.19288463967436514</v>
      </c>
      <c r="G90" s="17">
        <f>COUNTIFS(明細對照!$A$2:$A$610,"子板塊",明細對照!$B$2:$B$610,$B90,明細對照!$F$2:$F$610,"&gt;0")</f>
        <v>3.0</v>
      </c>
      <c r="H90" s="17">
        <f>COUNTIFS(明細對照!$A$2:$A$610,"子板塊",明細對照!$B$2:$B$610,$B90)-COUNTIFS(明細對照!$A$2:$A$610,"子板塊",明細對照!$B$2:$B$610,$B90,明細對照!$D$2:$D$610,"USD")</f>
        <v>0.0</v>
      </c>
      <c r="I90" s="22" t="n">
        <v>-0.35</v>
      </c>
      <c r="J90" s="23" t="inlineStr">
        <is>
          <t>BXP、VNO、SLG、HIW</t>
        </is>
      </c>
    </row>
    <row r="91">
      <c r="A91" s="17" t="n">
        <v>90</v>
      </c>
      <c r="B91" s="18" t="inlineStr">
        <is>
          <t>銅與基本金屬</t>
        </is>
      </c>
      <c r="C91" s="17" t="n">
        <v>4</v>
      </c>
      <c r="D91" s="19">
        <f>SUMIFS(明細對照!$E$2:$E$610,明細對照!$A$2:$A$610,"子板塊",明細對照!$B$2:$B$610,$B91)</f>
        <v>11949.3</v>
      </c>
      <c r="E91" s="20">
        <f>SUMIFS(明細對照!$F$2:$F$610,明細對照!$A$2:$A$610,"子板塊",明細對照!$B$2:$B$610,$B91)</f>
        <v>4812.8</v>
      </c>
      <c r="F91" s="21">
        <f>IF(N(D91)=0,"",E91/D91)</f>
        <v>0.40276836300034313</v>
      </c>
      <c r="G91" s="17">
        <f>COUNTIFS(明細對照!$A$2:$A$610,"子板塊",明細對照!$B$2:$B$610,$B91,明細對照!$F$2:$F$610,"&gt;0")</f>
        <v>3.0</v>
      </c>
      <c r="H91" s="17">
        <f>COUNTIFS(明細對照!$A$2:$A$610,"子板塊",明細對照!$B$2:$B$610,$B91)-COUNTIFS(明細對照!$A$2:$A$610,"子板塊",明細對照!$B$2:$B$610,$B91,明細對照!$D$2:$D$610,"USD")</f>
        <v>1.0</v>
      </c>
      <c r="I91" s="22" t="n">
        <v>-0.39</v>
      </c>
      <c r="J91" s="23" t="inlineStr">
        <is>
          <t>FCX、SCCO、TECK、HBM</t>
        </is>
      </c>
    </row>
    <row r="92">
      <c r="A92" s="17" t="n">
        <v>91</v>
      </c>
      <c r="B92" s="18" t="inlineStr">
        <is>
          <t>人力與商業服務</t>
        </is>
      </c>
      <c r="C92" s="17" t="n">
        <v>5</v>
      </c>
      <c r="D92" s="19">
        <f>SUMIFS(明細對照!$E$2:$E$610,明細對照!$A$2:$A$610,"子板塊",明細對照!$B$2:$B$610,$B92)</f>
        <v>16181.068</v>
      </c>
      <c r="E92" s="20">
        <f>SUMIFS(明細對照!$F$2:$F$610,明細對照!$A$2:$A$610,"子板塊",明細對照!$B$2:$B$610,$B92)</f>
        <v>2601.672</v>
      </c>
      <c r="F92" s="21">
        <f>IF(N(D92)=0,"",E92/D92)</f>
        <v>0.1607849370634868</v>
      </c>
      <c r="G92" s="17">
        <f>COUNTIFS(明細對照!$A$2:$A$610,"子板塊",明細對照!$B$2:$B$610,$B92,明細對照!$F$2:$F$610,"&gt;0")</f>
        <v>4.0</v>
      </c>
      <c r="H92" s="17">
        <f>COUNTIFS(明細對照!$A$2:$A$610,"子板塊",明細對照!$B$2:$B$610,$B92)-COUNTIFS(明細對照!$A$2:$A$610,"子板塊",明細對照!$B$2:$B$610,$B92,明細對照!$D$2:$D$610,"USD")</f>
        <v>0.0</v>
      </c>
      <c r="I92" s="22" t="n">
        <v>-0.42</v>
      </c>
      <c r="J92" s="23" t="inlineStr">
        <is>
          <t>ADP、PAYX、MAN、RHI、CTAS</t>
        </is>
      </c>
    </row>
    <row r="93">
      <c r="A93" s="17" t="n">
        <v>92</v>
      </c>
      <c r="B93" s="18" t="inlineStr">
        <is>
          <t>博彩與線上博彩</t>
        </is>
      </c>
      <c r="C93" s="17" t="n">
        <v>4</v>
      </c>
      <c r="D93" s="19">
        <f>SUMIFS(明細對照!$E$2:$E$610,明細對照!$A$2:$A$610,"子板塊",明細對照!$B$2:$B$610,$B93)</f>
        <v>13374.228000000001</v>
      </c>
      <c r="E93" s="20">
        <f>SUMIFS(明細對照!$F$2:$F$610,明細對照!$A$2:$A$610,"子板塊",明細對照!$B$2:$B$610,$B93)</f>
        <v>715.06</v>
      </c>
      <c r="F93" s="21">
        <f>IF(N(D93)=0,"",E93/D93)</f>
        <v>0.05346551591613362</v>
      </c>
      <c r="G93" s="17">
        <f>COUNTIFS(明細對照!$A$2:$A$610,"子板塊",明細對照!$B$2:$B$610,$B93,明細對照!$F$2:$F$610,"&gt;0")</f>
        <v>2.0</v>
      </c>
      <c r="H93" s="17">
        <f>COUNTIFS(明細對照!$A$2:$A$610,"子板塊",明細對照!$B$2:$B$610,$B93)-COUNTIFS(明細對照!$A$2:$A$610,"子板塊",明細對照!$B$2:$B$610,$B93,明細對照!$D$2:$D$610,"USD")</f>
        <v>0.0</v>
      </c>
      <c r="I93" s="22" t="n">
        <v>-0.45</v>
      </c>
      <c r="J93" s="23" t="inlineStr">
        <is>
          <t>LVS、MGM、DKNG、FLUT</t>
        </is>
      </c>
    </row>
    <row r="94">
      <c r="A94" s="17" t="n">
        <v>93</v>
      </c>
      <c r="B94" s="18" t="inlineStr">
        <is>
          <t>特殊型REIT（自存倉/賭場/廣告牌）</t>
        </is>
      </c>
      <c r="C94" s="17" t="n">
        <v>5</v>
      </c>
      <c r="D94" s="19">
        <f>SUMIFS(明細對照!$E$2:$E$610,明細對照!$A$2:$A$610,"子板塊",明細對照!$B$2:$B$610,$B94)</f>
        <v>3338.6540000000005</v>
      </c>
      <c r="E94" s="20">
        <f>SUMIFS(明細對照!$F$2:$F$610,明細對照!$A$2:$A$610,"子板塊",明細對照!$B$2:$B$610,$B94)</f>
        <v>1840.1950000000002</v>
      </c>
      <c r="F94" s="21">
        <f>IF(N(D94)=0,"",E94/D94)</f>
        <v>0.5511787085454197</v>
      </c>
      <c r="G94" s="17">
        <f>COUNTIFS(明細對照!$A$2:$A$610,"子板塊",明細對照!$B$2:$B$610,$B94,明細對照!$F$2:$F$610,"&gt;0")</f>
        <v>4.0</v>
      </c>
      <c r="H94" s="17">
        <f>COUNTIFS(明細對照!$A$2:$A$610,"子板塊",明細對照!$B$2:$B$610,$B94)-COUNTIFS(明細對照!$A$2:$A$610,"子板塊",明細對照!$B$2:$B$610,$B94,明細對照!$D$2:$D$610,"USD")</f>
        <v>0.0</v>
      </c>
      <c r="I94" s="22" t="n">
        <v>-0.46</v>
      </c>
      <c r="J94" s="23" t="inlineStr">
        <is>
          <t>PSA、EXR、VICI、GLPI、LAMR</t>
        </is>
      </c>
    </row>
    <row r="95">
      <c r="A95" s="17" t="n">
        <v>94</v>
      </c>
      <c r="B95" s="18" t="inlineStr">
        <is>
          <t>酒精飲品</t>
        </is>
      </c>
      <c r="C95" s="17" t="n">
        <v>4</v>
      </c>
      <c r="D95" s="19">
        <f>SUMIFS(明細對照!$E$2:$E$610,明細對照!$A$2:$A$610,"子板塊",明細對照!$B$2:$B$610,$B95)</f>
        <v>5529.2</v>
      </c>
      <c r="E95" s="20">
        <f>SUMIFS(明細對照!$F$2:$F$610,明細對照!$A$2:$A$610,"子板塊",明細對照!$B$2:$B$610,$B95)</f>
        <v>1208.4</v>
      </c>
      <c r="F95" s="21">
        <f>IF(N(D95)=0,"",E95/D95)</f>
        <v>0.2185487954857846</v>
      </c>
      <c r="G95" s="17">
        <f>COUNTIFS(明細對照!$A$2:$A$610,"子板塊",明細對照!$B$2:$B$610,$B95,明細對照!$F$2:$F$610,"&gt;0")</f>
        <v>2.0</v>
      </c>
      <c r="H95" s="17">
        <f>COUNTIFS(明細對照!$A$2:$A$610,"子板塊",明細對照!$B$2:$B$610,$B95)-COUNTIFS(明細對照!$A$2:$A$610,"子板塊",明細對照!$B$2:$B$610,$B95,明細對照!$D$2:$D$610,"USD")</f>
        <v>0.0</v>
      </c>
      <c r="I95" s="22" t="n">
        <v>-0.46</v>
      </c>
      <c r="J95" s="23" t="inlineStr">
        <is>
          <t>STZ、BF.B、TAP、DEO</t>
        </is>
      </c>
    </row>
    <row r="96">
      <c r="A96" s="17" t="n">
        <v>95</v>
      </c>
      <c r="B96" s="18" t="inlineStr">
        <is>
          <t>教育與消費服務</t>
        </is>
      </c>
      <c r="C96" s="17" t="n">
        <v>3</v>
      </c>
      <c r="D96" s="19">
        <f>SUMIFS(明細對照!$E$2:$E$610,明細對照!$A$2:$A$610,"子板塊",明細對照!$B$2:$B$610,$B96)</f>
        <v>2884.221</v>
      </c>
      <c r="E96" s="20">
        <f>SUMIFS(明細對照!$F$2:$F$610,明細對照!$A$2:$A$610,"子板塊",明細對照!$B$2:$B$610,$B96)</f>
        <v>714.35</v>
      </c>
      <c r="F96" s="21">
        <f>IF(N(D96)=0,"",E96/D96)</f>
        <v>0.2476751954860602</v>
      </c>
      <c r="G96" s="17">
        <f>COUNTIFS(明細對照!$A$2:$A$610,"子板塊",明細對照!$B$2:$B$610,$B96,明細對照!$F$2:$F$610,"&gt;0")</f>
        <v>3.0</v>
      </c>
      <c r="H96" s="17">
        <f>COUNTIFS(明細對照!$A$2:$A$610,"子板塊",明細對照!$B$2:$B$610,$B96)-COUNTIFS(明細對照!$A$2:$A$610,"子板塊",明細對照!$B$2:$B$610,$B96,明細對照!$D$2:$D$610,"USD")</f>
        <v>0.0</v>
      </c>
      <c r="I96" s="22" t="n">
        <v>-0.46</v>
      </c>
      <c r="J96" s="23" t="inlineStr">
        <is>
          <t>LRN、HRB、SCI</t>
        </is>
      </c>
    </row>
    <row r="97">
      <c r="A97" s="17" t="n">
        <v>96</v>
      </c>
      <c r="B97" s="18" t="inlineStr">
        <is>
          <t>串流影音</t>
        </is>
      </c>
      <c r="C97" s="17" t="n">
        <v>4</v>
      </c>
      <c r="D97" s="19">
        <f>SUMIFS(明細對照!$E$2:$E$610,明細對照!$A$2:$A$610,"子板塊",明細對照!$B$2:$B$610,$B97)</f>
        <v>47879.628000000004</v>
      </c>
      <c r="E97" s="20">
        <f>SUMIFS(明細對照!$F$2:$F$610,明細對照!$A$2:$A$610,"子板塊",明細對照!$B$2:$B$610,$B97)</f>
        <v>9471.785</v>
      </c>
      <c r="F97" s="21">
        <f>IF(N(D97)=0,"",E97/D97)</f>
        <v>0.1978249496842373</v>
      </c>
      <c r="G97" s="17">
        <f>COUNTIFS(明細對照!$A$2:$A$610,"子板塊",明細對照!$B$2:$B$610,$B97,明細對照!$F$2:$F$610,"&gt;0")</f>
        <v>4.0</v>
      </c>
      <c r="H97" s="17">
        <f>COUNTIFS(明細對照!$A$2:$A$610,"子板塊",明細對照!$B$2:$B$610,$B97)-COUNTIFS(明細對照!$A$2:$A$610,"子板塊",明細對照!$B$2:$B$610,$B97,明細對照!$D$2:$D$610,"USD")</f>
        <v>0.0</v>
      </c>
      <c r="I97" s="22" t="n">
        <v>-0.46</v>
      </c>
      <c r="J97" s="23" t="inlineStr">
        <is>
          <t>NFLX、DIS、WBD、ROKU</t>
        </is>
      </c>
    </row>
    <row r="98">
      <c r="A98" s="17" t="n">
        <v>97</v>
      </c>
      <c r="B98" s="18" t="inlineStr">
        <is>
          <t>住宅公寓REIT</t>
        </is>
      </c>
      <c r="C98" s="17" t="n">
        <v>3</v>
      </c>
      <c r="D98" s="19">
        <f>SUMIFS(明細對照!$E$2:$E$610,明細對照!$A$2:$A$610,"子板塊",明細對照!$B$2:$B$610,$B98)</f>
        <v>1772.781</v>
      </c>
      <c r="E98" s="20">
        <f>SUMIFS(明細對照!$F$2:$F$610,明細對照!$A$2:$A$610,"子板塊",明細對照!$B$2:$B$610,$B98)</f>
        <v>454.076</v>
      </c>
      <c r="F98" s="21">
        <f>IF(N(D98)=0,"",E98/D98)</f>
        <v>0.2561376729556556</v>
      </c>
      <c r="G98" s="17">
        <f>COUNTIFS(明細對照!$A$2:$A$610,"子板塊",明細對照!$B$2:$B$610,$B98,明細對照!$F$2:$F$610,"&gt;0")</f>
        <v>3.0</v>
      </c>
      <c r="H98" s="17">
        <f>COUNTIFS(明細對照!$A$2:$A$610,"子板塊",明細對照!$B$2:$B$610,$B98)-COUNTIFS(明細對照!$A$2:$A$610,"子板塊",明細對照!$B$2:$B$610,$B98,明細對照!$D$2:$D$610,"USD")</f>
        <v>0.0</v>
      </c>
      <c r="I98" s="22" t="n">
        <v>-0.48</v>
      </c>
      <c r="J98" s="23" t="inlineStr">
        <is>
          <t>MAA、INVH、AMH</t>
        </is>
      </c>
    </row>
    <row r="99">
      <c r="A99" s="17" t="n">
        <v>98</v>
      </c>
      <c r="B99" s="18" t="inlineStr">
        <is>
          <t>住宅建築商</t>
        </is>
      </c>
      <c r="C99" s="17" t="n">
        <v>5</v>
      </c>
      <c r="D99" s="19">
        <f>SUMIFS(明細對照!$E$2:$E$610,明細對照!$A$2:$A$610,"子板塊",明細對照!$B$2:$B$610,$B99)</f>
        <v>26139.049</v>
      </c>
      <c r="E99" s="20">
        <f>SUMIFS(明細對照!$F$2:$F$610,明細對照!$A$2:$A$610,"子板塊",明細對照!$B$2:$B$610,$B99)</f>
        <v>2858.357</v>
      </c>
      <c r="F99" s="21">
        <f>IF(N(D99)=0,"",E99/D99)</f>
        <v>0.10935198904902776</v>
      </c>
      <c r="G99" s="17">
        <f>COUNTIFS(明細對照!$A$2:$A$610,"子板塊",明細對照!$B$2:$B$610,$B99,明細對照!$F$2:$F$610,"&gt;0")</f>
        <v>5.0</v>
      </c>
      <c r="H99" s="17">
        <f>COUNTIFS(明細對照!$A$2:$A$610,"子板塊",明細對照!$B$2:$B$610,$B99)-COUNTIFS(明細對照!$A$2:$A$610,"子板塊",明細對照!$B$2:$B$610,$B99,明細對照!$D$2:$D$610,"USD")</f>
        <v>0.0</v>
      </c>
      <c r="I99" s="22" t="n">
        <v>-0.48</v>
      </c>
      <c r="J99" s="23" t="inlineStr">
        <is>
          <t>DHI、LEN、PHM、NVR、TOL</t>
        </is>
      </c>
    </row>
    <row r="100">
      <c r="A100" s="17" t="n">
        <v>99</v>
      </c>
      <c r="B100" s="18" t="inlineStr">
        <is>
          <t>鐵路運輸</t>
        </is>
      </c>
      <c r="C100" s="17" t="n">
        <v>3</v>
      </c>
      <c r="D100" s="19">
        <f>SUMIFS(明細對照!$E$2:$E$610,明細對照!$A$2:$A$610,"子板塊",明細對照!$B$2:$B$610,$B100)</f>
        <v>14264.0</v>
      </c>
      <c r="E100" s="20">
        <f>SUMIFS(明細對照!$F$2:$F$610,明細對照!$A$2:$A$610,"子板塊",明細對照!$B$2:$B$610,$B100)</f>
        <v>5535.0</v>
      </c>
      <c r="F100" s="21">
        <f>IF(N(D100)=0,"",E100/D100)</f>
        <v>0.3880398205272014</v>
      </c>
      <c r="G100" s="17">
        <f>COUNTIFS(明細對照!$A$2:$A$610,"子板塊",明細對照!$B$2:$B$610,$B100,明細對照!$F$2:$F$610,"&gt;0")</f>
        <v>3.0</v>
      </c>
      <c r="H100" s="17">
        <f>COUNTIFS(明細對照!$A$2:$A$610,"子板塊",明細對照!$B$2:$B$610,$B100)-COUNTIFS(明細對照!$A$2:$A$610,"子板塊",明細對照!$B$2:$B$610,$B100,明細對照!$D$2:$D$610,"USD")</f>
        <v>0.0</v>
      </c>
      <c r="I100" s="22" t="n">
        <v>-0.48</v>
      </c>
      <c r="J100" s="23" t="inlineStr">
        <is>
          <t>UNP、CSX、NSC</t>
        </is>
      </c>
    </row>
    <row r="101">
      <c r="A101" s="17" t="n">
        <v>100</v>
      </c>
      <c r="B101" s="18" t="inlineStr">
        <is>
          <t>社交與線上社群</t>
        </is>
      </c>
      <c r="C101" s="17" t="n">
        <v>4</v>
      </c>
      <c r="D101" s="19">
        <f>SUMIFS(明細對照!$E$2:$E$610,明細對照!$A$2:$A$610,"子板塊",明細對照!$B$2:$B$610,$B101)</f>
        <v>4436.656999999999</v>
      </c>
      <c r="E101" s="20">
        <f>SUMIFS(明細對照!$F$2:$F$610,明細對照!$A$2:$A$610,"子板塊",明細對照!$B$2:$B$610,$B101)</f>
        <v>265.582</v>
      </c>
      <c r="F101" s="21">
        <f>IF(N(D101)=0,"",E101/D101)</f>
        <v>0.05986083666147733</v>
      </c>
      <c r="G101" s="17">
        <f>COUNTIFS(明細對照!$A$2:$A$610,"子板塊",明細對照!$B$2:$B$610,$B101,明細對照!$F$2:$F$610,"&gt;0")</f>
        <v>2.0</v>
      </c>
      <c r="H101" s="17">
        <f>COUNTIFS(明細對照!$A$2:$A$610,"子板塊",明細對照!$B$2:$B$610,$B101)-COUNTIFS(明細對照!$A$2:$A$610,"子板塊",明細對照!$B$2:$B$610,$B101,明細對照!$D$2:$D$610,"USD")</f>
        <v>0.0</v>
      </c>
      <c r="I101" s="22" t="n">
        <v>-0.49</v>
      </c>
      <c r="J101" s="23" t="inlineStr">
        <is>
          <t>PINS、SNAP、RDDT、MTCH</t>
        </is>
      </c>
    </row>
    <row r="102">
      <c r="A102" s="17" t="n">
        <v>101</v>
      </c>
      <c r="B102" s="18" t="inlineStr">
        <is>
          <t>特種化工</t>
        </is>
      </c>
      <c r="C102" s="17" t="n">
        <v>5</v>
      </c>
      <c r="D102" s="19">
        <f>SUMIFS(明細對照!$E$2:$E$610,明細對照!$A$2:$A$610,"子板塊",明細對照!$B$2:$B$610,$B102)</f>
        <v>25398.013</v>
      </c>
      <c r="E102" s="20">
        <f>SUMIFS(明細對照!$F$2:$F$610,明細對照!$A$2:$A$610,"子板塊",明細對照!$B$2:$B$610,$B102)</f>
        <v>5842.881</v>
      </c>
      <c r="F102" s="21">
        <f>IF(N(D102)=0,"",E102/D102)</f>
        <v>0.23005268168025586</v>
      </c>
      <c r="G102" s="17">
        <f>COUNTIFS(明細對照!$A$2:$A$610,"子板塊",明細對照!$B$2:$B$610,$B102,明細對照!$F$2:$F$610,"&gt;0")</f>
        <v>5.0</v>
      </c>
      <c r="H102" s="17">
        <f>COUNTIFS(明細對照!$A$2:$A$610,"子板塊",明細對照!$B$2:$B$610,$B102)-COUNTIFS(明細對照!$A$2:$A$610,"子板塊",明細對照!$B$2:$B$610,$B102,明細對照!$D$2:$D$610,"USD")</f>
        <v>0.0</v>
      </c>
      <c r="I102" s="22" t="n">
        <v>-0.5</v>
      </c>
      <c r="J102" s="23" t="inlineStr">
        <is>
          <t>LIN、APD、SHW、ECL、ALB</t>
        </is>
      </c>
    </row>
    <row r="103">
      <c r="A103" s="17" t="n">
        <v>102</v>
      </c>
      <c r="B103" s="18" t="inlineStr">
        <is>
          <t>保險經紀</t>
        </is>
      </c>
      <c r="C103" s="17" t="n">
        <v>4</v>
      </c>
      <c r="D103" s="19">
        <f>SUMIFS(明細對照!$E$2:$E$610,明細對照!$A$2:$A$610,"子板塊",明細對照!$B$2:$B$610,$B103)</f>
        <v>12369.0</v>
      </c>
      <c r="E103" s="20">
        <f>SUMIFS(明細對照!$F$2:$F$610,明細對照!$A$2:$A$610,"子板塊",明細對照!$B$2:$B$610,$B103)</f>
        <v>2441.0</v>
      </c>
      <c r="F103" s="21">
        <f>IF(N(D103)=0,"",E103/D103)</f>
        <v>0.1973482092327593</v>
      </c>
      <c r="G103" s="17">
        <f>COUNTIFS(明細對照!$A$2:$A$610,"子板塊",明細對照!$B$2:$B$610,$B103,明細對照!$F$2:$F$610,"&gt;0")</f>
        <v>4.0</v>
      </c>
      <c r="H103" s="17">
        <f>COUNTIFS(明細對照!$A$2:$A$610,"子板塊",明細對照!$B$2:$B$610,$B103)-COUNTIFS(明細對照!$A$2:$A$610,"子板塊",明細對照!$B$2:$B$610,$B103,明細對照!$D$2:$D$610,"USD")</f>
        <v>0.0</v>
      </c>
      <c r="I103" s="22" t="n">
        <v>-0.52</v>
      </c>
      <c r="J103" s="23" t="inlineStr">
        <is>
          <t>AON、AJG、BRO、WTW</t>
        </is>
      </c>
    </row>
    <row r="104">
      <c r="A104" s="17" t="n">
        <v>103</v>
      </c>
      <c r="B104" s="18" t="inlineStr">
        <is>
          <t>EDA與半導體IP</t>
        </is>
      </c>
      <c r="C104" s="17" t="n">
        <v>3</v>
      </c>
      <c r="D104" s="19">
        <f>SUMIFS(明細對照!$E$2:$E$610,明細對照!$A$2:$A$610,"子板塊",明細對照!$B$2:$B$610,$B104)</f>
        <v>5350.273</v>
      </c>
      <c r="E104" s="20">
        <f>SUMIFS(明細對照!$F$2:$F$610,明細對照!$A$2:$A$610,"子板塊",明細對照!$B$2:$B$610,$B104)</f>
        <v>907.6179999999999</v>
      </c>
      <c r="F104" s="21">
        <f>IF(N(D104)=0,"",E104/D104)</f>
        <v>0.16963956792485166</v>
      </c>
      <c r="G104" s="17">
        <f>COUNTIFS(明細對照!$A$2:$A$610,"子板塊",明細對照!$B$2:$B$610,$B104,明細對照!$F$2:$F$610,"&gt;0")</f>
        <v>3.0</v>
      </c>
      <c r="H104" s="17">
        <f>COUNTIFS(明細對照!$A$2:$A$610,"子板塊",明細對照!$B$2:$B$610,$B104)-COUNTIFS(明細對照!$A$2:$A$610,"子板塊",明細對照!$B$2:$B$610,$B104,明細對照!$D$2:$D$610,"USD")</f>
        <v>0.0</v>
      </c>
      <c r="I104" s="22" t="n">
        <v>-0.54</v>
      </c>
      <c r="J104" s="23" t="inlineStr">
        <is>
          <t>SNPS、CDNS、ARM</t>
        </is>
      </c>
    </row>
    <row r="105">
      <c r="A105" s="17" t="n">
        <v>104</v>
      </c>
      <c r="B105" s="18" t="inlineStr">
        <is>
          <t>非酒精飲品</t>
        </is>
      </c>
      <c r="C105" s="17" t="n">
        <v>5</v>
      </c>
      <c r="D105" s="19">
        <f>SUMIFS(明細對照!$E$2:$E$610,明細對照!$A$2:$A$610,"子板塊",明細對照!$B$2:$B$610,$B105)</f>
        <v>48225.398</v>
      </c>
      <c r="E105" s="20">
        <f>SUMIFS(明細對照!$F$2:$F$610,明細對照!$A$2:$A$610,"子板塊",明細對照!$B$2:$B$610,$B105)</f>
        <v>10242.556999999999</v>
      </c>
      <c r="F105" s="21">
        <f>IF(N(D105)=0,"",E105/D105)</f>
        <v>0.21238926840997763</v>
      </c>
      <c r="G105" s="17">
        <f>COUNTIFS(明細對照!$A$2:$A$610,"子板塊",明細對照!$B$2:$B$610,$B105,明細對照!$F$2:$F$610,"&gt;0")</f>
        <v>5.0</v>
      </c>
      <c r="H105" s="17">
        <f>COUNTIFS(明細對照!$A$2:$A$610,"子板塊",明細對照!$B$2:$B$610,$B105)-COUNTIFS(明細對照!$A$2:$A$610,"子板塊",明細對照!$B$2:$B$610,$B105,明細對照!$D$2:$D$610,"USD")</f>
        <v>0.0</v>
      </c>
      <c r="I105" s="22" t="n">
        <v>-0.55</v>
      </c>
      <c r="J105" s="23" t="inlineStr">
        <is>
          <t>KO、PEP、MNST、CELH、KDP</t>
        </is>
      </c>
    </row>
    <row r="106">
      <c r="A106" s="17" t="n">
        <v>105</v>
      </c>
      <c r="B106" s="18" t="inlineStr">
        <is>
          <t>必需品分銷</t>
        </is>
      </c>
      <c r="C106" s="17" t="n">
        <v>4</v>
      </c>
      <c r="D106" s="19">
        <f>SUMIFS(明細對照!$E$2:$E$610,明細對照!$A$2:$A$610,"子板塊",明細對照!$B$2:$B$610,$B106)</f>
        <v>51853.513</v>
      </c>
      <c r="E106" s="20">
        <f>SUMIFS(明細對照!$F$2:$F$610,明細對照!$A$2:$A$610,"子板塊",明細對照!$B$2:$B$610,$B106)</f>
        <v>1807.4289999999999</v>
      </c>
      <c r="F106" s="21">
        <f>IF(N(D106)=0,"",E106/D106)</f>
        <v>0.03485644260978036</v>
      </c>
      <c r="G106" s="17">
        <f>COUNTIFS(明細對照!$A$2:$A$610,"子板塊",明細對照!$B$2:$B$610,$B106,明細對照!$F$2:$F$610,"&gt;0")</f>
        <v>4.0</v>
      </c>
      <c r="H106" s="17">
        <f>COUNTIFS(明細對照!$A$2:$A$610,"子板塊",明細對照!$B$2:$B$610,$B106)-COUNTIFS(明細對照!$A$2:$A$610,"子板塊",明細對照!$B$2:$B$610,$B106,明細對照!$D$2:$D$610,"USD")</f>
        <v>0.0</v>
      </c>
      <c r="I106" s="22" t="n">
        <v>-0.58</v>
      </c>
      <c r="J106" s="23" t="inlineStr">
        <is>
          <t>SYY、USFD、PFGC、CHEF</t>
        </is>
      </c>
    </row>
    <row r="107">
      <c r="A107" s="17" t="n">
        <v>106</v>
      </c>
      <c r="B107" s="18" t="inlineStr">
        <is>
          <t>餐飲連鎖</t>
        </is>
      </c>
      <c r="C107" s="17" t="n">
        <v>5</v>
      </c>
      <c r="D107" s="19">
        <f>SUMIFS(明細對照!$E$2:$E$610,明細對照!$A$2:$A$610,"子板塊",明細對照!$B$2:$B$610,$B107)</f>
        <v>25660.062</v>
      </c>
      <c r="E107" s="20">
        <f>SUMIFS(明細對照!$F$2:$F$610,明細對照!$A$2:$A$610,"子板塊",明細對照!$B$2:$B$610,$B107)</f>
        <v>6260.767</v>
      </c>
      <c r="F107" s="21">
        <f>IF(N(D107)=0,"",E107/D107)</f>
        <v>0.24398877134435604</v>
      </c>
      <c r="G107" s="17">
        <f>COUNTIFS(明細對照!$A$2:$A$610,"子板塊",明細對照!$B$2:$B$610,$B107,明細對照!$F$2:$F$610,"&gt;0")</f>
        <v>5.0</v>
      </c>
      <c r="H107" s="17">
        <f>COUNTIFS(明細對照!$A$2:$A$610,"子板塊",明細對照!$B$2:$B$610,$B107)-COUNTIFS(明細對照!$A$2:$A$610,"子板塊",明細對照!$B$2:$B$610,$B107,明細對照!$D$2:$D$610,"USD")</f>
        <v>0.0</v>
      </c>
      <c r="I107" s="22" t="n">
        <v>-0.59</v>
      </c>
      <c r="J107" s="23" t="inlineStr">
        <is>
          <t>MCD、SBUX、CMG、YUM、DRI</t>
        </is>
      </c>
    </row>
    <row r="108">
      <c r="A108" s="17" t="n">
        <v>107</v>
      </c>
      <c r="B108" s="18" t="inlineStr">
        <is>
          <t>酒店與郵輪</t>
        </is>
      </c>
      <c r="C108" s="17" t="n">
        <v>5</v>
      </c>
      <c r="D108" s="19">
        <f>SUMIFS(明細對照!$E$2:$E$610,明細對照!$A$2:$A$610,"子板塊",明細對照!$B$2:$B$610,$B108)</f>
        <v>24547.544</v>
      </c>
      <c r="E108" s="20">
        <f>SUMIFS(明細對照!$F$2:$F$610,明細對照!$A$2:$A$610,"子板塊",明細對照!$B$2:$B$610,$B108)</f>
        <v>4600.327</v>
      </c>
      <c r="F108" s="21">
        <f>IF(N(D108)=0,"",E108/D108)</f>
        <v>0.18740477662449653</v>
      </c>
      <c r="G108" s="17">
        <f>COUNTIFS(明細對照!$A$2:$A$610,"子板塊",明細對照!$B$2:$B$610,$B108,明細對照!$F$2:$F$610,"&gt;0")</f>
        <v>5.0</v>
      </c>
      <c r="H108" s="17">
        <f>COUNTIFS(明細對照!$A$2:$A$610,"子板塊",明細對照!$B$2:$B$610,$B108)-COUNTIFS(明細對照!$A$2:$A$610,"子板塊",明細對照!$B$2:$B$610,$B108,明細對照!$D$2:$D$610,"USD")</f>
        <v>0.0</v>
      </c>
      <c r="I108" s="22" t="n">
        <v>-0.59</v>
      </c>
      <c r="J108" s="23" t="inlineStr">
        <is>
          <t>MAR、HLT、RCL、CCL、NCLH</t>
        </is>
      </c>
    </row>
    <row r="109">
      <c r="A109" s="17" t="n">
        <v>108</v>
      </c>
      <c r="B109" s="18" t="inlineStr">
        <is>
          <t>煙草與尼古丁</t>
        </is>
      </c>
      <c r="C109" s="17" t="n">
        <v>3</v>
      </c>
      <c r="D109" s="19">
        <f>SUMIFS(明細對照!$E$2:$E$610,明細對照!$A$2:$A$610,"子板塊",明細對照!$B$2:$B$610,$B109)</f>
        <v>16690.96</v>
      </c>
      <c r="E109" s="20">
        <f>SUMIFS(明細對照!$F$2:$F$610,明細對照!$A$2:$A$610,"子板塊",明細對照!$B$2:$B$610,$B109)</f>
        <v>7703.713</v>
      </c>
      <c r="F109" s="21">
        <f>IF(N(D109)=0,"",E109/D109)</f>
        <v>0.46155002468402057</v>
      </c>
      <c r="G109" s="17">
        <f>COUNTIFS(明細對照!$A$2:$A$610,"子板塊",明細對照!$B$2:$B$610,$B109,明細對照!$F$2:$F$610,"&gt;0")</f>
        <v>3.0</v>
      </c>
      <c r="H109" s="17">
        <f>COUNTIFS(明細對照!$A$2:$A$610,"子板塊",明細對照!$B$2:$B$610,$B109)-COUNTIFS(明細對照!$A$2:$A$610,"子板塊",明細對照!$B$2:$B$610,$B109,明細對照!$D$2:$D$610,"USD")</f>
        <v>0.0</v>
      </c>
      <c r="I109" s="22" t="n">
        <v>-0.66</v>
      </c>
      <c r="J109" s="23" t="inlineStr">
        <is>
          <t>PM、MO、TPB</t>
        </is>
      </c>
    </row>
    <row r="110">
      <c r="A110" s="17" t="n">
        <v>109</v>
      </c>
      <c r="B110" s="18" t="inlineStr">
        <is>
          <t>資料/分析平台</t>
        </is>
      </c>
      <c r="C110" s="17" t="n">
        <v>4</v>
      </c>
      <c r="D110" s="19">
        <f>SUMIFS(明細對照!$E$2:$E$610,明細對照!$A$2:$A$610,"子板塊",明細對照!$B$2:$B$610,$B110)</f>
        <v>3828.691</v>
      </c>
      <c r="E110" s="20">
        <f>SUMIFS(明細對照!$F$2:$F$610,明細對照!$A$2:$A$610,"子板塊",明細對照!$B$2:$B$610,$B110)</f>
        <v>947.869</v>
      </c>
      <c r="F110" s="21">
        <f>IF(N(D110)=0,"",E110/D110)</f>
        <v>0.24756999193719212</v>
      </c>
      <c r="G110" s="17">
        <f>COUNTIFS(明細對照!$A$2:$A$610,"子板塊",明細對照!$B$2:$B$610,$B110,明細對照!$F$2:$F$610,"&gt;0")</f>
        <v>3.0</v>
      </c>
      <c r="H110" s="17">
        <f>COUNTIFS(明細對照!$A$2:$A$610,"子板塊",明細對照!$B$2:$B$610,$B110)-COUNTIFS(明細對照!$A$2:$A$610,"子板塊",明細對照!$B$2:$B$610,$B110,明細對照!$D$2:$D$610,"USD")</f>
        <v>0.0</v>
      </c>
      <c r="I110" s="22" t="n">
        <v>-0.79</v>
      </c>
      <c r="J110" s="23" t="inlineStr">
        <is>
          <t>PLTR、SNOW、MDB、DDOG</t>
        </is>
      </c>
    </row>
    <row r="111">
      <c r="A111" s="17" t="n">
        <v>110</v>
      </c>
      <c r="B111" s="18" t="inlineStr">
        <is>
          <t>傳媒與娛樂內容</t>
        </is>
      </c>
      <c r="C111" s="17" t="n">
        <v>4</v>
      </c>
      <c r="D111" s="19">
        <f>SUMIFS(明細對照!$E$2:$E$610,明細對照!$A$2:$A$610,"子板塊",明細對照!$B$2:$B$610,$B111)</f>
        <v>10940.131</v>
      </c>
      <c r="E111" s="20">
        <f>SUMIFS(明細對照!$F$2:$F$610,明細對照!$A$2:$A$610,"子板塊",明細對照!$B$2:$B$610,$B111)</f>
        <v>892.015</v>
      </c>
      <c r="F111" s="21">
        <f>IF(N(D111)=0,"",E111/D111)</f>
        <v>0.08153604376400977</v>
      </c>
      <c r="G111" s="17">
        <f>COUNTIFS(明細對照!$A$2:$A$610,"子板塊",明細對照!$B$2:$B$610,$B111,明細對照!$F$2:$F$610,"&gt;0")</f>
        <v>3.0</v>
      </c>
      <c r="H111" s="17">
        <f>COUNTIFS(明細對照!$A$2:$A$610,"子板塊",明細對照!$B$2:$B$610,$B111)-COUNTIFS(明細對照!$A$2:$A$610,"子板塊",明細對照!$B$2:$B$610,$B111,明細對照!$D$2:$D$610,"USD")</f>
        <v>0.0</v>
      </c>
      <c r="I111" s="22" t="n">
        <v>-0.86</v>
      </c>
      <c r="J111" s="23" t="inlineStr">
        <is>
          <t>LYV、FWONK、NWSA、PARA</t>
        </is>
      </c>
    </row>
    <row r="112">
      <c r="A112" s="17" t="n">
        <v>111</v>
      </c>
      <c r="B112" s="18" t="inlineStr">
        <is>
          <t>食品加工</t>
        </is>
      </c>
      <c r="C112" s="17" t="n">
        <v>4</v>
      </c>
      <c r="D112" s="19">
        <f>SUMIFS(明細對照!$E$2:$E$610,明細對照!$A$2:$A$610,"子板塊",明細對照!$B$2:$B$610,$B112)</f>
        <v>16541.006</v>
      </c>
      <c r="E112" s="20">
        <f>SUMIFS(明細對照!$F$2:$F$610,明細對照!$A$2:$A$610,"子板塊",明細對照!$B$2:$B$610,$B112)</f>
        <v>2582.156</v>
      </c>
      <c r="F112" s="21">
        <f>IF(N(D112)=0,"",E112/D112)</f>
        <v>0.1561063456479007</v>
      </c>
      <c r="G112" s="17">
        <f>COUNTIFS(明細對照!$A$2:$A$610,"子板塊",明細對照!$B$2:$B$610,$B112,明細對照!$F$2:$F$610,"&gt;0")</f>
        <v>4.0</v>
      </c>
      <c r="H112" s="17">
        <f>COUNTIFS(明細對照!$A$2:$A$610,"子板塊",明細對照!$B$2:$B$610,$B112)-COUNTIFS(明細對照!$A$2:$A$610,"子板塊",明細對照!$B$2:$B$610,$B112,明細對照!$D$2:$D$610,"USD")</f>
        <v>0.0</v>
      </c>
      <c r="I112" s="22" t="n">
        <v>-0.87</v>
      </c>
      <c r="J112" s="23" t="inlineStr">
        <is>
          <t>GIS、KHC、HSY、CAG</t>
        </is>
      </c>
    </row>
  </sheetData>
  <autoFilter ref="A1:J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30" customWidth="1" min="2" max="2"/>
    <col width="9" customWidth="1" min="3" max="3"/>
    <col width="16" customWidth="1" min="4" max="4"/>
    <col width="18" customWidth="1" min="5" max="5"/>
    <col width="15" customWidth="1" min="6" max="6"/>
    <col width="15" customWidth="1" min="7" max="7"/>
    <col width="14" customWidth="1" min="8" max="8"/>
    <col width="16" customWidth="1" min="9" max="9"/>
    <col width="60" customWidth="1" min="10" max="10"/>
  </cols>
  <sheetData>
    <row r="1" ht="40" customHeight="1">
      <c r="A1" s="5" t="inlineStr">
        <is>
          <t>#</t>
        </is>
      </c>
      <c r="B1" s="5" t="inlineStr">
        <is>
          <t>群組</t>
        </is>
      </c>
      <c r="C1" s="5" t="inlineStr">
        <is>
          <t>成分股數</t>
        </is>
      </c>
      <c r="D1" s="5" t="inlineStr">
        <is>
          <t>營收 Q0 合計
(百萬美元)</t>
        </is>
      </c>
      <c r="E1" s="5" t="inlineStr">
        <is>
          <t>營業利益 Q0 合計
(百萬美元)</t>
        </is>
      </c>
      <c r="F1" s="5" t="inlineStr">
        <is>
          <t>合計營業利益率 %</t>
        </is>
      </c>
      <c r="G1" s="5" t="inlineStr">
        <is>
          <t>盈利成分股數
(營業利益 &gt; 0)</t>
        </is>
      </c>
      <c r="H1" s="5" t="inlineStr">
        <is>
          <t>非美元呈報
(不計入合計)</t>
        </is>
      </c>
      <c r="I1" s="5" t="inlineStr">
        <is>
          <t>R5.00 5日資金流向 z</t>
        </is>
      </c>
      <c r="J1" s="5" t="inlineStr">
        <is>
          <t>成分股</t>
        </is>
      </c>
    </row>
    <row r="2">
      <c r="A2" s="17" t="n">
        <v>1</v>
      </c>
      <c r="B2" s="18" t="inlineStr">
        <is>
          <t>AA1 Neo</t>
        </is>
      </c>
      <c r="C2" s="17" t="n">
        <v>4</v>
      </c>
      <c r="D2" s="19">
        <f>SUMIFS(明細對照!$E$2:$E$610,明細對照!$A$2:$A$610,"AI 小群組",明細對照!$B$2:$B$610,$B2)</f>
        <v>3553.274</v>
      </c>
      <c r="E2" s="20">
        <f>SUMIFS(明細對照!$F$2:$F$610,明細對照!$A$2:$A$610,"AI 小群組",明細對照!$B$2:$B$610,$B2)</f>
        <v>-490.279</v>
      </c>
      <c r="F2" s="21">
        <f>IF(N(D2)=0,"",E2/D2)</f>
        <v>-0.1379795084758451</v>
      </c>
      <c r="G2" s="17">
        <f>COUNTIFS(明細對照!$A$2:$A$610,"AI 小群組",明細對照!$B$2:$B$610,$B2,明細對照!$F$2:$F$610,"&gt;0")</f>
        <v>0.0</v>
      </c>
      <c r="H2" s="17">
        <f>COUNTIFS(明細對照!$A$2:$A$610,"AI 小群組",明細對照!$B$2:$B$610,$B2)-COUNTIFS(明細對照!$A$2:$A$610,"AI 小群組",明細對照!$B$2:$B$610,$B2,明細對照!$D$2:$D$610,"USD")</f>
        <v>0.0</v>
      </c>
      <c r="I2" s="22" t="n">
        <v>0.77</v>
      </c>
      <c r="J2" s="23" t="inlineStr">
        <is>
          <t>APLD、IREN、NBIS、CRWV</t>
        </is>
      </c>
    </row>
    <row r="3">
      <c r="A3" s="17" t="n">
        <v>2</v>
      </c>
      <c r="B3" s="18" t="inlineStr">
        <is>
          <t>C1 HBM</t>
        </is>
      </c>
      <c r="C3" s="17" t="n">
        <v>1</v>
      </c>
      <c r="D3" s="19">
        <f>SUMIFS(明細對照!$E$2:$E$610,明細對照!$A$2:$A$610,"AI 小群組",明細對照!$B$2:$B$610,$B3)</f>
        <v>41456.0</v>
      </c>
      <c r="E3" s="20">
        <f>SUMIFS(明細對照!$F$2:$F$610,明細對照!$A$2:$A$610,"AI 小群組",明細對照!$B$2:$B$610,$B3)</f>
        <v>33318.0</v>
      </c>
      <c r="F3" s="21">
        <f>IF(N(D3)=0,"",E3/D3)</f>
        <v>0.8036954843689695</v>
      </c>
      <c r="G3" s="17">
        <f>COUNTIFS(明細對照!$A$2:$A$610,"AI 小群組",明細對照!$B$2:$B$610,$B3,明細對照!$F$2:$F$610,"&gt;0")</f>
        <v>1.0</v>
      </c>
      <c r="H3" s="17">
        <f>COUNTIFS(明細對照!$A$2:$A$610,"AI 小群組",明細對照!$B$2:$B$610,$B3)-COUNTIFS(明細對照!$A$2:$A$610,"AI 小群組",明細對照!$B$2:$B$610,$B3,明細對照!$D$2:$D$610,"USD")</f>
        <v>0.0</v>
      </c>
      <c r="I3" s="22" t="n">
        <v>0.6899999999999999</v>
      </c>
      <c r="J3" s="23" t="inlineStr">
        <is>
          <t>MU</t>
        </is>
      </c>
    </row>
    <row r="4">
      <c r="A4" s="17" t="n">
        <v>3</v>
      </c>
      <c r="B4" s="18" t="inlineStr">
        <is>
          <t>F2 散熱液冷</t>
        </is>
      </c>
      <c r="C4" s="17" t="n">
        <v>3</v>
      </c>
      <c r="D4" s="19">
        <f>SUMIFS(明細對照!$E$2:$E$610,明細對照!$A$2:$A$610,"AI 小群組",明細對照!$B$2:$B$610,$B4)</f>
        <v>8292.965</v>
      </c>
      <c r="E4" s="20">
        <f>SUMIFS(明細對照!$F$2:$F$610,明細對照!$A$2:$A$610,"AI 小群組",明細對照!$B$2:$B$610,$B4)</f>
        <v>1485.237</v>
      </c>
      <c r="F4" s="21">
        <f>IF(N(D4)=0,"",E4/D4)</f>
        <v>0.179096016925189</v>
      </c>
      <c r="G4" s="17">
        <f>COUNTIFS(明細對照!$A$2:$A$610,"AI 小群組",明細對照!$B$2:$B$610,$B4,明細對照!$F$2:$F$610,"&gt;0")</f>
        <v>3.0</v>
      </c>
      <c r="H4" s="17">
        <f>COUNTIFS(明細對照!$A$2:$A$610,"AI 小群組",明細對照!$B$2:$B$610,$B4)-COUNTIFS(明細對照!$A$2:$A$610,"AI 小群組",明細對照!$B$2:$B$610,$B4,明細對照!$D$2:$D$610,"USD")</f>
        <v>0.0</v>
      </c>
      <c r="I4" s="22" t="n">
        <v>0.65</v>
      </c>
      <c r="J4" s="23" t="inlineStr">
        <is>
          <t>TT、MOD、BE</t>
        </is>
      </c>
    </row>
    <row r="5">
      <c r="A5" s="17" t="n">
        <v>4</v>
      </c>
      <c r="B5" s="18" t="inlineStr">
        <is>
          <t>G1 其他雲平台</t>
        </is>
      </c>
      <c r="C5" s="17" t="n">
        <v>2</v>
      </c>
      <c r="D5" s="19">
        <f>SUMIFS(明細對照!$E$2:$E$610,明細對照!$A$2:$A$610,"AI 小群組",明細對照!$B$2:$B$610,$B5)</f>
        <v>79985.0</v>
      </c>
      <c r="E5" s="20">
        <f>SUMIFS(明細對照!$F$2:$F$610,明細對照!$A$2:$A$610,"AI 小群組",明細對照!$B$2:$B$610,$B5)</f>
        <v>25730.0</v>
      </c>
      <c r="F5" s="21">
        <f>IF(N(D5)=0,"",E5/D5)</f>
        <v>0.3216853159967494</v>
      </c>
      <c r="G5" s="17">
        <f>COUNTIFS(明細對照!$A$2:$A$610,"AI 小群組",明細對照!$B$2:$B$610,$B5,明細對照!$F$2:$F$610,"&gt;0")</f>
        <v>2.0</v>
      </c>
      <c r="H5" s="17">
        <f>COUNTIFS(明細對照!$A$2:$A$610,"AI 小群組",明細對照!$B$2:$B$610,$B5)-COUNTIFS(明細對照!$A$2:$A$610,"AI 小群組",明細對照!$B$2:$B$610,$B5,明細對照!$D$2:$D$610,"USD")</f>
        <v>0.0</v>
      </c>
      <c r="I5" s="22" t="n">
        <v>0.61</v>
      </c>
      <c r="J5" s="23" t="inlineStr">
        <is>
          <t>META、ORCL</t>
        </is>
      </c>
    </row>
    <row r="6">
      <c r="A6" s="17" t="n">
        <v>5</v>
      </c>
      <c r="B6" s="18" t="inlineStr">
        <is>
          <t>E1 Server</t>
        </is>
      </c>
      <c r="C6" s="17" t="n">
        <v>3</v>
      </c>
      <c r="D6" s="19">
        <f>SUMIFS(明細對照!$E$2:$E$610,明細對照!$A$2:$A$610,"AI 小群組",明細對照!$B$2:$B$610,$B6)</f>
        <v>11119.777</v>
      </c>
      <c r="E6" s="20">
        <f>SUMIFS(明細對照!$F$2:$F$610,明細對照!$A$2:$A$610,"AI 小群組",明細對照!$B$2:$B$610,$B6)</f>
        <v>1488.064</v>
      </c>
      <c r="F6" s="21">
        <f>IF(N(D6)=0,"",E6/D6)</f>
        <v>0.13382138868432344</v>
      </c>
      <c r="G6" s="17">
        <f>COUNTIFS(明細對照!$A$2:$A$610,"AI 小群組",明細對照!$B$2:$B$610,$B6,明細對照!$F$2:$F$610,"&gt;0")</f>
        <v>1.0</v>
      </c>
      <c r="H6" s="17">
        <f>COUNTIFS(明細對照!$A$2:$A$610,"AI 小群組",明細對照!$B$2:$B$610,$B6)-COUNTIFS(明細對照!$A$2:$A$610,"AI 小群組",明細對照!$B$2:$B$610,$B6,明細對照!$D$2:$D$610,"USD")</f>
        <v>0.0</v>
      </c>
      <c r="I6" s="22" t="n">
        <v>0.52</v>
      </c>
      <c r="J6" s="23" t="inlineStr">
        <is>
          <t>SMCI、DELL、HPE</t>
        </is>
      </c>
    </row>
    <row r="7">
      <c r="A7" s="17" t="n">
        <v>6</v>
      </c>
      <c r="B7" s="18" t="inlineStr">
        <is>
          <t>F3 能源</t>
        </is>
      </c>
      <c r="C7" s="17" t="n">
        <v>10</v>
      </c>
      <c r="D7" s="19">
        <f>SUMIFS(明細對照!$E$2:$E$610,明細對照!$A$2:$A$610,"AI 小群組",明細對照!$B$2:$B$610,$B7)</f>
        <v>21040.224042</v>
      </c>
      <c r="E7" s="20">
        <f>SUMIFS(明細對照!$F$2:$F$610,明細對照!$A$2:$A$610,"AI 小群組",明細對照!$B$2:$B$610,$B7)</f>
        <v>1547.494542</v>
      </c>
      <c r="F7" s="21">
        <f>IF(N(D7)=0,"",E7/D7)</f>
        <v>0.07354933763589816</v>
      </c>
      <c r="G7" s="17">
        <f>COUNTIFS(明細對照!$A$2:$A$610,"AI 小群組",明細對照!$B$2:$B$610,$B7,明細對照!$F$2:$F$610,"&gt;0")</f>
        <v>5.0</v>
      </c>
      <c r="H7" s="17">
        <f>COUNTIFS(明細對照!$A$2:$A$610,"AI 小群組",明細對照!$B$2:$B$610,$B7)-COUNTIFS(明細對照!$A$2:$A$610,"AI 小群組",明細對照!$B$2:$B$610,$B7,明細對照!$D$2:$D$610,"USD")</f>
        <v>1.0</v>
      </c>
      <c r="I7" s="22" t="n">
        <v>0.5</v>
      </c>
      <c r="J7" s="23" t="inlineStr">
        <is>
          <t>OKLO、NNE、LEU、BWXT、SMR、NRG、CEG、VST、TLN、CCJ</t>
        </is>
      </c>
    </row>
    <row r="8">
      <c r="A8" s="17" t="n">
        <v>7</v>
      </c>
      <c r="B8" s="18" t="inlineStr">
        <is>
          <t>D5 連接器</t>
        </is>
      </c>
      <c r="C8" s="17" t="n">
        <v>2</v>
      </c>
      <c r="D8" s="19">
        <f>SUMIFS(明細對照!$E$2:$E$610,明細對照!$A$2:$A$610,"AI 小群組",明細對照!$B$2:$B$610,$B8)</f>
        <v>5160.0</v>
      </c>
      <c r="E8" s="20">
        <f>SUMIFS(明細對照!$F$2:$F$610,明細對照!$A$2:$A$610,"AI 小群組",明細對照!$B$2:$B$610,$B8)</f>
        <v>1073.0</v>
      </c>
      <c r="F8" s="21">
        <f>IF(N(D8)=0,"",E8/D8)</f>
        <v>0.20794573643410852</v>
      </c>
      <c r="G8" s="17">
        <f>COUNTIFS(明細對照!$A$2:$A$610,"AI 小群組",明細對照!$B$2:$B$610,$B8,明細對照!$F$2:$F$610,"&gt;0")</f>
        <v>1.0</v>
      </c>
      <c r="H8" s="17">
        <f>COUNTIFS(明細對照!$A$2:$A$610,"AI 小群組",明細對照!$B$2:$B$610,$B8)-COUNTIFS(明細對照!$A$2:$A$610,"AI 小群組",明細對照!$B$2:$B$610,$B8,明細對照!$D$2:$D$610,"USD")</f>
        <v>0.0</v>
      </c>
      <c r="I8" s="22" t="n">
        <v>0.49</v>
      </c>
      <c r="J8" s="23" t="inlineStr">
        <is>
          <t>APH、TEL</t>
        </is>
      </c>
    </row>
    <row r="9">
      <c r="A9" s="17" t="n">
        <v>8</v>
      </c>
      <c r="B9" s="18" t="inlineStr">
        <is>
          <t>A1 GPU</t>
        </is>
      </c>
      <c r="C9" s="17" t="n">
        <v>3</v>
      </c>
      <c r="D9" s="19">
        <f>SUMIFS(明細對照!$E$2:$E$610,明細對照!$A$2:$A$610,"AI 小群組",明細對照!$B$2:$B$610,$B9)</f>
        <v>123885.0</v>
      </c>
      <c r="E9" s="20">
        <f>SUMIFS(明細對照!$F$2:$F$610,明細對照!$A$2:$A$610,"AI 小群組",明細對照!$B$2:$B$610,$B9)</f>
        <v>67690.0</v>
      </c>
      <c r="F9" s="21">
        <f>IF(N(D9)=0,"",E9/D9)</f>
        <v>0.5463938329902732</v>
      </c>
      <c r="G9" s="17">
        <f>COUNTIFS(明細對照!$A$2:$A$610,"AI 小群組",明細對照!$B$2:$B$610,$B9,明細對照!$F$2:$F$610,"&gt;0")</f>
        <v>3.0</v>
      </c>
      <c r="H9" s="17">
        <f>COUNTIFS(明細對照!$A$2:$A$610,"AI 小群組",明細對照!$B$2:$B$610,$B9)-COUNTIFS(明細對照!$A$2:$A$610,"AI 小群組",明細對照!$B$2:$B$610,$B9,明細對照!$D$2:$D$610,"USD")</f>
        <v>0.0</v>
      </c>
      <c r="I9" s="22" t="n">
        <v>0.49</v>
      </c>
      <c r="J9" s="23" t="inlineStr">
        <is>
          <t>NVDA、AMD、INTC</t>
        </is>
      </c>
    </row>
    <row r="10">
      <c r="A10" s="17" t="n">
        <v>9</v>
      </c>
      <c r="B10" s="18" t="inlineStr">
        <is>
          <t>F1 電源</t>
        </is>
      </c>
      <c r="C10" s="17" t="n">
        <v>7</v>
      </c>
      <c r="D10" s="19">
        <f>SUMIFS(明細對照!$E$2:$E$610,明細對照!$A$2:$A$610,"AI 小群組",明細對照!$B$2:$B$610,$B10)</f>
        <v>33506.807</v>
      </c>
      <c r="E10" s="20">
        <f>SUMIFS(明細對照!$F$2:$F$610,明細對照!$A$2:$A$610,"AI 小群組",明細對照!$B$2:$B$610,$B10)</f>
        <v>3193.064</v>
      </c>
      <c r="F10" s="21">
        <f>IF(N(D10)=0,"",E10/D10)</f>
        <v>0.09529597970943635</v>
      </c>
      <c r="G10" s="17">
        <f>COUNTIFS(明細對照!$A$2:$A$610,"AI 小群組",明細對照!$B$2:$B$610,$B10,明細對照!$F$2:$F$610,"&gt;0")</f>
        <v>5.0</v>
      </c>
      <c r="H10" s="17">
        <f>COUNTIFS(明細對照!$A$2:$A$610,"AI 小群組",明細對照!$B$2:$B$610,$B10)-COUNTIFS(明細對照!$A$2:$A$610,"AI 小群組",明細對照!$B$2:$B$610,$B10,明細對照!$D$2:$D$610,"USD")</f>
        <v>1.0</v>
      </c>
      <c r="I10" s="22" t="n">
        <v>0.41</v>
      </c>
      <c r="J10" s="23" t="inlineStr">
        <is>
          <t>PWR、VRT、ETN、SBGSY、GEV、GNRC、CMI</t>
        </is>
      </c>
    </row>
    <row r="11">
      <c r="A11" s="17" t="n">
        <v>10</v>
      </c>
      <c r="B11" s="18" t="inlineStr">
        <is>
          <t>D6 光纖</t>
        </is>
      </c>
      <c r="C11" s="17" t="n">
        <v>1</v>
      </c>
      <c r="D11" s="19">
        <f>SUMIFS(明細對照!$E$2:$E$610,明細對照!$A$2:$A$610,"AI 小群組",明細對照!$B$2:$B$610,$B11)</f>
        <v>4505.0</v>
      </c>
      <c r="E11" s="20">
        <f>SUMIFS(明細對照!$F$2:$F$610,明細對照!$A$2:$A$610,"AI 小群組",明細對照!$B$2:$B$610,$B11)</f>
        <v>698.0</v>
      </c>
      <c r="F11" s="21">
        <f>IF(N(D11)=0,"",E11/D11)</f>
        <v>0.15493895671476138</v>
      </c>
      <c r="G11" s="17">
        <f>COUNTIFS(明細對照!$A$2:$A$610,"AI 小群組",明細對照!$B$2:$B$610,$B11,明細對照!$F$2:$F$610,"&gt;0")</f>
        <v>1.0</v>
      </c>
      <c r="H11" s="17">
        <f>COUNTIFS(明細對照!$A$2:$A$610,"AI 小群組",明細對照!$B$2:$B$610,$B11)-COUNTIFS(明細對照!$A$2:$A$610,"AI 小群組",明細對照!$B$2:$B$610,$B11,明細對照!$D$2:$D$610,"USD")</f>
        <v>0.0</v>
      </c>
      <c r="I11" s="22" t="n">
        <v>0.28</v>
      </c>
      <c r="J11" s="23" t="inlineStr">
        <is>
          <t>GLW</t>
        </is>
      </c>
    </row>
    <row r="12">
      <c r="A12" s="17" t="n">
        <v>11</v>
      </c>
      <c r="B12" s="18" t="inlineStr">
        <is>
          <t>C2 NAND</t>
        </is>
      </c>
      <c r="C12" s="17" t="n">
        <v>3</v>
      </c>
      <c r="D12" s="19">
        <f>SUMIFS(明細對照!$E$2:$E$610,明細對照!$A$2:$A$610,"AI 小群組",明細對照!$B$2:$B$610,$B12)</f>
        <v>16341.0</v>
      </c>
      <c r="E12" s="20">
        <f>SUMIFS(明細對照!$F$2:$F$610,明細對照!$A$2:$A$610,"AI 小群組",明細對照!$B$2:$B$610,$B12)</f>
        <v>10206.0</v>
      </c>
      <c r="F12" s="21">
        <f>IF(N(D12)=0,"",E12/D12)</f>
        <v>0.6245639801725721</v>
      </c>
      <c r="G12" s="17">
        <f>COUNTIFS(明細對照!$A$2:$A$610,"AI 小群組",明細對照!$B$2:$B$610,$B12,明細對照!$F$2:$F$610,"&gt;0")</f>
        <v>3.0</v>
      </c>
      <c r="H12" s="17">
        <f>COUNTIFS(明細對照!$A$2:$A$610,"AI 小群組",明細對照!$B$2:$B$610,$B12)-COUNTIFS(明細對照!$A$2:$A$610,"AI 小群組",明細對照!$B$2:$B$610,$B12,明細對照!$D$2:$D$610,"USD")</f>
        <v>0.0</v>
      </c>
      <c r="I12" s="22" t="n">
        <v>0.2</v>
      </c>
      <c r="J12" s="23" t="inlineStr">
        <is>
          <t>SNDK、WDC、STX</t>
        </is>
      </c>
    </row>
    <row r="13">
      <c r="A13" s="17" t="n">
        <v>12</v>
      </c>
      <c r="B13" s="18" t="inlineStr">
        <is>
          <t>B1 Foundry</t>
        </is>
      </c>
      <c r="C13" s="17" t="n">
        <v>2</v>
      </c>
      <c r="D13" s="19">
        <f>SUMIFS(明細對照!$E$2:$E$610,明細對照!$A$2:$A$610,"AI 小群組",明細對照!$B$2:$B$610,$B13)</f>
        <v>1786.0</v>
      </c>
      <c r="E13" s="20">
        <f>SUMIFS(明細對照!$F$2:$F$610,明細對照!$A$2:$A$610,"AI 小群組",明細對照!$B$2:$B$610,$B13)</f>
        <v>174.0</v>
      </c>
      <c r="F13" s="21">
        <f>IF(N(D13)=0,"",E13/D13)</f>
        <v>0.09742441209406495</v>
      </c>
      <c r="G13" s="17">
        <f>COUNTIFS(明細對照!$A$2:$A$610,"AI 小群組",明細對照!$B$2:$B$610,$B13,明細對照!$F$2:$F$610,"&gt;0")</f>
        <v>1.0</v>
      </c>
      <c r="H13" s="17">
        <f>COUNTIFS(明細對照!$A$2:$A$610,"AI 小群組",明細對照!$B$2:$B$610,$B13)-COUNTIFS(明細對照!$A$2:$A$610,"AI 小群組",明細對照!$B$2:$B$610,$B13,明細對照!$D$2:$D$610,"USD")</f>
        <v>1.0</v>
      </c>
      <c r="I13" s="22" t="n">
        <v>0.2</v>
      </c>
      <c r="J13" s="23" t="inlineStr">
        <is>
          <t>TSM、GFS</t>
        </is>
      </c>
    </row>
    <row r="14">
      <c r="A14" s="17" t="n">
        <v>13</v>
      </c>
      <c r="B14" s="18" t="inlineStr">
        <is>
          <t>A4 運算</t>
        </is>
      </c>
      <c r="C14" s="17" t="n">
        <v>3</v>
      </c>
      <c r="D14" s="19">
        <f>SUMIFS(明細對照!$E$2:$E$610,明細對照!$A$2:$A$610,"AI 小群組",明細對照!$B$2:$B$610,$B14)</f>
        <v>120653.0</v>
      </c>
      <c r="E14" s="20">
        <f>SUMIFS(明細對照!$F$2:$F$610,明細對照!$A$2:$A$610,"AI 小群組",明細對照!$B$2:$B$610,$B14)</f>
        <v>37419.0</v>
      </c>
      <c r="F14" s="21">
        <f>IF(N(D14)=0,"",E14/D14)</f>
        <v>0.3101373359966184</v>
      </c>
      <c r="G14" s="17">
        <f>COUNTIFS(明細對照!$A$2:$A$610,"AI 小群組",明細對照!$B$2:$B$610,$B14,明細對照!$F$2:$F$610,"&gt;0")</f>
        <v>3.0</v>
      </c>
      <c r="H14" s="17">
        <f>COUNTIFS(明細對照!$A$2:$A$610,"AI 小群組",明細對照!$B$2:$B$610,$B14)-COUNTIFS(明細對照!$A$2:$A$610,"AI 小群組",明細對照!$B$2:$B$610,$B14,明細對照!$D$2:$D$610,"USD")</f>
        <v>0.0</v>
      </c>
      <c r="I14" s="22" t="n">
        <v>0.11</v>
      </c>
      <c r="J14" s="23" t="inlineStr">
        <is>
          <t>ARM、QCOM、AAPL</t>
        </is>
      </c>
    </row>
    <row r="15">
      <c r="A15" s="17" t="n">
        <v>14</v>
      </c>
      <c r="B15" s="18" t="inlineStr">
        <is>
          <t>G2 數據中心</t>
        </is>
      </c>
      <c r="C15" s="17" t="n">
        <v>2</v>
      </c>
      <c r="D15" s="19">
        <f>SUMIFS(明細對照!$E$2:$E$610,明細對照!$A$2:$A$610,"AI 小群組",明細對照!$B$2:$B$610,$B15)</f>
        <v>2625.0</v>
      </c>
      <c r="E15" s="20">
        <f>SUMIFS(明細對照!$F$2:$F$610,明細對照!$A$2:$A$610,"AI 小群組",明細對照!$B$2:$B$610,$B15)</f>
        <v>694.0</v>
      </c>
      <c r="F15" s="21">
        <f>IF(N(D15)=0,"",E15/D15)</f>
        <v>0.2643809523809524</v>
      </c>
      <c r="G15" s="17">
        <f>COUNTIFS(明細對照!$A$2:$A$610,"AI 小群組",明細對照!$B$2:$B$610,$B15,明細對照!$F$2:$F$610,"&gt;0")</f>
        <v>1.0</v>
      </c>
      <c r="H15" s="17">
        <f>COUNTIFS(明細對照!$A$2:$A$610,"AI 小群組",明細對照!$B$2:$B$610,$B15)-COUNTIFS(明細對照!$A$2:$A$610,"AI 小群組",明細對照!$B$2:$B$610,$B15,明細對照!$D$2:$D$610,"USD")</f>
        <v>0.0</v>
      </c>
      <c r="I15" s="22" t="n">
        <v>0.1</v>
      </c>
      <c r="J15" s="23" t="inlineStr">
        <is>
          <t>DLR、EQIX</t>
        </is>
      </c>
    </row>
    <row r="16">
      <c r="A16" s="17" t="n">
        <v>15</v>
      </c>
      <c r="B16" s="18" t="inlineStr">
        <is>
          <t>D2 矽光</t>
        </is>
      </c>
      <c r="C16" s="17" t="n">
        <v>3</v>
      </c>
      <c r="D16" s="19">
        <f>SUMIFS(明細對照!$E$2:$E$610,明細對照!$A$2:$A$610,"AI 小群組",明細對照!$B$2:$B$610,$B16)</f>
        <v>460.68167600000004</v>
      </c>
      <c r="E16" s="20">
        <f>SUMIFS(明細對照!$F$2:$F$610,明細對照!$A$2:$A$610,"AI 小群組",明細對照!$B$2:$B$610,$B16)</f>
        <v>69.00288900000001</v>
      </c>
      <c r="F16" s="21">
        <f>IF(N(D16)=0,"",E16/D16)</f>
        <v>0.14978431440802523</v>
      </c>
      <c r="G16" s="17">
        <f>COUNTIFS(明細對照!$A$2:$A$610,"AI 小群組",明細對照!$B$2:$B$610,$B16,明細對照!$F$2:$F$610,"&gt;0")</f>
        <v>1.0</v>
      </c>
      <c r="H16" s="17">
        <f>COUNTIFS(明細對照!$A$2:$A$610,"AI 小群組",明細對照!$B$2:$B$610,$B16)-COUNTIFS(明細對照!$A$2:$A$610,"AI 小群組",明細對照!$B$2:$B$610,$B16,明細對照!$D$2:$D$610,"USD")</f>
        <v>0.0</v>
      </c>
      <c r="I16" s="22" t="n">
        <v>0.06</v>
      </c>
      <c r="J16" s="23" t="inlineStr">
        <is>
          <t>TSEM、POET、LWLG</t>
        </is>
      </c>
    </row>
    <row r="17">
      <c r="A17" s="17" t="n">
        <v>16</v>
      </c>
      <c r="B17" s="18" t="inlineStr">
        <is>
          <t>C3 記憶體介面/控制晶片</t>
        </is>
      </c>
      <c r="C17" s="17" t="n">
        <v>2</v>
      </c>
      <c r="D17" s="19">
        <f>SUMIFS(明細對照!$E$2:$E$610,明細對照!$A$2:$A$610,"AI 小群組",明細對照!$B$2:$B$610,$B17)</f>
        <v>658.386</v>
      </c>
      <c r="E17" s="20">
        <f>SUMIFS(明細對照!$F$2:$F$610,明細對照!$A$2:$A$610,"AI 小群組",明細對照!$B$2:$B$610,$B17)</f>
        <v>177.127</v>
      </c>
      <c r="F17" s="21">
        <f>IF(N(D17)=0,"",E17/D17)</f>
        <v>0.26903214831421085</v>
      </c>
      <c r="G17" s="17">
        <f>COUNTIFS(明細對照!$A$2:$A$610,"AI 小群組",明細對照!$B$2:$B$610,$B17,明細對照!$F$2:$F$610,"&gt;0")</f>
        <v>2.0</v>
      </c>
      <c r="H17" s="17">
        <f>COUNTIFS(明細對照!$A$2:$A$610,"AI 小群組",明細對照!$B$2:$B$610,$B17)-COUNTIFS(明細對照!$A$2:$A$610,"AI 小群組",明細對照!$B$2:$B$610,$B17,明細對照!$D$2:$D$610,"USD")</f>
        <v>0.0</v>
      </c>
      <c r="I17" s="22" t="n">
        <v>0.06</v>
      </c>
      <c r="J17" s="23" t="inlineStr">
        <is>
          <t>RMBS、SIMO</t>
        </is>
      </c>
    </row>
    <row r="18">
      <c r="A18" s="17" t="n">
        <v>17</v>
      </c>
      <c r="B18" s="18" t="inlineStr">
        <is>
          <t>B4 光模塊/化合物半導體設備</t>
        </is>
      </c>
      <c r="C18" s="17" t="n">
        <v>1</v>
      </c>
      <c r="D18" s="19">
        <f>SUMIFS(明細對照!$E$2:$E$610,明細對照!$A$2:$A$610,"AI 小群組",明細對照!$B$2:$B$610,$B18)</f>
        <v>158.341</v>
      </c>
      <c r="E18" s="20">
        <f>SUMIFS(明細對照!$F$2:$F$610,明細對照!$A$2:$A$610,"AI 小群組",明細對照!$B$2:$B$610,$B18)</f>
        <v>-0.646</v>
      </c>
      <c r="F18" s="21">
        <f>IF(N(D18)=0,"",E18/D18)</f>
        <v>-0.004079802451670761</v>
      </c>
      <c r="G18" s="17">
        <f>COUNTIFS(明細對照!$A$2:$A$610,"AI 小群組",明細對照!$B$2:$B$610,$B18,明細對照!$F$2:$F$610,"&gt;0")</f>
        <v>0.0</v>
      </c>
      <c r="H18" s="17">
        <f>COUNTIFS(明細對照!$A$2:$A$610,"AI 小群組",明細對照!$B$2:$B$610,$B18)-COUNTIFS(明細對照!$A$2:$A$610,"AI 小群組",明細對照!$B$2:$B$610,$B18,明細對照!$D$2:$D$610,"USD")</f>
        <v>0.0</v>
      </c>
      <c r="I18" s="22" t="n">
        <v>-0.04</v>
      </c>
      <c r="J18" s="23" t="inlineStr">
        <is>
          <t>VECO</t>
        </is>
      </c>
    </row>
    <row r="19">
      <c r="A19" s="17" t="n">
        <v>18</v>
      </c>
      <c r="B19" s="18" t="inlineStr">
        <is>
          <t>B2 半導體前段設備</t>
        </is>
      </c>
      <c r="C19" s="17" t="n">
        <v>4</v>
      </c>
      <c r="D19" s="19">
        <f>SUMIFS(明細對照!$E$2:$E$610,明細對照!$A$2:$A$610,"AI 小群組",明細對照!$B$2:$B$610,$B19)</f>
        <v>19494.794</v>
      </c>
      <c r="E19" s="20">
        <f>SUMIFS(明細對照!$F$2:$F$610,明細對照!$A$2:$A$610,"AI 小群組",明細對照!$B$2:$B$610,$B19)</f>
        <v>7142.436</v>
      </c>
      <c r="F19" s="21">
        <f>IF(N(D19)=0,"",E19/D19)</f>
        <v>0.36637658238399434</v>
      </c>
      <c r="G19" s="17">
        <f>COUNTIFS(明細對照!$A$2:$A$610,"AI 小群組",明細對照!$B$2:$B$610,$B19,明細對照!$F$2:$F$610,"&gt;0")</f>
        <v>3.0</v>
      </c>
      <c r="H19" s="17">
        <f>COUNTIFS(明細對照!$A$2:$A$610,"AI 小群組",明細對照!$B$2:$B$610,$B19)-COUNTIFS(明細對照!$A$2:$A$610,"AI 小群組",明細對照!$B$2:$B$610,$B19,明細對照!$D$2:$D$610,"USD")</f>
        <v>1.0</v>
      </c>
      <c r="I19" s="22" t="n">
        <v>-0.06</v>
      </c>
      <c r="J19" s="23" t="inlineStr">
        <is>
          <t>ASML、AMAT、LRCX、KLAC</t>
        </is>
      </c>
    </row>
    <row r="20">
      <c r="A20" s="17" t="n">
        <v>19</v>
      </c>
      <c r="B20" s="18" t="inlineStr">
        <is>
          <t>B3 先進封裝</t>
        </is>
      </c>
      <c r="C20" s="17" t="n">
        <v>7</v>
      </c>
      <c r="D20" s="19">
        <f>SUMIFS(明細對照!$E$2:$E$610,明細對照!$A$2:$A$610,"AI 小群組",明細對照!$B$2:$B$610,$B20)</f>
        <v>3722.1620000000003</v>
      </c>
      <c r="E20" s="20">
        <f>SUMIFS(明細對照!$F$2:$F$610,明細對照!$A$2:$A$610,"AI 小群組",明細對照!$B$2:$B$610,$B20)</f>
        <v>734.028</v>
      </c>
      <c r="F20" s="21">
        <f>IF(N(D20)=0,"",E20/D20)</f>
        <v>0.19720474283494377</v>
      </c>
      <c r="G20" s="17">
        <f>COUNTIFS(明細對照!$A$2:$A$610,"AI 小群組",明細對照!$B$2:$B$610,$B20,明細對照!$F$2:$F$610,"&gt;0")</f>
        <v>4.0</v>
      </c>
      <c r="H20" s="17">
        <f>COUNTIFS(明細對照!$A$2:$A$610,"AI 小群組",明細對照!$B$2:$B$610,$B20)-COUNTIFS(明細對照!$A$2:$A$610,"AI 小群組",明細對照!$B$2:$B$610,$B20,明細對照!$D$2:$D$610,"USD")</f>
        <v>1.0</v>
      </c>
      <c r="I20" s="22" t="n">
        <v>-0.1</v>
      </c>
      <c r="J20" s="23" t="inlineStr">
        <is>
          <t>FORM、AEHR、CAMT、ONTO、ASX、AMKR、TER</t>
        </is>
      </c>
    </row>
    <row r="21">
      <c r="A21" s="17" t="n">
        <v>20</v>
      </c>
      <c r="B21" s="18" t="inlineStr">
        <is>
          <t>G4 機器人</t>
        </is>
      </c>
      <c r="C21" s="17" t="n">
        <v>3</v>
      </c>
      <c r="D21" s="19">
        <f>SUMIFS(明細對照!$E$2:$E$610,明細對照!$A$2:$A$610,"AI 小群組",明細對照!$B$2:$B$610,$B21)</f>
        <v>31849.138</v>
      </c>
      <c r="E21" s="20">
        <f>SUMIFS(明細對照!$F$2:$F$610,明細對照!$A$2:$A$610,"AI 小群組",明細對照!$B$2:$B$610,$B21)</f>
        <v>1402.795</v>
      </c>
      <c r="F21" s="21">
        <f>IF(N(D21)=0,"",E21/D21)</f>
        <v>0.04404499110776562</v>
      </c>
      <c r="G21" s="17">
        <f>COUNTIFS(明細對照!$A$2:$A$610,"AI 小群組",明細對照!$B$2:$B$610,$B21,明細對照!$F$2:$F$610,"&gt;0")</f>
        <v>3.0</v>
      </c>
      <c r="H21" s="17">
        <f>COUNTIFS(明細對照!$A$2:$A$610,"AI 小群組",明細對照!$B$2:$B$610,$B21)-COUNTIFS(明細對照!$A$2:$A$610,"AI 小群組",明細對照!$B$2:$B$610,$B21,明細對照!$D$2:$D$610,"USD")</f>
        <v>0.0</v>
      </c>
      <c r="I21" s="22" t="n">
        <v>-0.11</v>
      </c>
      <c r="J21" s="23" t="inlineStr">
        <is>
          <t>TSLA、SYM、ISRG</t>
        </is>
      </c>
    </row>
    <row r="22">
      <c r="A22" s="17" t="n">
        <v>21</v>
      </c>
      <c r="B22" s="18" t="inlineStr">
        <is>
          <t>A2 ASIC</t>
        </is>
      </c>
      <c r="C22" s="17" t="n">
        <v>2</v>
      </c>
      <c r="D22" s="19">
        <f>SUMIFS(明細對照!$E$2:$E$610,明細對照!$A$2:$A$610,"AI 小群組",明細對照!$B$2:$B$610,$B22)</f>
        <v>2739.3</v>
      </c>
      <c r="E22" s="20">
        <f>SUMIFS(明細對照!$F$2:$F$610,明細對照!$A$2:$A$610,"AI 小群組",明細對照!$B$2:$B$610,$B22)</f>
        <v>456.9</v>
      </c>
      <c r="F22" s="21">
        <f>IF(N(D22)=0,"",E22/D22)</f>
        <v>0.16679443653488116</v>
      </c>
      <c r="G22" s="17">
        <f>COUNTIFS(明細對照!$A$2:$A$610,"AI 小群組",明細對照!$B$2:$B$610,$B22,明細對照!$F$2:$F$610,"&gt;0")</f>
        <v>1.0</v>
      </c>
      <c r="H22" s="17">
        <f>COUNTIFS(明細對照!$A$2:$A$610,"AI 小群組",明細對照!$B$2:$B$610,$B22)-COUNTIFS(明細對照!$A$2:$A$610,"AI 小群組",明細對照!$B$2:$B$610,$B22,明細對照!$D$2:$D$610,"USD")</f>
        <v>0.0</v>
      </c>
      <c r="I22" s="22" t="n">
        <v>-0.12</v>
      </c>
      <c r="J22" s="23" t="inlineStr">
        <is>
          <t>AVGO、MRVL</t>
        </is>
      </c>
    </row>
    <row r="23">
      <c r="A23" s="17" t="n">
        <v>22</v>
      </c>
      <c r="B23" s="18" t="inlineStr">
        <is>
          <t>C4 儲存系統</t>
        </is>
      </c>
      <c r="C23" s="17" t="n">
        <v>1</v>
      </c>
      <c r="D23" s="19">
        <f>SUMIFS(明細對照!$E$2:$E$610,明細對照!$A$2:$A$610,"AI 小群組",明細對照!$B$2:$B$610,$B23)</f>
        <v>0.0</v>
      </c>
      <c r="E23" s="20">
        <f>SUMIFS(明細對照!$F$2:$F$610,明細對照!$A$2:$A$610,"AI 小群組",明細對照!$B$2:$B$610,$B23)</f>
        <v>0.0</v>
      </c>
      <c r="F23" s="21" t="str">
        <f>IF(N(D23)=0,"",E23/D23)</f>
        <v/>
      </c>
      <c r="G23" s="17">
        <f>COUNTIFS(明細對照!$A$2:$A$610,"AI 小群組",明細對照!$B$2:$B$610,$B23,明細對照!$F$2:$F$610,"&gt;0")</f>
        <v>0.0</v>
      </c>
      <c r="H23" s="17">
        <f>COUNTIFS(明細對照!$A$2:$A$610,"AI 小群組",明細對照!$B$2:$B$610,$B23)-COUNTIFS(明細對照!$A$2:$A$610,"AI 小群組",明細對照!$B$2:$B$610,$B23,明細對照!$D$2:$D$610,"USD")</f>
        <v>0.0</v>
      </c>
      <c r="I23" s="22" t="n">
        <v>-0.15</v>
      </c>
      <c r="J23" s="23" t="inlineStr">
        <is>
          <t>NTAP</t>
        </is>
      </c>
    </row>
    <row r="24">
      <c r="A24" s="17" t="n">
        <v>23</v>
      </c>
      <c r="B24" s="18" t="inlineStr">
        <is>
          <t>D1 光模塊</t>
        </is>
      </c>
      <c r="C24" s="17" t="n">
        <v>4</v>
      </c>
      <c r="D24" s="19">
        <f>SUMIFS(明細對照!$E$2:$E$610,明細對照!$A$2:$A$610,"AI 小群組",明細對照!$B$2:$B$610,$B24)</f>
        <v>4709.858</v>
      </c>
      <c r="E24" s="20">
        <f>SUMIFS(明細對照!$F$2:$F$610,明細對照!$A$2:$A$610,"AI 小群組",明細對照!$B$2:$B$610,$B24)</f>
        <v>797.519</v>
      </c>
      <c r="F24" s="21">
        <f>IF(N(D24)=0,"",E24/D24)</f>
        <v>0.16932973350788919</v>
      </c>
      <c r="G24" s="17">
        <f>COUNTIFS(明細對照!$A$2:$A$610,"AI 小群組",明細對照!$B$2:$B$610,$B24,明細對照!$F$2:$F$610,"&gt;0")</f>
        <v>4.0</v>
      </c>
      <c r="H24" s="17">
        <f>COUNTIFS(明細對照!$A$2:$A$610,"AI 小群組",明細對照!$B$2:$B$610,$B24)-COUNTIFS(明細對照!$A$2:$A$610,"AI 小群組",明細對照!$B$2:$B$610,$B24,明細對照!$D$2:$D$610,"USD")</f>
        <v>0.0</v>
      </c>
      <c r="I24" s="22" t="n">
        <v>-0.18</v>
      </c>
      <c r="J24" s="23" t="inlineStr">
        <is>
          <t>COHR、LITE、MTSI、FN</t>
        </is>
      </c>
    </row>
    <row r="25">
      <c r="A25" s="17" t="n">
        <v>24</v>
      </c>
      <c r="B25" s="18" t="inlineStr">
        <is>
          <t>D3 高速互連</t>
        </is>
      </c>
      <c r="C25" s="17" t="n">
        <v>3</v>
      </c>
      <c r="D25" s="19">
        <f>SUMIFS(明細對照!$E$2:$E$610,明細對照!$A$2:$A$610,"AI 小群組",明細對照!$B$2:$B$610,$B25)</f>
        <v>1171.274</v>
      </c>
      <c r="E25" s="20">
        <f>SUMIFS(明細對照!$F$2:$F$610,明細對照!$A$2:$A$610,"AI 小群組",明細對照!$B$2:$B$610,$B25)</f>
        <v>300.553</v>
      </c>
      <c r="F25" s="21">
        <f>IF(N(D25)=0,"",E25/D25)</f>
        <v>0.2566034932902122</v>
      </c>
      <c r="G25" s="17">
        <f>COUNTIFS(明細對照!$A$2:$A$610,"AI 小群組",明細對照!$B$2:$B$610,$B25,明細對照!$F$2:$F$610,"&gt;0")</f>
        <v>3.0</v>
      </c>
      <c r="H25" s="17">
        <f>COUNTIFS(明細對照!$A$2:$A$610,"AI 小群組",明細對照!$B$2:$B$610,$B25)-COUNTIFS(明細對照!$A$2:$A$610,"AI 小群組",明細對照!$B$2:$B$610,$B25,明細對照!$D$2:$D$610,"USD")</f>
        <v>0.0</v>
      </c>
      <c r="I25" s="22" t="n">
        <v>-0.19</v>
      </c>
      <c r="J25" s="23" t="inlineStr">
        <is>
          <t>CRDO、ALAB、SMTC</t>
        </is>
      </c>
    </row>
    <row r="26">
      <c r="A26" s="17" t="n">
        <v>25</v>
      </c>
      <c r="B26" s="18" t="inlineStr">
        <is>
          <t>AA3 中國雲</t>
        </is>
      </c>
      <c r="C26" s="17" t="n">
        <v>3</v>
      </c>
      <c r="D26" s="19">
        <f>SUMIFS(明細對照!$E$2:$E$610,明細對照!$A$2:$A$610,"AI 小群組",明細對照!$B$2:$B$610,$B26)</f>
        <v>0.0</v>
      </c>
      <c r="E26" s="20">
        <f>SUMIFS(明細對照!$F$2:$F$610,明細對照!$A$2:$A$610,"AI 小群組",明細對照!$B$2:$B$610,$B26)</f>
        <v>0.0</v>
      </c>
      <c r="F26" s="21" t="str">
        <f>IF(N(D26)=0,"",E26/D26)</f>
        <v/>
      </c>
      <c r="G26" s="17">
        <f>COUNTIFS(明細對照!$A$2:$A$610,"AI 小群組",明細對照!$B$2:$B$610,$B26,明細對照!$F$2:$F$610,"&gt;0")</f>
        <v>0.0</v>
      </c>
      <c r="H26" s="17">
        <f>COUNTIFS(明細對照!$A$2:$A$610,"AI 小群組",明細對照!$B$2:$B$610,$B26)-COUNTIFS(明細對照!$A$2:$A$610,"AI 小群組",明細對照!$B$2:$B$610,$B26,明細對照!$D$2:$D$610,"USD")</f>
        <v>3.0</v>
      </c>
      <c r="I26" s="22" t="n">
        <v>-0.3</v>
      </c>
      <c r="J26" s="23" t="inlineStr">
        <is>
          <t>BABA、TCEHY、BIDU</t>
        </is>
      </c>
    </row>
    <row r="27">
      <c r="A27" s="17" t="n">
        <v>26</v>
      </c>
      <c r="B27" s="18" t="inlineStr">
        <is>
          <t>G5 IT</t>
        </is>
      </c>
      <c r="C27" s="17" t="n">
        <v>2</v>
      </c>
      <c r="D27" s="19">
        <f>SUMIFS(明細對照!$E$2:$E$610,明細對照!$A$2:$A$610,"AI 小群組",明細對照!$B$2:$B$610,$B27)</f>
        <v>19388.244</v>
      </c>
      <c r="E27" s="20">
        <f>SUMIFS(明細對照!$F$2:$F$610,明細對照!$A$2:$A$610,"AI 小群組",明細對照!$B$2:$B$610,$B27)</f>
        <v>3142.098</v>
      </c>
      <c r="F27" s="21">
        <f>IF(N(D27)=0,"",E27/D27)</f>
        <v>0.16206202067603442</v>
      </c>
      <c r="G27" s="17">
        <f>COUNTIFS(明細對照!$A$2:$A$610,"AI 小群組",明細對照!$B$2:$B$610,$B27,明細對照!$F$2:$F$610,"&gt;0")</f>
        <v>1.0</v>
      </c>
      <c r="H27" s="17">
        <f>COUNTIFS(明細對照!$A$2:$A$610,"AI 小群組",明細對照!$B$2:$B$610,$B27)-COUNTIFS(明細對照!$A$2:$A$610,"AI 小群組",明細對照!$B$2:$B$610,$B27,明細對照!$D$2:$D$610,"USD")</f>
        <v>0.0</v>
      </c>
      <c r="I27" s="22" t="n">
        <v>-0.32</v>
      </c>
      <c r="J27" s="23" t="inlineStr">
        <is>
          <t>ACN、RXT</t>
        </is>
      </c>
    </row>
    <row r="28">
      <c r="A28" s="17" t="n">
        <v>27</v>
      </c>
      <c r="B28" s="18" t="inlineStr">
        <is>
          <t>D8 安全</t>
        </is>
      </c>
      <c r="C28" s="17" t="n">
        <v>3</v>
      </c>
      <c r="D28" s="19">
        <f>SUMIFS(明細對照!$E$2:$E$610,明細對照!$A$2:$A$610,"AI 小群組",明細對照!$B$2:$B$610,$B28)</f>
        <v>6520.797</v>
      </c>
      <c r="E28" s="20">
        <f>SUMIFS(明細對照!$F$2:$F$610,明細對照!$A$2:$A$610,"AI 小群組",明細對照!$B$2:$B$610,$B28)</f>
        <v>473.068</v>
      </c>
      <c r="F28" s="21">
        <f>IF(N(D28)=0,"",E28/D28)</f>
        <v>0.07254757355580921</v>
      </c>
      <c r="G28" s="17">
        <f>COUNTIFS(明細對照!$A$2:$A$610,"AI 小群組",明細對照!$B$2:$B$610,$B28,明細對照!$F$2:$F$610,"&gt;0")</f>
        <v>1.0</v>
      </c>
      <c r="H28" s="17">
        <f>COUNTIFS(明細對照!$A$2:$A$610,"AI 小群組",明細對照!$B$2:$B$610,$B28)-COUNTIFS(明細對照!$A$2:$A$610,"AI 小群組",明細對照!$B$2:$B$610,$B28,明細對照!$D$2:$D$610,"USD")</f>
        <v>0.0</v>
      </c>
      <c r="I28" s="22" t="n">
        <v>-0.37</v>
      </c>
      <c r="J28" s="23" t="inlineStr">
        <is>
          <t>PANW、FTNT、CRWD</t>
        </is>
      </c>
    </row>
    <row r="29">
      <c r="A29" s="17" t="n">
        <v>28</v>
      </c>
      <c r="B29" s="18" t="inlineStr">
        <is>
          <t>D9 光模塊上游</t>
        </is>
      </c>
      <c r="C29" s="17" t="n">
        <v>6</v>
      </c>
      <c r="D29" s="19">
        <f>SUMIFS(明細對照!$E$2:$E$610,明細對照!$A$2:$A$610,"AI 小群組",明細對照!$B$2:$B$610,$B29)</f>
        <v>879.439814</v>
      </c>
      <c r="E29" s="20">
        <f>SUMIFS(明細對照!$F$2:$F$610,明細對照!$A$2:$A$610,"AI 小群組",明細對照!$B$2:$B$610,$B29)</f>
        <v>86.84495799999999</v>
      </c>
      <c r="F29" s="21">
        <f>IF(N(D29)=0,"",E29/D29)</f>
        <v>0.09875031425402352</v>
      </c>
      <c r="G29" s="17">
        <f>COUNTIFS(明細對照!$A$2:$A$610,"AI 小群組",明細對照!$B$2:$B$610,$B29,明細對照!$F$2:$F$610,"&gt;0")</f>
        <v>3.0</v>
      </c>
      <c r="H29" s="17">
        <f>COUNTIFS(明細對照!$A$2:$A$610,"AI 小群組",明細對照!$B$2:$B$610,$B29)-COUNTIFS(明細對照!$A$2:$A$610,"AI 小群組",明細對照!$B$2:$B$610,$B29,明細對照!$D$2:$D$610,"USD")</f>
        <v>0.0</v>
      </c>
      <c r="I29" s="22" t="n">
        <v>-0.47</v>
      </c>
      <c r="J29" s="23" t="inlineStr">
        <is>
          <t>AXTI、AMS、IPGP、LASR、VIAV、LPTH</t>
        </is>
      </c>
    </row>
    <row r="30">
      <c r="A30" s="17" t="n">
        <v>29</v>
      </c>
      <c r="B30" s="18" t="inlineStr">
        <is>
          <t>AA2 Hyperscaler</t>
        </is>
      </c>
      <c r="C30" s="17" t="n">
        <v>3</v>
      </c>
      <c r="D30" s="19">
        <f>SUMIFS(明細對照!$E$2:$E$610,明細對照!$A$2:$A$610,"AI 小群組",明細對照!$B$2:$B$610,$B30)</f>
        <v>209803.0</v>
      </c>
      <c r="E30" s="20">
        <f>SUMIFS(明細對照!$F$2:$F$610,明細對照!$A$2:$A$610,"AI 小群組",明細對照!$B$2:$B$610,$B30)</f>
        <v>81373.0</v>
      </c>
      <c r="F30" s="21">
        <f>IF(N(D30)=0,"",E30/D30)</f>
        <v>0.3878543204815946</v>
      </c>
      <c r="G30" s="17">
        <f>COUNTIFS(明細對照!$A$2:$A$610,"AI 小群組",明細對照!$B$2:$B$610,$B30,明細對照!$F$2:$F$610,"&gt;0")</f>
        <v>2.0</v>
      </c>
      <c r="H30" s="17">
        <f>COUNTIFS(明細對照!$A$2:$A$610,"AI 小群組",明細對照!$B$2:$B$610,$B30)-COUNTIFS(明細對照!$A$2:$A$610,"AI 小群組",明細對照!$B$2:$B$610,$B30,明細對照!$D$2:$D$610,"USD")</f>
        <v>0.0</v>
      </c>
      <c r="I30" s="22" t="n">
        <v>-0.5</v>
      </c>
      <c r="J30" s="23" t="inlineStr">
        <is>
          <t>MSFT、GOOGL、AMZN</t>
        </is>
      </c>
    </row>
    <row r="31">
      <c r="A31" s="17" t="n">
        <v>30</v>
      </c>
      <c r="B31" s="18" t="inlineStr">
        <is>
          <t>D4 網絡交換</t>
        </is>
      </c>
      <c r="C31" s="17" t="n">
        <v>3</v>
      </c>
      <c r="D31" s="19">
        <f>SUMIFS(明細對照!$E$2:$E$610,明細對照!$A$2:$A$610,"AI 小群組",明細對照!$B$2:$B$610,$B31)</f>
        <v>21858.439</v>
      </c>
      <c r="E31" s="20">
        <f>SUMIFS(明細對照!$F$2:$F$610,明細對照!$A$2:$A$610,"AI 小群組",明細對照!$B$2:$B$610,$B31)</f>
        <v>6391.6759999999995</v>
      </c>
      <c r="F31" s="21">
        <f>IF(N(D31)=0,"",E31/D31)</f>
        <v>0.2924122806756695</v>
      </c>
      <c r="G31" s="17">
        <f>COUNTIFS(明細對照!$A$2:$A$610,"AI 小群組",明細對照!$B$2:$B$610,$B31,明細對照!$F$2:$F$610,"&gt;0")</f>
        <v>3.0</v>
      </c>
      <c r="H31" s="17">
        <f>COUNTIFS(明細對照!$A$2:$A$610,"AI 小群組",明細對照!$B$2:$B$610,$B31)-COUNTIFS(明細對照!$A$2:$A$610,"AI 小群組",明細對照!$B$2:$B$610,$B31,明細對照!$D$2:$D$610,"USD")</f>
        <v>0.0</v>
      </c>
      <c r="I31" s="22" t="n">
        <v>-0.61</v>
      </c>
      <c r="J31" s="23" t="inlineStr">
        <is>
          <t>ANET、CIEN、CSCO</t>
        </is>
      </c>
    </row>
    <row r="32">
      <c r="A32" s="17" t="n">
        <v>31</v>
      </c>
      <c r="B32" s="18" t="inlineStr">
        <is>
          <t>G3 AI</t>
        </is>
      </c>
      <c r="C32" s="17" t="n">
        <v>11</v>
      </c>
      <c r="D32" s="19">
        <f>SUMIFS(明細對照!$E$2:$E$610,明細對照!$A$2:$A$610,"AI 小群組",明細對照!$B$2:$B$610,$B32)</f>
        <v>26078.357</v>
      </c>
      <c r="E32" s="20">
        <f>SUMIFS(明細對照!$F$2:$F$610,明細對照!$A$2:$A$610,"AI 小群組",明細對照!$B$2:$B$610,$B32)</f>
        <v>5697.351</v>
      </c>
      <c r="F32" s="21">
        <f>IF(N(D32)=0,"",E32/D32)</f>
        <v>0.21847047342744788</v>
      </c>
      <c r="G32" s="17">
        <f>COUNTIFS(明細對照!$A$2:$A$610,"AI 小群組",明細對照!$B$2:$B$610,$B32,明細對照!$F$2:$F$610,"&gt;0")</f>
        <v>6.0</v>
      </c>
      <c r="H32" s="17">
        <f>COUNTIFS(明細對照!$A$2:$A$610,"AI 小群組",明細對照!$B$2:$B$610,$B32)-COUNTIFS(明細對照!$A$2:$A$610,"AI 小群組",明細對照!$B$2:$B$610,$B32,明細對照!$D$2:$D$610,"USD")</f>
        <v>0.0</v>
      </c>
      <c r="I32" s="22" t="n">
        <v>-0.61</v>
      </c>
      <c r="J32" s="23" t="inlineStr">
        <is>
          <t>NET、DUOL、PLTR、SNOW、AI、ADBE、CRM、NOW、MDB、SOUN、UPST</t>
        </is>
      </c>
    </row>
    <row r="33">
      <c r="A33" s="17" t="n">
        <v>32</v>
      </c>
      <c r="B33" s="18" t="inlineStr">
        <is>
          <t>B10 半導體材料②光刻膠/特氣</t>
        </is>
      </c>
      <c r="C33" s="17" t="n">
        <v>2</v>
      </c>
      <c r="D33" s="19">
        <f>SUMIFS(明細對照!$E$2:$E$610,明細對照!$A$2:$A$610,"AI 小群組",明細對照!$B$2:$B$610,$B33)</f>
        <v>12450.0</v>
      </c>
      <c r="E33" s="20">
        <f>SUMIFS(明細對照!$F$2:$F$610,明細對照!$A$2:$A$610,"AI 小群組",明細對照!$B$2:$B$610,$B33)</f>
        <v>3347.3</v>
      </c>
      <c r="F33" s="21">
        <f>IF(N(D33)=0,"",E33/D33)</f>
        <v>0.268859437751004</v>
      </c>
      <c r="G33" s="17">
        <f>COUNTIFS(明細對照!$A$2:$A$610,"AI 小群組",明細對照!$B$2:$B$610,$B33,明細對照!$F$2:$F$610,"&gt;0")</f>
        <v>2.0</v>
      </c>
      <c r="H33" s="17">
        <f>COUNTIFS(明細對照!$A$2:$A$610,"AI 小群組",明細對照!$B$2:$B$610,$B33)-COUNTIFS(明細對照!$A$2:$A$610,"AI 小群組",明細對照!$B$2:$B$610,$B33,明細對照!$D$2:$D$610,"USD")</f>
        <v>0.0</v>
      </c>
      <c r="I33" s="22" t="n">
        <v>-0.65</v>
      </c>
      <c r="J33" s="23" t="inlineStr">
        <is>
          <t>LIN、APD</t>
        </is>
      </c>
    </row>
    <row r="34">
      <c r="A34" s="17" t="n">
        <v>33</v>
      </c>
      <c r="B34" s="18" t="inlineStr">
        <is>
          <t>B5 EDA</t>
        </is>
      </c>
      <c r="C34" s="17" t="n">
        <v>2</v>
      </c>
      <c r="D34" s="19">
        <f>SUMIFS(明細對照!$E$2:$E$610,明細對照!$A$2:$A$610,"AI 小群組",明細對照!$B$2:$B$610,$B34)</f>
        <v>4061.273</v>
      </c>
      <c r="E34" s="20">
        <f>SUMIFS(明細對照!$F$2:$F$610,明細對照!$A$2:$A$610,"AI 小群組",明細對照!$B$2:$B$610,$B34)</f>
        <v>809.6179999999999</v>
      </c>
      <c r="F34" s="21">
        <f>IF(N(D34)=0,"",E34/D34)</f>
        <v>0.19935079468925135</v>
      </c>
      <c r="G34" s="17">
        <f>COUNTIFS(明細對照!$A$2:$A$610,"AI 小群組",明細對照!$B$2:$B$610,$B34,明細對照!$F$2:$F$610,"&gt;0")</f>
        <v>2.0</v>
      </c>
      <c r="H34" s="17">
        <f>COUNTIFS(明細對照!$A$2:$A$610,"AI 小群組",明細對照!$B$2:$B$610,$B34)-COUNTIFS(明細對照!$A$2:$A$610,"AI 小群組",明細對照!$B$2:$B$610,$B34,明細對照!$D$2:$D$610,"USD")</f>
        <v>0.0</v>
      </c>
      <c r="I34" s="22" t="n">
        <v>-1.37</v>
      </c>
      <c r="J34" s="23" t="inlineStr">
        <is>
          <t>SNPS、CDNS</t>
        </is>
      </c>
    </row>
  </sheetData>
  <autoFilter ref="A1:J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8" customWidth="1" min="3" max="3"/>
    <col width="9" customWidth="1" min="4" max="4"/>
    <col width="96" customWidth="1" min="5" max="5"/>
  </cols>
  <sheetData>
    <row r="1">
      <c r="A1" s="5" t="inlineStr">
        <is>
          <t>級</t>
        </is>
      </c>
      <c r="B1" s="5" t="inlineStr">
        <is>
          <t>定義（營業利益口徑）</t>
        </is>
      </c>
      <c r="C1" s="5" t="inlineStr">
        <is>
          <t>數量</t>
        </is>
      </c>
      <c r="D1" s="5" t="inlineStr">
        <is>
          <t>佔比</t>
        </is>
      </c>
      <c r="E1" s="5" t="inlineStr">
        <is>
          <t>Tickers</t>
        </is>
      </c>
    </row>
    <row r="2" ht="42" customHeight="1">
      <c r="A2" s="24" t="inlineStr">
        <is>
          <t>A</t>
        </is>
      </c>
      <c r="B2" s="25" t="inlineStr">
        <is>
          <t>四季營業利益全部為正 —— 持續盈利</t>
        </is>
      </c>
      <c r="C2" s="26">
        <f>COUNTIF(觀察名單!$AA$2:$AA$533,$A2)</f>
        <v>350.0</v>
      </c>
      <c r="D2" s="27">
        <f>IF(N($C$7)=0,"",C2/$C$7)</f>
        <v>0.6578947368421053</v>
      </c>
      <c r="E2" s="28" t="inlineStr">
        <is>
          <t>A、AAON、AAPL、ABBV、ACN、ADBE、ADI、ADM、ADP、AEM、AEP、AFL、AFRM、AG、AIG、AJG、ALAB、AMAT、AMD、AMG、AMGN、AMH、AMKR、AMT、ANET、AON、APD、APO、APTV、ARES、ARM、ASML、ASX、ATO、AU、AWK、AWR、BC、BE、BEN、BG、BIDU、BIIB、BJ、BKR、BLK、BMY、BRO、BWXT、BXP、CAG、CAH、CAMT、CARR、CAT、CB、CBOE、CBRE、CCI、CCJ、CCL、CDE、CDNS、CELH、CENX、CF、CHEF、CHTR、CHWY、CI、CIEN、CL、CLH、CMCSA、CME、CMG、CMI、COHR、COP、COR、COST、CRCL、CRDO、CRM、CSCO、CSX、CTAS、CTSH、CVS、CVX、CWST、CWT、DAL、DE、DECK、DHI、DHR、DIS、DOC、DOCS、DRI、DUOL、DVN、EBAY、ECL、EE、EGP、EHC、EL、ELV、EME、EPAM、EPD、EQIX、ET、FANG、FCX、FDX、FN、FR、FRT、FSLR、FTNT、FWONK、GD、GEV、GFS、GILD、GIS、GLNG、GLPI、GLW、GOLD、GOOGL、HAL、HBM、HCA、HCC、HD、HLT、HON、HOOD、HSY、HTO、HUBB、IBM、ICE、INFY、INGR、INTC、INVH、IPGP、ISRG、JBHT、JBL、JCI、JEF、JLL、JNJ、KALU、KDP、KGC、KHC、KIM、KKR、KLAC、KMB、KMI、KO、LAMR、LEA、LEN、LHX、LII、LIN、LITE、LLY、LMT、LOW、LRCX、LRN、LULU、LUV、LVS、MA、MAA、MAN、MAR、MCD、MCK、MDT、MET、META、MGA、MGM、MLM、MNST、MO、MOD、MPC、MPWR、MRVL、MSFT、MTCH、MTSI、MTZ、MU、NCLH、NDAQ、NDSN、NE、NEE、NEM、NFLX、NI、NJR、NKE、NOC、NOW、NRG、NSC、NTR、NUE、NVDA、NVO、NVR、NWSA、NXPI、NXT、O、ODFL、OHI、OKE、ON、ONON、ONTO、ORCL、OWL、OXY、PAAS、PAYX、PCAR、PEP、PFE、PFGC、PG、PGR、PHM、PKG、PLD、PLTR、PM、POOL、PSA、PSX、PWR、PYPL、QCOM、RCL、RDDT、REGN、RGLD、RIG、RL、RMBS、RNR、ROK、ROKU、ROST、RS、RSG、RTX、SBAC、SBUX、SCCO、SCI、SHOP、SHW、SIMO、SLB、SMCI、SMTC、SNDK、SNPS、SO、SPG、SPGI、STAG、STLD、STX、STZ、SYK、SYY、T、TAP、TDW、TECK、TEL、TER、THC、TJX、TMO、TMUS、TOL、TOST、TPB、TROW、TRV、TSEM、TSLA、TSM、TSN、TT、TXN、UAL、UHS、UMC、UNH、UNP、UPS、USFD、V、VAL、VG、VIAV、VICI、VLO、VMC、VNO、VRT、VRTX、VST、VTR、VZ、W、WBD、WCN、WDAY、WDC、WFRD、WHR、WM、WMB、WMT、WTRG、WTW、XEL、XOM、XPO、YUM</t>
        </is>
      </c>
    </row>
    <row r="3" ht="42" customHeight="1">
      <c r="A3" s="29" t="inlineStr">
        <is>
          <t>B</t>
        </is>
      </c>
      <c r="B3" s="25" t="inlineStr">
        <is>
          <t>最新季營業利益為正，但四季之中有負 —— 剛轉正或有波動</t>
        </is>
      </c>
      <c r="C3" s="26">
        <f>COUNTIF(觀察名單!$AA$2:$AA$533,$A3)</f>
        <v>41.0</v>
      </c>
      <c r="D3" s="27">
        <f>IF(N($C$7)=0,"",C3/$C$7)</f>
        <v>0.07706766917293233</v>
      </c>
      <c r="E3" s="28" t="inlineStr">
        <is>
          <t>AA、AAL、ACI、ALB、ARVN、AVAV、AXTI、BABA、CNC、CNR、COMP、CRH、DDOG、DOW、ENPH、F、FLR、GM、GNRC、GPN、HRB、HUM、IP、J、KR、LEGN、LEU、LNC、LNG、LYB、LYV、MDB、OSCR、PLTK、RUN、SLG、SR、SYM、TEAM、TLN、Z</t>
        </is>
      </c>
    </row>
    <row r="4" ht="42" customHeight="1">
      <c r="A4" s="30" t="inlineStr">
        <is>
          <t>C</t>
        </is>
      </c>
      <c r="B4" s="25" t="inlineStr">
        <is>
          <t>最新季營業利益為負，但較 Q-3 收窄 —— 虧損收窄</t>
        </is>
      </c>
      <c r="C4" s="26">
        <f>COUNTIF(觀察名單!$AA$2:$AA$533,$A4)</f>
        <v>33.0</v>
      </c>
      <c r="D4" s="27">
        <f>IF(N($C$7)=0,"",C4/$C$7)</f>
        <v>0.06203007518796992</v>
      </c>
      <c r="E4" s="28" t="inlineStr">
        <is>
          <t>AEHR、ALEC、BEAM、CLF、CRSP、CRWD、DKNG、DNLI、DNN、DTIL、EQH、FATE、FLUT、IONS、IOVA、LASR、LPTH、MDGL、MP、PARA、PL、RBLX、RDW、RIVN、RKLB、RXT、S、SMR、SOUN、TDOC、TTWO、UUUU、ZS</t>
        </is>
      </c>
    </row>
    <row r="5" ht="42" customHeight="1">
      <c r="A5" s="31" t="inlineStr">
        <is>
          <t>D</t>
        </is>
      </c>
      <c r="B5" s="25" t="inlineStr">
        <is>
          <t>最新季營業利益為負且較 Q-3 擴大（或由正轉負） —— 惡化</t>
        </is>
      </c>
      <c r="C5" s="26">
        <f>COUNTIF(觀察名單!$AA$2:$AA$533,$A5)</f>
        <v>54.0</v>
      </c>
      <c r="D5" s="27">
        <f>IF(N($C$7)=0,"",C5/$C$7)</f>
        <v>0.10150375939849623</v>
      </c>
      <c r="E5" s="28" t="inlineStr">
        <is>
          <t>AAOI、ACM、ALLO、ALOY、ALT、AMR、AMS、APLD、ASPI、ASTS、BTU、CEG、COIN、CRVS、CRWV、HIMS、IONQ、IREN、KTOS、LCID、LUNR、LWLG、MARA、METC、MOS、MRK、NB、NBIS、NET、NFE、NKTX、NNE、NTLA、OKLO、ONDS、OPEN、PANW、PINS、POET、PRIM、QBTS、QUBT、RCAT、RGTI、RHI、RIOT、RVMD、SANA、SNAP、TMC、UEC、USAR、VECO、VKTX</t>
        </is>
      </c>
    </row>
    <row r="6" ht="42" customHeight="1">
      <c r="A6" s="32" t="inlineStr">
        <is>
          <t>—</t>
        </is>
      </c>
      <c r="B6" s="25" t="inlineStr">
        <is>
          <t>四季營業利益唔齊，無法判定</t>
        </is>
      </c>
      <c r="C6" s="26">
        <f>COUNTIF(觀察名單!$AA$2:$AA$533,$A6)</f>
        <v>54.0</v>
      </c>
      <c r="D6" s="27">
        <f>IF(N($C$7)=0,"",C6/$C$7)</f>
        <v>0.10150375939849623</v>
      </c>
      <c r="E6" s="28" t="inlineStr">
        <is>
          <t>ABT、AI、AMZN、APH、AVGO、AXP、BA、BAC、BBY、BF.B、BSX、BX、C、CHD、COF、CTVA、D、DELL、DEO、DINO、DLR、DUK、EMR、EOG、ETN、EVR、EXR、FLEX、FORM、GS、HIW、HL、HPE、ILMN、JPM、LAZ、MHK、MS、MTB、NTAP、PNC、PRU、REG、SBGSY、SNOW、SOFI、SYF、TCEHY、TFC、UPST、USB、WELL、WFC、ZION</t>
        </is>
      </c>
    </row>
    <row r="7">
      <c r="B7" s="33" t="inlineStr">
        <is>
          <t>合計</t>
        </is>
      </c>
      <c r="C7" s="33">
        <f>SUM(C2:C6)</f>
        <v>532.0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.5" customWidth="1" min="1" max="1"/>
    <col width="10" customWidth="1" min="2" max="2"/>
    <col width="30" customWidth="1" min="3" max="3"/>
    <col width="5" customWidth="1" min="4" max="4"/>
    <col width="66" customWidth="1" min="5" max="5"/>
  </cols>
  <sheetData>
    <row r="1">
      <c r="A1" s="5" t="inlineStr">
        <is>
          <t>#</t>
        </is>
      </c>
      <c r="B1" s="5" t="inlineStr">
        <is>
          <t>美股</t>
        </is>
      </c>
      <c r="C1" s="5" t="inlineStr">
        <is>
          <t>公司</t>
        </is>
      </c>
      <c r="D1" s="5" t="inlineStr">
        <is>
          <t>級</t>
        </is>
      </c>
      <c r="E1" s="5" t="inlineStr">
        <is>
          <t>純文字 URL</t>
        </is>
      </c>
    </row>
    <row r="2">
      <c r="A2" s="15" t="n">
        <v>1</v>
      </c>
      <c r="B2" s="34" t="inlineStr">
        <is>
          <t>A</t>
        </is>
      </c>
      <c r="C2" s="15" t="inlineStr">
        <is>
          <t>Agilent Technologies, Inc.</t>
        </is>
      </c>
      <c r="D2" s="15" t="str">
        <f>IFERROR(INDEX(觀察名單!$AA$2:$AA$533,MATCH($B2,觀察名單!$B$2:$B$533,0)),"")</f>
        <v>A</v>
      </c>
      <c r="E2" s="15" t="inlineStr">
        <is>
          <t>https://www.tradingview.com/chart/Q1c5VWwD/?symbol=a</t>
        </is>
      </c>
    </row>
    <row r="3">
      <c r="A3" s="15" t="n">
        <v>2</v>
      </c>
      <c r="B3" s="34" t="inlineStr">
        <is>
          <t>AA</t>
        </is>
      </c>
      <c r="C3" s="15" t="inlineStr">
        <is>
          <t>Alcoa Corporation</t>
        </is>
      </c>
      <c r="D3" s="15" t="str">
        <f>IFERROR(INDEX(觀察名單!$AA$2:$AA$533,MATCH($B3,觀察名單!$B$2:$B$533,0)),"")</f>
        <v>B</v>
      </c>
      <c r="E3" s="15" t="inlineStr">
        <is>
          <t>https://www.tradingview.com/chart/Q1c5VWwD/?symbol=aa</t>
        </is>
      </c>
    </row>
    <row r="4">
      <c r="A4" s="15" t="n">
        <v>3</v>
      </c>
      <c r="B4" s="34" t="inlineStr">
        <is>
          <t>AAL</t>
        </is>
      </c>
      <c r="C4" s="15" t="inlineStr">
        <is>
          <t>American Airlines Group Inc.</t>
        </is>
      </c>
      <c r="D4" s="15" t="str">
        <f>IFERROR(INDEX(觀察名單!$AA$2:$AA$533,MATCH($B4,觀察名單!$B$2:$B$533,0)),"")</f>
        <v>B</v>
      </c>
      <c r="E4" s="15" t="inlineStr">
        <is>
          <t>https://www.tradingview.com/chart/Q1c5VWwD/?symbol=aal</t>
        </is>
      </c>
    </row>
    <row r="5">
      <c r="A5" s="15" t="n">
        <v>4</v>
      </c>
      <c r="B5" s="34" t="inlineStr">
        <is>
          <t>AAOI</t>
        </is>
      </c>
      <c r="C5" s="15" t="inlineStr">
        <is>
          <t>Applied Optoelectronics, Inc.</t>
        </is>
      </c>
      <c r="D5" s="15" t="str">
        <f>IFERROR(INDEX(觀察名單!$AA$2:$AA$533,MATCH($B5,觀察名單!$B$2:$B$533,0)),"")</f>
        <v>D</v>
      </c>
      <c r="E5" s="15" t="inlineStr">
        <is>
          <t>https://www.tradingview.com/chart/Q1c5VWwD/?symbol=aaoi</t>
        </is>
      </c>
    </row>
    <row r="6">
      <c r="A6" s="15" t="n">
        <v>5</v>
      </c>
      <c r="B6" s="34" t="inlineStr">
        <is>
          <t>AAON</t>
        </is>
      </c>
      <c r="C6" s="15" t="inlineStr">
        <is>
          <t>AAON, Inc.</t>
        </is>
      </c>
      <c r="D6" s="15" t="str">
        <f>IFERROR(INDEX(觀察名單!$AA$2:$AA$533,MATCH($B6,觀察名單!$B$2:$B$533,0)),"")</f>
        <v>A</v>
      </c>
      <c r="E6" s="15" t="inlineStr">
        <is>
          <t>https://www.tradingview.com/chart/Q1c5VWwD/?symbol=aaon</t>
        </is>
      </c>
    </row>
    <row r="7">
      <c r="A7" s="15" t="n">
        <v>6</v>
      </c>
      <c r="B7" s="34" t="inlineStr">
        <is>
          <t>AAPL</t>
        </is>
      </c>
      <c r="C7" s="15" t="inlineStr">
        <is>
          <t>Apple Inc.</t>
        </is>
      </c>
      <c r="D7" s="15" t="str">
        <f>IFERROR(INDEX(觀察名單!$AA$2:$AA$533,MATCH($B7,觀察名單!$B$2:$B$533,0)),"")</f>
        <v>A</v>
      </c>
      <c r="E7" s="15" t="inlineStr">
        <is>
          <t>https://www.tradingview.com/chart/Q1c5VWwD/?symbol=aapl</t>
        </is>
      </c>
    </row>
    <row r="8">
      <c r="A8" s="15" t="n">
        <v>7</v>
      </c>
      <c r="B8" s="34" t="inlineStr">
        <is>
          <t>ABBV</t>
        </is>
      </c>
      <c r="C8" s="15" t="inlineStr">
        <is>
          <t>AbbVie Inc.</t>
        </is>
      </c>
      <c r="D8" s="15" t="str">
        <f>IFERROR(INDEX(觀察名單!$AA$2:$AA$533,MATCH($B8,觀察名單!$B$2:$B$533,0)),"")</f>
        <v>A</v>
      </c>
      <c r="E8" s="15" t="inlineStr">
        <is>
          <t>https://www.tradingview.com/chart/Q1c5VWwD/?symbol=abbv</t>
        </is>
      </c>
    </row>
    <row r="9">
      <c r="A9" s="15" t="n">
        <v>8</v>
      </c>
      <c r="B9" s="34" t="inlineStr">
        <is>
          <t>ABT</t>
        </is>
      </c>
      <c r="C9" s="15" t="inlineStr">
        <is>
          <t>Abbott Laboratories</t>
        </is>
      </c>
      <c r="D9" s="15" t="str">
        <f>IFERROR(INDEX(觀察名單!$AA$2:$AA$533,MATCH($B9,觀察名單!$B$2:$B$533,0)),"")</f>
        <v>—</v>
      </c>
      <c r="E9" s="15" t="inlineStr">
        <is>
          <t>https://www.tradingview.com/chart/Q1c5VWwD/?symbol=abt</t>
        </is>
      </c>
    </row>
    <row r="10">
      <c r="A10" s="15" t="n">
        <v>9</v>
      </c>
      <c r="B10" s="34" t="inlineStr">
        <is>
          <t>ACI</t>
        </is>
      </c>
      <c r="C10" s="15" t="inlineStr">
        <is>
          <t>Albertsons Companies, Inc.</t>
        </is>
      </c>
      <c r="D10" s="15" t="str">
        <f>IFERROR(INDEX(觀察名單!$AA$2:$AA$533,MATCH($B10,觀察名單!$B$2:$B$533,0)),"")</f>
        <v>B</v>
      </c>
      <c r="E10" s="15" t="inlineStr">
        <is>
          <t>https://www.tradingview.com/chart/Q1c5VWwD/?symbol=aci</t>
        </is>
      </c>
    </row>
    <row r="11">
      <c r="A11" s="15" t="n">
        <v>10</v>
      </c>
      <c r="B11" s="34" t="inlineStr">
        <is>
          <t>ACM</t>
        </is>
      </c>
      <c r="C11" s="15" t="inlineStr">
        <is>
          <t>AECOM</t>
        </is>
      </c>
      <c r="D11" s="15" t="str">
        <f>IFERROR(INDEX(觀察名單!$AA$2:$AA$533,MATCH($B11,觀察名單!$B$2:$B$533,0)),"")</f>
        <v>D</v>
      </c>
      <c r="E11" s="15" t="inlineStr">
        <is>
          <t>https://www.tradingview.com/chart/Q1c5VWwD/?symbol=acm</t>
        </is>
      </c>
    </row>
    <row r="12">
      <c r="A12" s="15" t="n">
        <v>11</v>
      </c>
      <c r="B12" s="34" t="inlineStr">
        <is>
          <t>ACN</t>
        </is>
      </c>
      <c r="C12" s="15" t="inlineStr">
        <is>
          <t>Accenture plc</t>
        </is>
      </c>
      <c r="D12" s="15" t="str">
        <f>IFERROR(INDEX(觀察名單!$AA$2:$AA$533,MATCH($B12,觀察名單!$B$2:$B$533,0)),"")</f>
        <v>A</v>
      </c>
      <c r="E12" s="15" t="inlineStr">
        <is>
          <t>https://www.tradingview.com/chart/Q1c5VWwD/?symbol=acn</t>
        </is>
      </c>
    </row>
    <row r="13">
      <c r="A13" s="15" t="n">
        <v>12</v>
      </c>
      <c r="B13" s="34" t="inlineStr">
        <is>
          <t>ADBE</t>
        </is>
      </c>
      <c r="C13" s="15" t="inlineStr">
        <is>
          <t>Adobe Inc.</t>
        </is>
      </c>
      <c r="D13" s="15" t="str">
        <f>IFERROR(INDEX(觀察名單!$AA$2:$AA$533,MATCH($B13,觀察名單!$B$2:$B$533,0)),"")</f>
        <v>A</v>
      </c>
      <c r="E13" s="15" t="inlineStr">
        <is>
          <t>https://www.tradingview.com/chart/Q1c5VWwD/?symbol=adbe</t>
        </is>
      </c>
    </row>
    <row r="14">
      <c r="A14" s="15" t="n">
        <v>13</v>
      </c>
      <c r="B14" s="34" t="inlineStr">
        <is>
          <t>ADI</t>
        </is>
      </c>
      <c r="C14" s="15" t="inlineStr">
        <is>
          <t>Analog Devices, Inc.</t>
        </is>
      </c>
      <c r="D14" s="15" t="str">
        <f>IFERROR(INDEX(觀察名單!$AA$2:$AA$533,MATCH($B14,觀察名單!$B$2:$B$533,0)),"")</f>
        <v>A</v>
      </c>
      <c r="E14" s="15" t="inlineStr">
        <is>
          <t>https://www.tradingview.com/chart/Q1c5VWwD/?symbol=adi</t>
        </is>
      </c>
    </row>
    <row r="15">
      <c r="A15" s="15" t="n">
        <v>14</v>
      </c>
      <c r="B15" s="34" t="inlineStr">
        <is>
          <t>ADM</t>
        </is>
      </c>
      <c r="C15" s="15" t="inlineStr">
        <is>
          <t>Archer-Daniels-Midland Company</t>
        </is>
      </c>
      <c r="D15" s="15" t="str">
        <f>IFERROR(INDEX(觀察名單!$AA$2:$AA$533,MATCH($B15,觀察名單!$B$2:$B$533,0)),"")</f>
        <v>A</v>
      </c>
      <c r="E15" s="15" t="inlineStr">
        <is>
          <t>https://www.tradingview.com/chart/Q1c5VWwD/?symbol=adm</t>
        </is>
      </c>
    </row>
    <row r="16">
      <c r="A16" s="15" t="n">
        <v>15</v>
      </c>
      <c r="B16" s="34" t="inlineStr">
        <is>
          <t>ADP</t>
        </is>
      </c>
      <c r="C16" s="15" t="inlineStr">
        <is>
          <t>Automatic Data Processing, Inc.</t>
        </is>
      </c>
      <c r="D16" s="15" t="str">
        <f>IFERROR(INDEX(觀察名單!$AA$2:$AA$533,MATCH($B16,觀察名單!$B$2:$B$533,0)),"")</f>
        <v>A</v>
      </c>
      <c r="E16" s="15" t="inlineStr">
        <is>
          <t>https://www.tradingview.com/chart/Q1c5VWwD/?symbol=adp</t>
        </is>
      </c>
    </row>
    <row r="17">
      <c r="A17" s="15" t="n">
        <v>16</v>
      </c>
      <c r="B17" s="34" t="inlineStr">
        <is>
          <t>AEHR</t>
        </is>
      </c>
      <c r="C17" s="15" t="inlineStr">
        <is>
          <t>Aehr Test Systems, Inc.</t>
        </is>
      </c>
      <c r="D17" s="15" t="str">
        <f>IFERROR(INDEX(觀察名單!$AA$2:$AA$533,MATCH($B17,觀察名單!$B$2:$B$533,0)),"")</f>
        <v>C</v>
      </c>
      <c r="E17" s="15" t="inlineStr">
        <is>
          <t>https://www.tradingview.com/chart/Q1c5VWwD/?symbol=aehr</t>
        </is>
      </c>
    </row>
    <row r="18">
      <c r="A18" s="15" t="n">
        <v>17</v>
      </c>
      <c r="B18" s="34" t="inlineStr">
        <is>
          <t>AEM</t>
        </is>
      </c>
      <c r="C18" s="15" t="inlineStr">
        <is>
          <t>Agnico Eagle Mines Limited</t>
        </is>
      </c>
      <c r="D18" s="15" t="str">
        <f>IFERROR(INDEX(觀察名單!$AA$2:$AA$533,MATCH($B18,觀察名單!$B$2:$B$533,0)),"")</f>
        <v>A</v>
      </c>
      <c r="E18" s="15" t="inlineStr">
        <is>
          <t>https://www.tradingview.com/chart/Q1c5VWwD/?symbol=aem</t>
        </is>
      </c>
    </row>
    <row r="19">
      <c r="A19" s="15" t="n">
        <v>18</v>
      </c>
      <c r="B19" s="34" t="inlineStr">
        <is>
          <t>AEP</t>
        </is>
      </c>
      <c r="C19" s="15" t="inlineStr">
        <is>
          <t>American Electric Power Company, Inc.</t>
        </is>
      </c>
      <c r="D19" s="15" t="str">
        <f>IFERROR(INDEX(觀察名單!$AA$2:$AA$533,MATCH($B19,觀察名單!$B$2:$B$533,0)),"")</f>
        <v>A</v>
      </c>
      <c r="E19" s="15" t="inlineStr">
        <is>
          <t>https://www.tradingview.com/chart/Q1c5VWwD/?symbol=aep</t>
        </is>
      </c>
    </row>
    <row r="20">
      <c r="A20" s="15" t="n">
        <v>19</v>
      </c>
      <c r="B20" s="34" t="inlineStr">
        <is>
          <t>AFL</t>
        </is>
      </c>
      <c r="C20" s="15" t="inlineStr">
        <is>
          <t>Aflac Incorporated</t>
        </is>
      </c>
      <c r="D20" s="15" t="str">
        <f>IFERROR(INDEX(觀察名單!$AA$2:$AA$533,MATCH($B20,觀察名單!$B$2:$B$533,0)),"")</f>
        <v>A</v>
      </c>
      <c r="E20" s="15" t="inlineStr">
        <is>
          <t>https://www.tradingview.com/chart/Q1c5VWwD/?symbol=afl</t>
        </is>
      </c>
    </row>
    <row r="21">
      <c r="A21" s="15" t="n">
        <v>20</v>
      </c>
      <c r="B21" s="34" t="inlineStr">
        <is>
          <t>AFRM</t>
        </is>
      </c>
      <c r="C21" s="15" t="inlineStr">
        <is>
          <t>Affirm Holdings, Inc.</t>
        </is>
      </c>
      <c r="D21" s="15" t="str">
        <f>IFERROR(INDEX(觀察名單!$AA$2:$AA$533,MATCH($B21,觀察名單!$B$2:$B$533,0)),"")</f>
        <v>A</v>
      </c>
      <c r="E21" s="15" t="inlineStr">
        <is>
          <t>https://www.tradingview.com/chart/Q1c5VWwD/?symbol=afrm</t>
        </is>
      </c>
    </row>
    <row r="22">
      <c r="A22" s="15" t="n">
        <v>21</v>
      </c>
      <c r="B22" s="34" t="inlineStr">
        <is>
          <t>AG</t>
        </is>
      </c>
      <c r="C22" s="15" t="inlineStr">
        <is>
          <t>First Majestic Silver Corp.</t>
        </is>
      </c>
      <c r="D22" s="15" t="str">
        <f>IFERROR(INDEX(觀察名單!$AA$2:$AA$533,MATCH($B22,觀察名單!$B$2:$B$533,0)),"")</f>
        <v>A</v>
      </c>
      <c r="E22" s="15" t="inlineStr">
        <is>
          <t>https://www.tradingview.com/chart/Q1c5VWwD/?symbol=ag</t>
        </is>
      </c>
    </row>
    <row r="23">
      <c r="A23" s="15" t="n">
        <v>22</v>
      </c>
      <c r="B23" s="34" t="inlineStr">
        <is>
          <t>AI</t>
        </is>
      </c>
      <c r="C23" s="15" t="inlineStr">
        <is>
          <t>C3.ai, Inc.</t>
        </is>
      </c>
      <c r="D23" s="15" t="str">
        <f>IFERROR(INDEX(觀察名單!$AA$2:$AA$533,MATCH($B23,觀察名單!$B$2:$B$533,0)),"")</f>
        <v>—</v>
      </c>
      <c r="E23" s="15" t="inlineStr">
        <is>
          <t>https://www.tradingview.com/chart/Q1c5VWwD/?symbol=ai</t>
        </is>
      </c>
    </row>
    <row r="24">
      <c r="A24" s="15" t="n">
        <v>23</v>
      </c>
      <c r="B24" s="34" t="inlineStr">
        <is>
          <t>AIG</t>
        </is>
      </c>
      <c r="C24" s="15" t="inlineStr">
        <is>
          <t>American International Group, Inc.</t>
        </is>
      </c>
      <c r="D24" s="15" t="str">
        <f>IFERROR(INDEX(觀察名單!$AA$2:$AA$533,MATCH($B24,觀察名單!$B$2:$B$533,0)),"")</f>
        <v>A</v>
      </c>
      <c r="E24" s="15" t="inlineStr">
        <is>
          <t>https://www.tradingview.com/chart/Q1c5VWwD/?symbol=aig</t>
        </is>
      </c>
    </row>
    <row r="25">
      <c r="A25" s="15" t="n">
        <v>24</v>
      </c>
      <c r="B25" s="34" t="inlineStr">
        <is>
          <t>AJG</t>
        </is>
      </c>
      <c r="C25" s="15" t="inlineStr">
        <is>
          <t>Arthur J. Gallagher &amp; Co.</t>
        </is>
      </c>
      <c r="D25" s="15" t="str">
        <f>IFERROR(INDEX(觀察名單!$AA$2:$AA$533,MATCH($B25,觀察名單!$B$2:$B$533,0)),"")</f>
        <v>A</v>
      </c>
      <c r="E25" s="15" t="inlineStr">
        <is>
          <t>https://www.tradingview.com/chart/Q1c5VWwD/?symbol=ajg</t>
        </is>
      </c>
    </row>
    <row r="26">
      <c r="A26" s="15" t="n">
        <v>25</v>
      </c>
      <c r="B26" s="34" t="inlineStr">
        <is>
          <t>ALAB</t>
        </is>
      </c>
      <c r="C26" s="15" t="inlineStr">
        <is>
          <t>Astera Labs, Inc.</t>
        </is>
      </c>
      <c r="D26" s="15" t="str">
        <f>IFERROR(INDEX(觀察名單!$AA$2:$AA$533,MATCH($B26,觀察名單!$B$2:$B$533,0)),"")</f>
        <v>A</v>
      </c>
      <c r="E26" s="15" t="inlineStr">
        <is>
          <t>https://www.tradingview.com/chart/Q1c5VWwD/?symbol=alab</t>
        </is>
      </c>
    </row>
    <row r="27">
      <c r="A27" s="15" t="n">
        <v>26</v>
      </c>
      <c r="B27" s="34" t="inlineStr">
        <is>
          <t>ALB</t>
        </is>
      </c>
      <c r="C27" s="15" t="inlineStr">
        <is>
          <t>Albemarle Corporation</t>
        </is>
      </c>
      <c r="D27" s="15" t="str">
        <f>IFERROR(INDEX(觀察名單!$AA$2:$AA$533,MATCH($B27,觀察名單!$B$2:$B$533,0)),"")</f>
        <v>B</v>
      </c>
      <c r="E27" s="15" t="inlineStr">
        <is>
          <t>https://www.tradingview.com/chart/Q1c5VWwD/?symbol=alb</t>
        </is>
      </c>
    </row>
    <row r="28">
      <c r="A28" s="15" t="n">
        <v>27</v>
      </c>
      <c r="B28" s="34" t="inlineStr">
        <is>
          <t>ALEC</t>
        </is>
      </c>
      <c r="C28" s="15" t="inlineStr">
        <is>
          <t>Alector, Inc.</t>
        </is>
      </c>
      <c r="D28" s="15" t="str">
        <f>IFERROR(INDEX(觀察名單!$AA$2:$AA$533,MATCH($B28,觀察名單!$B$2:$B$533,0)),"")</f>
        <v>C</v>
      </c>
      <c r="E28" s="15" t="inlineStr">
        <is>
          <t>https://www.tradingview.com/chart/Q1c5VWwD/?symbol=alec</t>
        </is>
      </c>
    </row>
    <row r="29">
      <c r="A29" s="15" t="n">
        <v>28</v>
      </c>
      <c r="B29" s="34" t="inlineStr">
        <is>
          <t>ALLO</t>
        </is>
      </c>
      <c r="C29" s="15" t="inlineStr">
        <is>
          <t>Allogene Therapeutics, Inc.</t>
        </is>
      </c>
      <c r="D29" s="15" t="str">
        <f>IFERROR(INDEX(觀察名單!$AA$2:$AA$533,MATCH($B29,觀察名單!$B$2:$B$533,0)),"")</f>
        <v>D</v>
      </c>
      <c r="E29" s="15" t="inlineStr">
        <is>
          <t>https://www.tradingview.com/chart/Q1c5VWwD/?symbol=allo</t>
        </is>
      </c>
    </row>
    <row r="30">
      <c r="A30" s="15" t="n">
        <v>29</v>
      </c>
      <c r="B30" s="34" t="inlineStr">
        <is>
          <t>ALOY</t>
        </is>
      </c>
      <c r="C30" s="15" t="inlineStr">
        <is>
          <t>REalloys Inc.</t>
        </is>
      </c>
      <c r="D30" s="15" t="str">
        <f>IFERROR(INDEX(觀察名單!$AA$2:$AA$533,MATCH($B30,觀察名單!$B$2:$B$533,0)),"")</f>
        <v>D</v>
      </c>
      <c r="E30" s="15" t="inlineStr">
        <is>
          <t>https://www.tradingview.com/chart/Q1c5VWwD/?symbol=aloy</t>
        </is>
      </c>
    </row>
    <row r="31">
      <c r="A31" s="15" t="n">
        <v>30</v>
      </c>
      <c r="B31" s="34" t="inlineStr">
        <is>
          <t>ALT</t>
        </is>
      </c>
      <c r="C31" s="15" t="inlineStr">
        <is>
          <t>Altimmune, Inc.</t>
        </is>
      </c>
      <c r="D31" s="15" t="str">
        <f>IFERROR(INDEX(觀察名單!$AA$2:$AA$533,MATCH($B31,觀察名單!$B$2:$B$533,0)),"")</f>
        <v>D</v>
      </c>
      <c r="E31" s="15" t="inlineStr">
        <is>
          <t>https://www.tradingview.com/chart/Q1c5VWwD/?symbol=alt</t>
        </is>
      </c>
    </row>
    <row r="32">
      <c r="A32" s="15" t="n">
        <v>31</v>
      </c>
      <c r="B32" s="34" t="inlineStr">
        <is>
          <t>AMAT</t>
        </is>
      </c>
      <c r="C32" s="15" t="inlineStr">
        <is>
          <t>Applied Materials, Inc.</t>
        </is>
      </c>
      <c r="D32" s="15" t="str">
        <f>IFERROR(INDEX(觀察名單!$AA$2:$AA$533,MATCH($B32,觀察名單!$B$2:$B$533,0)),"")</f>
        <v>A</v>
      </c>
      <c r="E32" s="15" t="inlineStr">
        <is>
          <t>https://www.tradingview.com/chart/Q1c5VWwD/?symbol=amat</t>
        </is>
      </c>
    </row>
    <row r="33">
      <c r="A33" s="15" t="n">
        <v>32</v>
      </c>
      <c r="B33" s="34" t="inlineStr">
        <is>
          <t>AMD</t>
        </is>
      </c>
      <c r="C33" s="15" t="inlineStr">
        <is>
          <t>Advanced Micro Devices, Inc.</t>
        </is>
      </c>
      <c r="D33" s="15" t="str">
        <f>IFERROR(INDEX(觀察名單!$AA$2:$AA$533,MATCH($B33,觀察名單!$B$2:$B$533,0)),"")</f>
        <v>A</v>
      </c>
      <c r="E33" s="15" t="inlineStr">
        <is>
          <t>https://www.tradingview.com/chart/Q1c5VWwD/?symbol=amd</t>
        </is>
      </c>
    </row>
    <row r="34">
      <c r="A34" s="15" t="n">
        <v>33</v>
      </c>
      <c r="B34" s="34" t="inlineStr">
        <is>
          <t>AMG</t>
        </is>
      </c>
      <c r="C34" s="15" t="inlineStr">
        <is>
          <t>Affiliated Managers Group, Inc.</t>
        </is>
      </c>
      <c r="D34" s="15" t="str">
        <f>IFERROR(INDEX(觀察名單!$AA$2:$AA$533,MATCH($B34,觀察名單!$B$2:$B$533,0)),"")</f>
        <v>A</v>
      </c>
      <c r="E34" s="15" t="inlineStr">
        <is>
          <t>https://www.tradingview.com/chart/Q1c5VWwD/?symbol=amg</t>
        </is>
      </c>
    </row>
    <row r="35">
      <c r="A35" s="15" t="n">
        <v>34</v>
      </c>
      <c r="B35" s="34" t="inlineStr">
        <is>
          <t>AMGN</t>
        </is>
      </c>
      <c r="C35" s="15" t="inlineStr">
        <is>
          <t>Amgen Inc.</t>
        </is>
      </c>
      <c r="D35" s="15" t="str">
        <f>IFERROR(INDEX(觀察名單!$AA$2:$AA$533,MATCH($B35,觀察名單!$B$2:$B$533,0)),"")</f>
        <v>A</v>
      </c>
      <c r="E35" s="15" t="inlineStr">
        <is>
          <t>https://www.tradingview.com/chart/Q1c5VWwD/?symbol=amgn</t>
        </is>
      </c>
    </row>
    <row r="36">
      <c r="A36" s="15" t="n">
        <v>35</v>
      </c>
      <c r="B36" s="34" t="inlineStr">
        <is>
          <t>AMH</t>
        </is>
      </c>
      <c r="C36" s="15" t="inlineStr">
        <is>
          <t>American Homes 4 Rent</t>
        </is>
      </c>
      <c r="D36" s="15" t="str">
        <f>IFERROR(INDEX(觀察名單!$AA$2:$AA$533,MATCH($B36,觀察名單!$B$2:$B$533,0)),"")</f>
        <v>A</v>
      </c>
      <c r="E36" s="15" t="inlineStr">
        <is>
          <t>https://www.tradingview.com/chart/Q1c5VWwD/?symbol=amh</t>
        </is>
      </c>
    </row>
    <row r="37">
      <c r="A37" s="15" t="n">
        <v>36</v>
      </c>
      <c r="B37" s="34" t="inlineStr">
        <is>
          <t>AMKR</t>
        </is>
      </c>
      <c r="C37" s="15" t="inlineStr">
        <is>
          <t>Amkor Technology, Inc.</t>
        </is>
      </c>
      <c r="D37" s="15" t="str">
        <f>IFERROR(INDEX(觀察名單!$AA$2:$AA$533,MATCH($B37,觀察名單!$B$2:$B$533,0)),"")</f>
        <v>A</v>
      </c>
      <c r="E37" s="15" t="inlineStr">
        <is>
          <t>https://www.tradingview.com/chart/Q1c5VWwD/?symbol=amkr</t>
        </is>
      </c>
    </row>
    <row r="38">
      <c r="A38" s="15" t="n">
        <v>37</v>
      </c>
      <c r="B38" s="34" t="inlineStr">
        <is>
          <t>AMR</t>
        </is>
      </c>
      <c r="C38" s="15" t="inlineStr">
        <is>
          <t>Alpha Metallurgical Resources, Inc.</t>
        </is>
      </c>
      <c r="D38" s="15" t="str">
        <f>IFERROR(INDEX(觀察名單!$AA$2:$AA$533,MATCH($B38,觀察名單!$B$2:$B$533,0)),"")</f>
        <v>D</v>
      </c>
      <c r="E38" s="15" t="inlineStr">
        <is>
          <t>https://www.tradingview.com/chart/Q1c5VWwD/?symbol=amr</t>
        </is>
      </c>
    </row>
    <row r="39">
      <c r="A39" s="15" t="n">
        <v>38</v>
      </c>
      <c r="B39" s="34" t="inlineStr">
        <is>
          <t>AMS</t>
        </is>
      </c>
      <c r="C39" s="15" t="inlineStr">
        <is>
          <t>American Shared Hospital Services</t>
        </is>
      </c>
      <c r="D39" s="15" t="str">
        <f>IFERROR(INDEX(觀察名單!$AA$2:$AA$533,MATCH($B39,觀察名單!$B$2:$B$533,0)),"")</f>
        <v>D</v>
      </c>
      <c r="E39" s="15" t="inlineStr">
        <is>
          <t>https://www.tradingview.com/chart/Q1c5VWwD/?symbol=ams</t>
        </is>
      </c>
    </row>
    <row r="40">
      <c r="A40" s="15" t="n">
        <v>39</v>
      </c>
      <c r="B40" s="34" t="inlineStr">
        <is>
          <t>AMT</t>
        </is>
      </c>
      <c r="C40" s="15" t="inlineStr">
        <is>
          <t>American Tower Corporation</t>
        </is>
      </c>
      <c r="D40" s="15" t="str">
        <f>IFERROR(INDEX(觀察名單!$AA$2:$AA$533,MATCH($B40,觀察名單!$B$2:$B$533,0)),"")</f>
        <v>A</v>
      </c>
      <c r="E40" s="15" t="inlineStr">
        <is>
          <t>https://www.tradingview.com/chart/Q1c5VWwD/?symbol=amt</t>
        </is>
      </c>
    </row>
    <row r="41">
      <c r="A41" s="15" t="n">
        <v>40</v>
      </c>
      <c r="B41" s="34" t="inlineStr">
        <is>
          <t>AMZN</t>
        </is>
      </c>
      <c r="C41" s="15" t="inlineStr">
        <is>
          <t>Amazon.com, Inc.</t>
        </is>
      </c>
      <c r="D41" s="15" t="str">
        <f>IFERROR(INDEX(觀察名單!$AA$2:$AA$533,MATCH($B41,觀察名單!$B$2:$B$533,0)),"")</f>
        <v>—</v>
      </c>
      <c r="E41" s="15" t="inlineStr">
        <is>
          <t>https://www.tradingview.com/chart/Q1c5VWwD/?symbol=amzn</t>
        </is>
      </c>
    </row>
    <row r="42">
      <c r="A42" s="15" t="n">
        <v>41</v>
      </c>
      <c r="B42" s="34" t="inlineStr">
        <is>
          <t>ANET</t>
        </is>
      </c>
      <c r="C42" s="15" t="inlineStr">
        <is>
          <t>Arista Networks, Inc.</t>
        </is>
      </c>
      <c r="D42" s="15" t="str">
        <f>IFERROR(INDEX(觀察名單!$AA$2:$AA$533,MATCH($B42,觀察名單!$B$2:$B$533,0)),"")</f>
        <v>A</v>
      </c>
      <c r="E42" s="15" t="inlineStr">
        <is>
          <t>https://www.tradingview.com/chart/Q1c5VWwD/?symbol=anet</t>
        </is>
      </c>
    </row>
    <row r="43">
      <c r="A43" s="15" t="n">
        <v>42</v>
      </c>
      <c r="B43" s="34" t="inlineStr">
        <is>
          <t>AON</t>
        </is>
      </c>
      <c r="C43" s="15" t="inlineStr">
        <is>
          <t>Aon plc</t>
        </is>
      </c>
      <c r="D43" s="15" t="str">
        <f>IFERROR(INDEX(觀察名單!$AA$2:$AA$533,MATCH($B43,觀察名單!$B$2:$B$533,0)),"")</f>
        <v>A</v>
      </c>
      <c r="E43" s="15" t="inlineStr">
        <is>
          <t>https://www.tradingview.com/chart/Q1c5VWwD/?symbol=aon</t>
        </is>
      </c>
    </row>
    <row r="44">
      <c r="A44" s="15" t="n">
        <v>43</v>
      </c>
      <c r="B44" s="34" t="inlineStr">
        <is>
          <t>APD</t>
        </is>
      </c>
      <c r="C44" s="15" t="inlineStr">
        <is>
          <t>Air Products and Chemicals, Inc.</t>
        </is>
      </c>
      <c r="D44" s="15" t="str">
        <f>IFERROR(INDEX(觀察名單!$AA$2:$AA$533,MATCH($B44,觀察名單!$B$2:$B$533,0)),"")</f>
        <v>A</v>
      </c>
      <c r="E44" s="15" t="inlineStr">
        <is>
          <t>https://www.tradingview.com/chart/Q1c5VWwD/?symbol=apd</t>
        </is>
      </c>
    </row>
    <row r="45">
      <c r="A45" s="15" t="n">
        <v>44</v>
      </c>
      <c r="B45" s="34" t="inlineStr">
        <is>
          <t>APH</t>
        </is>
      </c>
      <c r="C45" s="15" t="inlineStr">
        <is>
          <t>Amphenol Corporation</t>
        </is>
      </c>
      <c r="D45" s="15" t="str">
        <f>IFERROR(INDEX(觀察名單!$AA$2:$AA$533,MATCH($B45,觀察名單!$B$2:$B$533,0)),"")</f>
        <v>—</v>
      </c>
      <c r="E45" s="15" t="inlineStr">
        <is>
          <t>https://www.tradingview.com/chart/Q1c5VWwD/?symbol=aph</t>
        </is>
      </c>
    </row>
    <row r="46">
      <c r="A46" s="15" t="n">
        <v>45</v>
      </c>
      <c r="B46" s="34" t="inlineStr">
        <is>
          <t>APLD</t>
        </is>
      </c>
      <c r="C46" s="15" t="inlineStr">
        <is>
          <t>Applied Digital Corporation</t>
        </is>
      </c>
      <c r="D46" s="15" t="str">
        <f>IFERROR(INDEX(觀察名單!$AA$2:$AA$533,MATCH($B46,觀察名單!$B$2:$B$533,0)),"")</f>
        <v>D</v>
      </c>
      <c r="E46" s="15" t="inlineStr">
        <is>
          <t>https://www.tradingview.com/chart/Q1c5VWwD/?symbol=apld</t>
        </is>
      </c>
    </row>
    <row r="47">
      <c r="A47" s="15" t="n">
        <v>46</v>
      </c>
      <c r="B47" s="34" t="inlineStr">
        <is>
          <t>APO</t>
        </is>
      </c>
      <c r="C47" s="15" t="inlineStr">
        <is>
          <t>Apollo Global Management, Inc.</t>
        </is>
      </c>
      <c r="D47" s="15" t="str">
        <f>IFERROR(INDEX(觀察名單!$AA$2:$AA$533,MATCH($B47,觀察名單!$B$2:$B$533,0)),"")</f>
        <v>A</v>
      </c>
      <c r="E47" s="15" t="inlineStr">
        <is>
          <t>https://www.tradingview.com/chart/Q1c5VWwD/?symbol=apo</t>
        </is>
      </c>
    </row>
    <row r="48">
      <c r="A48" s="15" t="n">
        <v>47</v>
      </c>
      <c r="B48" s="34" t="inlineStr">
        <is>
          <t>APTV</t>
        </is>
      </c>
      <c r="C48" s="15" t="inlineStr">
        <is>
          <t>Aptiv PLC</t>
        </is>
      </c>
      <c r="D48" s="15" t="str">
        <f>IFERROR(INDEX(觀察名單!$AA$2:$AA$533,MATCH($B48,觀察名單!$B$2:$B$533,0)),"")</f>
        <v>A</v>
      </c>
      <c r="E48" s="15" t="inlineStr">
        <is>
          <t>https://www.tradingview.com/chart/Q1c5VWwD/?symbol=aptv</t>
        </is>
      </c>
    </row>
    <row r="49">
      <c r="A49" s="15" t="n">
        <v>48</v>
      </c>
      <c r="B49" s="34" t="inlineStr">
        <is>
          <t>ARES</t>
        </is>
      </c>
      <c r="C49" s="15" t="inlineStr">
        <is>
          <t>Ares Management Corporation</t>
        </is>
      </c>
      <c r="D49" s="15" t="str">
        <f>IFERROR(INDEX(觀察名單!$AA$2:$AA$533,MATCH($B49,觀察名單!$B$2:$B$533,0)),"")</f>
        <v>A</v>
      </c>
      <c r="E49" s="15" t="inlineStr">
        <is>
          <t>https://www.tradingview.com/chart/Q1c5VWwD/?symbol=ares</t>
        </is>
      </c>
    </row>
    <row r="50">
      <c r="A50" s="15" t="n">
        <v>49</v>
      </c>
      <c r="B50" s="34" t="inlineStr">
        <is>
          <t>ARM</t>
        </is>
      </c>
      <c r="C50" s="15" t="inlineStr">
        <is>
          <t>Arm Holdings plc</t>
        </is>
      </c>
      <c r="D50" s="15" t="str">
        <f>IFERROR(INDEX(觀察名單!$AA$2:$AA$533,MATCH($B50,觀察名單!$B$2:$B$533,0)),"")</f>
        <v>A</v>
      </c>
      <c r="E50" s="15" t="inlineStr">
        <is>
          <t>https://www.tradingview.com/chart/Q1c5VWwD/?symbol=arm</t>
        </is>
      </c>
    </row>
    <row r="51">
      <c r="A51" s="15" t="n">
        <v>50</v>
      </c>
      <c r="B51" s="34" t="inlineStr">
        <is>
          <t>ARVN</t>
        </is>
      </c>
      <c r="C51" s="15" t="inlineStr">
        <is>
          <t>Arvinas, Inc.</t>
        </is>
      </c>
      <c r="D51" s="15" t="str">
        <f>IFERROR(INDEX(觀察名單!$AA$2:$AA$533,MATCH($B51,觀察名單!$B$2:$B$533,0)),"")</f>
        <v>B</v>
      </c>
      <c r="E51" s="15" t="inlineStr">
        <is>
          <t>https://www.tradingview.com/chart/Q1c5VWwD/?symbol=arvn</t>
        </is>
      </c>
    </row>
    <row r="52">
      <c r="A52" s="15" t="n">
        <v>51</v>
      </c>
      <c r="B52" s="34" t="inlineStr">
        <is>
          <t>ASML</t>
        </is>
      </c>
      <c r="C52" s="15" t="inlineStr">
        <is>
          <t>ASML Holding N.V.</t>
        </is>
      </c>
      <c r="D52" s="15" t="str">
        <f>IFERROR(INDEX(觀察名單!$AA$2:$AA$533,MATCH($B52,觀察名單!$B$2:$B$533,0)),"")</f>
        <v>A</v>
      </c>
      <c r="E52" s="15" t="inlineStr">
        <is>
          <t>https://www.tradingview.com/chart/Q1c5VWwD/?symbol=asml</t>
        </is>
      </c>
    </row>
    <row r="53">
      <c r="A53" s="15" t="n">
        <v>52</v>
      </c>
      <c r="B53" s="34" t="inlineStr">
        <is>
          <t>ASPI</t>
        </is>
      </c>
      <c r="C53" s="15" t="inlineStr">
        <is>
          <t>ASP Isotopes Inc.</t>
        </is>
      </c>
      <c r="D53" s="15" t="str">
        <f>IFERROR(INDEX(觀察名單!$AA$2:$AA$533,MATCH($B53,觀察名單!$B$2:$B$533,0)),"")</f>
        <v>D</v>
      </c>
      <c r="E53" s="15" t="inlineStr">
        <is>
          <t>https://www.tradingview.com/chart/Q1c5VWwD/?symbol=aspi</t>
        </is>
      </c>
    </row>
    <row r="54">
      <c r="A54" s="15" t="n">
        <v>53</v>
      </c>
      <c r="B54" s="34" t="inlineStr">
        <is>
          <t>ASTS</t>
        </is>
      </c>
      <c r="C54" s="15" t="inlineStr">
        <is>
          <t>AST SpaceMobile, Inc.</t>
        </is>
      </c>
      <c r="D54" s="15" t="str">
        <f>IFERROR(INDEX(觀察名單!$AA$2:$AA$533,MATCH($B54,觀察名單!$B$2:$B$533,0)),"")</f>
        <v>D</v>
      </c>
      <c r="E54" s="15" t="inlineStr">
        <is>
          <t>https://www.tradingview.com/chart/Q1c5VWwD/?symbol=asts</t>
        </is>
      </c>
    </row>
    <row r="55">
      <c r="A55" s="15" t="n">
        <v>54</v>
      </c>
      <c r="B55" s="34" t="inlineStr">
        <is>
          <t>ASX</t>
        </is>
      </c>
      <c r="C55" s="15" t="inlineStr">
        <is>
          <t>ASE Technology Holding Co., Ltd.</t>
        </is>
      </c>
      <c r="D55" s="15" t="str">
        <f>IFERROR(INDEX(觀察名單!$AA$2:$AA$533,MATCH($B55,觀察名單!$B$2:$B$533,0)),"")</f>
        <v>A</v>
      </c>
      <c r="E55" s="15" t="inlineStr">
        <is>
          <t>https://www.tradingview.com/chart/Q1c5VWwD/?symbol=asx</t>
        </is>
      </c>
    </row>
    <row r="56">
      <c r="A56" s="15" t="n">
        <v>55</v>
      </c>
      <c r="B56" s="34" t="inlineStr">
        <is>
          <t>ATO</t>
        </is>
      </c>
      <c r="C56" s="15" t="inlineStr">
        <is>
          <t>Atmos Energy Corporation</t>
        </is>
      </c>
      <c r="D56" s="15" t="str">
        <f>IFERROR(INDEX(觀察名單!$AA$2:$AA$533,MATCH($B56,觀察名單!$B$2:$B$533,0)),"")</f>
        <v>A</v>
      </c>
      <c r="E56" s="15" t="inlineStr">
        <is>
          <t>https://www.tradingview.com/chart/Q1c5VWwD/?symbol=ato</t>
        </is>
      </c>
    </row>
    <row r="57">
      <c r="A57" s="15" t="n">
        <v>56</v>
      </c>
      <c r="B57" s="34" t="inlineStr">
        <is>
          <t>AU</t>
        </is>
      </c>
      <c r="C57" s="15" t="inlineStr">
        <is>
          <t>AngloGold Ashanti plc</t>
        </is>
      </c>
      <c r="D57" s="15" t="str">
        <f>IFERROR(INDEX(觀察名單!$AA$2:$AA$533,MATCH($B57,觀察名單!$B$2:$B$533,0)),"")</f>
        <v>A</v>
      </c>
      <c r="E57" s="15" t="inlineStr">
        <is>
          <t>https://www.tradingview.com/chart/Q1c5VWwD/?symbol=au</t>
        </is>
      </c>
    </row>
    <row r="58">
      <c r="A58" s="15" t="n">
        <v>57</v>
      </c>
      <c r="B58" s="34" t="inlineStr">
        <is>
          <t>AVAV</t>
        </is>
      </c>
      <c r="C58" s="15" t="inlineStr">
        <is>
          <t>AeroVironment, Inc.</t>
        </is>
      </c>
      <c r="D58" s="15" t="str">
        <f>IFERROR(INDEX(觀察名單!$AA$2:$AA$533,MATCH($B58,觀察名單!$B$2:$B$533,0)),"")</f>
        <v>B</v>
      </c>
      <c r="E58" s="15" t="inlineStr">
        <is>
          <t>https://www.tradingview.com/chart/Q1c5VWwD/?symbol=avav</t>
        </is>
      </c>
    </row>
    <row r="59">
      <c r="A59" s="15" t="n">
        <v>58</v>
      </c>
      <c r="B59" s="34" t="inlineStr">
        <is>
          <t>AVGO</t>
        </is>
      </c>
      <c r="C59" s="15" t="inlineStr">
        <is>
          <t>Broadcom Inc.</t>
        </is>
      </c>
      <c r="D59" s="15" t="str">
        <f>IFERROR(INDEX(觀察名單!$AA$2:$AA$533,MATCH($B59,觀察名單!$B$2:$B$533,0)),"")</f>
        <v>—</v>
      </c>
      <c r="E59" s="15" t="inlineStr">
        <is>
          <t>https://www.tradingview.com/chart/Q1c5VWwD/?symbol=avgo</t>
        </is>
      </c>
    </row>
    <row r="60">
      <c r="A60" s="15" t="n">
        <v>59</v>
      </c>
      <c r="B60" s="34" t="inlineStr">
        <is>
          <t>AWK</t>
        </is>
      </c>
      <c r="C60" s="15" t="inlineStr">
        <is>
          <t>American Water Works Company, Inc.</t>
        </is>
      </c>
      <c r="D60" s="15" t="str">
        <f>IFERROR(INDEX(觀察名單!$AA$2:$AA$533,MATCH($B60,觀察名單!$B$2:$B$533,0)),"")</f>
        <v>A</v>
      </c>
      <c r="E60" s="15" t="inlineStr">
        <is>
          <t>https://www.tradingview.com/chart/Q1c5VWwD/?symbol=awk</t>
        </is>
      </c>
    </row>
    <row r="61">
      <c r="A61" s="15" t="n">
        <v>60</v>
      </c>
      <c r="B61" s="34" t="inlineStr">
        <is>
          <t>AWR</t>
        </is>
      </c>
      <c r="C61" s="15" t="inlineStr">
        <is>
          <t>American States Water Company</t>
        </is>
      </c>
      <c r="D61" s="15" t="str">
        <f>IFERROR(INDEX(觀察名單!$AA$2:$AA$533,MATCH($B61,觀察名單!$B$2:$B$533,0)),"")</f>
        <v>A</v>
      </c>
      <c r="E61" s="15" t="inlineStr">
        <is>
          <t>https://www.tradingview.com/chart/Q1c5VWwD/?symbol=awr</t>
        </is>
      </c>
    </row>
    <row r="62">
      <c r="A62" s="15" t="n">
        <v>61</v>
      </c>
      <c r="B62" s="34" t="inlineStr">
        <is>
          <t>AXP</t>
        </is>
      </c>
      <c r="C62" s="15" t="inlineStr">
        <is>
          <t>American Express Company</t>
        </is>
      </c>
      <c r="D62" s="15" t="str">
        <f>IFERROR(INDEX(觀察名單!$AA$2:$AA$533,MATCH($B62,觀察名單!$B$2:$B$533,0)),"")</f>
        <v>—</v>
      </c>
      <c r="E62" s="15" t="inlineStr">
        <is>
          <t>https://www.tradingview.com/chart/Q1c5VWwD/?symbol=axp</t>
        </is>
      </c>
    </row>
    <row r="63">
      <c r="A63" s="15" t="n">
        <v>62</v>
      </c>
      <c r="B63" s="34" t="inlineStr">
        <is>
          <t>AXTI</t>
        </is>
      </c>
      <c r="C63" s="15" t="inlineStr">
        <is>
          <t>AXT, Inc.</t>
        </is>
      </c>
      <c r="D63" s="15" t="str">
        <f>IFERROR(INDEX(觀察名單!$AA$2:$AA$533,MATCH($B63,觀察名單!$B$2:$B$533,0)),"")</f>
        <v>B</v>
      </c>
      <c r="E63" s="15" t="inlineStr">
        <is>
          <t>https://www.tradingview.com/chart/Q1c5VWwD/?symbol=axti</t>
        </is>
      </c>
    </row>
    <row r="64">
      <c r="A64" s="15" t="n">
        <v>63</v>
      </c>
      <c r="B64" s="34" t="inlineStr">
        <is>
          <t>BA</t>
        </is>
      </c>
      <c r="C64" s="15" t="inlineStr">
        <is>
          <t>The Boeing Company</t>
        </is>
      </c>
      <c r="D64" s="15" t="str">
        <f>IFERROR(INDEX(觀察名單!$AA$2:$AA$533,MATCH($B64,觀察名單!$B$2:$B$533,0)),"")</f>
        <v>—</v>
      </c>
      <c r="E64" s="15" t="inlineStr">
        <is>
          <t>https://www.tradingview.com/chart/Q1c5VWwD/?symbol=ba</t>
        </is>
      </c>
    </row>
    <row r="65">
      <c r="A65" s="15" t="n">
        <v>64</v>
      </c>
      <c r="B65" s="34" t="inlineStr">
        <is>
          <t>BABA</t>
        </is>
      </c>
      <c r="C65" s="15" t="inlineStr">
        <is>
          <t>Alibaba Group Holding Limited</t>
        </is>
      </c>
      <c r="D65" s="15" t="str">
        <f>IFERROR(INDEX(觀察名單!$AA$2:$AA$533,MATCH($B65,觀察名單!$B$2:$B$533,0)),"")</f>
        <v>B</v>
      </c>
      <c r="E65" s="15" t="inlineStr">
        <is>
          <t>https://www.tradingview.com/chart/Q1c5VWwD/?symbol=baba</t>
        </is>
      </c>
    </row>
    <row r="66">
      <c r="A66" s="15" t="n">
        <v>65</v>
      </c>
      <c r="B66" s="34" t="inlineStr">
        <is>
          <t>BAC</t>
        </is>
      </c>
      <c r="C66" s="15" t="inlineStr">
        <is>
          <t>Bank of America Corporation</t>
        </is>
      </c>
      <c r="D66" s="15" t="str">
        <f>IFERROR(INDEX(觀察名單!$AA$2:$AA$533,MATCH($B66,觀察名單!$B$2:$B$533,0)),"")</f>
        <v>—</v>
      </c>
      <c r="E66" s="15" t="inlineStr">
        <is>
          <t>https://www.tradingview.com/chart/Q1c5VWwD/?symbol=bac</t>
        </is>
      </c>
    </row>
    <row r="67">
      <c r="A67" s="15" t="n">
        <v>66</v>
      </c>
      <c r="B67" s="34" t="inlineStr">
        <is>
          <t>BBY</t>
        </is>
      </c>
      <c r="C67" s="15" t="inlineStr">
        <is>
          <t>Best Buy Co., Inc.</t>
        </is>
      </c>
      <c r="D67" s="15" t="str">
        <f>IFERROR(INDEX(觀察名單!$AA$2:$AA$533,MATCH($B67,觀察名單!$B$2:$B$533,0)),"")</f>
        <v>—</v>
      </c>
      <c r="E67" s="15" t="inlineStr">
        <is>
          <t>https://www.tradingview.com/chart/Q1c5VWwD/?symbol=bby</t>
        </is>
      </c>
    </row>
    <row r="68">
      <c r="A68" s="15" t="n">
        <v>67</v>
      </c>
      <c r="B68" s="34" t="inlineStr">
        <is>
          <t>BC</t>
        </is>
      </c>
      <c r="C68" s="15" t="inlineStr">
        <is>
          <t>Brunswick Corporation</t>
        </is>
      </c>
      <c r="D68" s="15" t="str">
        <f>IFERROR(INDEX(觀察名單!$AA$2:$AA$533,MATCH($B68,觀察名單!$B$2:$B$533,0)),"")</f>
        <v>A</v>
      </c>
      <c r="E68" s="15" t="inlineStr">
        <is>
          <t>https://www.tradingview.com/chart/Q1c5VWwD/?symbol=bc</t>
        </is>
      </c>
    </row>
    <row r="69">
      <c r="A69" s="15" t="n">
        <v>68</v>
      </c>
      <c r="B69" s="34" t="inlineStr">
        <is>
          <t>BE</t>
        </is>
      </c>
      <c r="C69" s="15" t="inlineStr">
        <is>
          <t>Bloom Energy Corporation</t>
        </is>
      </c>
      <c r="D69" s="15" t="str">
        <f>IFERROR(INDEX(觀察名單!$AA$2:$AA$533,MATCH($B69,觀察名單!$B$2:$B$533,0)),"")</f>
        <v>A</v>
      </c>
      <c r="E69" s="15" t="inlineStr">
        <is>
          <t>https://www.tradingview.com/chart/Q1c5VWwD/?symbol=be</t>
        </is>
      </c>
    </row>
    <row r="70">
      <c r="A70" s="15" t="n">
        <v>69</v>
      </c>
      <c r="B70" s="34" t="inlineStr">
        <is>
          <t>BEAM</t>
        </is>
      </c>
      <c r="C70" s="15" t="inlineStr">
        <is>
          <t>Beam Therapeutics Inc.</t>
        </is>
      </c>
      <c r="D70" s="15" t="str">
        <f>IFERROR(INDEX(觀察名單!$AA$2:$AA$533,MATCH($B70,觀察名單!$B$2:$B$533,0)),"")</f>
        <v>C</v>
      </c>
      <c r="E70" s="15" t="inlineStr">
        <is>
          <t>https://www.tradingview.com/chart/Q1c5VWwD/?symbol=beam</t>
        </is>
      </c>
    </row>
    <row r="71">
      <c r="A71" s="15" t="n">
        <v>70</v>
      </c>
      <c r="B71" s="34" t="inlineStr">
        <is>
          <t>BEN</t>
        </is>
      </c>
      <c r="C71" s="15" t="inlineStr">
        <is>
          <t>Franklin Templeton Inc.</t>
        </is>
      </c>
      <c r="D71" s="15" t="str">
        <f>IFERROR(INDEX(觀察名單!$AA$2:$AA$533,MATCH($B71,觀察名單!$B$2:$B$533,0)),"")</f>
        <v>A</v>
      </c>
      <c r="E71" s="15" t="inlineStr">
        <is>
          <t>https://www.tradingview.com/chart/Q1c5VWwD/?symbol=ben</t>
        </is>
      </c>
    </row>
    <row r="72">
      <c r="A72" s="15" t="n">
        <v>71</v>
      </c>
      <c r="B72" s="34" t="inlineStr">
        <is>
          <t>BF.B</t>
        </is>
      </c>
      <c r="C72" s="15" t="inlineStr">
        <is>
          <t>Brown-Forman Corporation</t>
        </is>
      </c>
      <c r="D72" s="15" t="str">
        <f>IFERROR(INDEX(觀察名單!$AA$2:$AA$533,MATCH($B72,觀察名單!$B$2:$B$533,0)),"")</f>
        <v>—</v>
      </c>
      <c r="E72" s="15" t="inlineStr">
        <is>
          <t>https://www.tradingview.com/chart/Q1c5VWwD/?symbol=bf.b</t>
        </is>
      </c>
    </row>
    <row r="73">
      <c r="A73" s="15" t="n">
        <v>72</v>
      </c>
      <c r="B73" s="34" t="inlineStr">
        <is>
          <t>BG</t>
        </is>
      </c>
      <c r="C73" s="15" t="inlineStr">
        <is>
          <t>Bunge Global SA</t>
        </is>
      </c>
      <c r="D73" s="15" t="str">
        <f>IFERROR(INDEX(觀察名單!$AA$2:$AA$533,MATCH($B73,觀察名單!$B$2:$B$533,0)),"")</f>
        <v>A</v>
      </c>
      <c r="E73" s="15" t="inlineStr">
        <is>
          <t>https://www.tradingview.com/chart/Q1c5VWwD/?symbol=bg</t>
        </is>
      </c>
    </row>
    <row r="74">
      <c r="A74" s="15" t="n">
        <v>73</v>
      </c>
      <c r="B74" s="34" t="inlineStr">
        <is>
          <t>BIDU</t>
        </is>
      </c>
      <c r="C74" s="15" t="inlineStr">
        <is>
          <t>Baidu, Inc.</t>
        </is>
      </c>
      <c r="D74" s="15" t="str">
        <f>IFERROR(INDEX(觀察名單!$AA$2:$AA$533,MATCH($B74,觀察名單!$B$2:$B$533,0)),"")</f>
        <v>A</v>
      </c>
      <c r="E74" s="15" t="inlineStr">
        <is>
          <t>https://www.tradingview.com/chart/Q1c5VWwD/?symbol=bidu</t>
        </is>
      </c>
    </row>
    <row r="75">
      <c r="A75" s="15" t="n">
        <v>74</v>
      </c>
      <c r="B75" s="34" t="inlineStr">
        <is>
          <t>BIIB</t>
        </is>
      </c>
      <c r="C75" s="15" t="inlineStr">
        <is>
          <t>Biogen Inc.</t>
        </is>
      </c>
      <c r="D75" s="15" t="str">
        <f>IFERROR(INDEX(觀察名單!$AA$2:$AA$533,MATCH($B75,觀察名單!$B$2:$B$533,0)),"")</f>
        <v>A</v>
      </c>
      <c r="E75" s="15" t="inlineStr">
        <is>
          <t>https://www.tradingview.com/chart/Q1c5VWwD/?symbol=biib</t>
        </is>
      </c>
    </row>
    <row r="76">
      <c r="A76" s="15" t="n">
        <v>75</v>
      </c>
      <c r="B76" s="34" t="inlineStr">
        <is>
          <t>BJ</t>
        </is>
      </c>
      <c r="C76" s="15" t="inlineStr">
        <is>
          <t>BJ's Wholesale Club Holdings, Inc.</t>
        </is>
      </c>
      <c r="D76" s="15" t="str">
        <f>IFERROR(INDEX(觀察名單!$AA$2:$AA$533,MATCH($B76,觀察名單!$B$2:$B$533,0)),"")</f>
        <v>A</v>
      </c>
      <c r="E76" s="15" t="inlineStr">
        <is>
          <t>https://www.tradingview.com/chart/Q1c5VWwD/?symbol=bj</t>
        </is>
      </c>
    </row>
    <row r="77">
      <c r="A77" s="15" t="n">
        <v>76</v>
      </c>
      <c r="B77" s="34" t="inlineStr">
        <is>
          <t>BKR</t>
        </is>
      </c>
      <c r="C77" s="15" t="inlineStr">
        <is>
          <t>Baker Hughes Company</t>
        </is>
      </c>
      <c r="D77" s="15" t="str">
        <f>IFERROR(INDEX(觀察名單!$AA$2:$AA$533,MATCH($B77,觀察名單!$B$2:$B$533,0)),"")</f>
        <v>A</v>
      </c>
      <c r="E77" s="15" t="inlineStr">
        <is>
          <t>https://www.tradingview.com/chart/Q1c5VWwD/?symbol=bkr</t>
        </is>
      </c>
    </row>
    <row r="78">
      <c r="A78" s="15" t="n">
        <v>77</v>
      </c>
      <c r="B78" s="34" t="inlineStr">
        <is>
          <t>BLK</t>
        </is>
      </c>
      <c r="C78" s="15" t="inlineStr">
        <is>
          <t>BlackRock, Inc.</t>
        </is>
      </c>
      <c r="D78" s="15" t="str">
        <f>IFERROR(INDEX(觀察名單!$AA$2:$AA$533,MATCH($B78,觀察名單!$B$2:$B$533,0)),"")</f>
        <v>A</v>
      </c>
      <c r="E78" s="15" t="inlineStr">
        <is>
          <t>https://www.tradingview.com/chart/Q1c5VWwD/?symbol=blk</t>
        </is>
      </c>
    </row>
    <row r="79">
      <c r="A79" s="15" t="n">
        <v>78</v>
      </c>
      <c r="B79" s="34" t="inlineStr">
        <is>
          <t>BMY</t>
        </is>
      </c>
      <c r="C79" s="15" t="inlineStr">
        <is>
          <t>Bristol-Myers Squibb Company</t>
        </is>
      </c>
      <c r="D79" s="15" t="str">
        <f>IFERROR(INDEX(觀察名單!$AA$2:$AA$533,MATCH($B79,觀察名單!$B$2:$B$533,0)),"")</f>
        <v>A</v>
      </c>
      <c r="E79" s="15" t="inlineStr">
        <is>
          <t>https://www.tradingview.com/chart/Q1c5VWwD/?symbol=bmy</t>
        </is>
      </c>
    </row>
    <row r="80">
      <c r="A80" s="15" t="n">
        <v>79</v>
      </c>
      <c r="B80" s="34" t="inlineStr">
        <is>
          <t>BRO</t>
        </is>
      </c>
      <c r="C80" s="15" t="inlineStr">
        <is>
          <t>Brown &amp; Brown, Inc.</t>
        </is>
      </c>
      <c r="D80" s="15" t="str">
        <f>IFERROR(INDEX(觀察名單!$AA$2:$AA$533,MATCH($B80,觀察名單!$B$2:$B$533,0)),"")</f>
        <v>A</v>
      </c>
      <c r="E80" s="15" t="inlineStr">
        <is>
          <t>https://www.tradingview.com/chart/Q1c5VWwD/?symbol=bro</t>
        </is>
      </c>
    </row>
    <row r="81">
      <c r="A81" s="15" t="n">
        <v>80</v>
      </c>
      <c r="B81" s="34" t="inlineStr">
        <is>
          <t>BSX</t>
        </is>
      </c>
      <c r="C81" s="15" t="inlineStr">
        <is>
          <t>Boston Scientific Corporation</t>
        </is>
      </c>
      <c r="D81" s="15" t="str">
        <f>IFERROR(INDEX(觀察名單!$AA$2:$AA$533,MATCH($B81,觀察名單!$B$2:$B$533,0)),"")</f>
        <v>—</v>
      </c>
      <c r="E81" s="15" t="inlineStr">
        <is>
          <t>https://www.tradingview.com/chart/Q1c5VWwD/?symbol=bsx</t>
        </is>
      </c>
    </row>
    <row r="82">
      <c r="A82" s="15" t="n">
        <v>81</v>
      </c>
      <c r="B82" s="34" t="inlineStr">
        <is>
          <t>BTU</t>
        </is>
      </c>
      <c r="C82" s="15" t="inlineStr">
        <is>
          <t>Peabody Energy Corporation</t>
        </is>
      </c>
      <c r="D82" s="15" t="str">
        <f>IFERROR(INDEX(觀察名單!$AA$2:$AA$533,MATCH($B82,觀察名單!$B$2:$B$533,0)),"")</f>
        <v>D</v>
      </c>
      <c r="E82" s="15" t="inlineStr">
        <is>
          <t>https://www.tradingview.com/chart/Q1c5VWwD/?symbol=btu</t>
        </is>
      </c>
    </row>
    <row r="83">
      <c r="A83" s="15" t="n">
        <v>82</v>
      </c>
      <c r="B83" s="34" t="inlineStr">
        <is>
          <t>BWXT</t>
        </is>
      </c>
      <c r="C83" s="15" t="inlineStr">
        <is>
          <t>BWX Technologies, Inc.</t>
        </is>
      </c>
      <c r="D83" s="15" t="str">
        <f>IFERROR(INDEX(觀察名單!$AA$2:$AA$533,MATCH($B83,觀察名單!$B$2:$B$533,0)),"")</f>
        <v>A</v>
      </c>
      <c r="E83" s="15" t="inlineStr">
        <is>
          <t>https://www.tradingview.com/chart/Q1c5VWwD/?symbol=bwxt</t>
        </is>
      </c>
    </row>
    <row r="84">
      <c r="A84" s="15" t="n">
        <v>83</v>
      </c>
      <c r="B84" s="34" t="inlineStr">
        <is>
          <t>BX</t>
        </is>
      </c>
      <c r="C84" s="15" t="inlineStr">
        <is>
          <t>Blackstone Inc.</t>
        </is>
      </c>
      <c r="D84" s="15" t="str">
        <f>IFERROR(INDEX(觀察名單!$AA$2:$AA$533,MATCH($B84,觀察名單!$B$2:$B$533,0)),"")</f>
        <v>—</v>
      </c>
      <c r="E84" s="15" t="inlineStr">
        <is>
          <t>https://www.tradingview.com/chart/Q1c5VWwD/?symbol=bx</t>
        </is>
      </c>
    </row>
    <row r="85">
      <c r="A85" s="15" t="n">
        <v>84</v>
      </c>
      <c r="B85" s="34" t="inlineStr">
        <is>
          <t>BXP</t>
        </is>
      </c>
      <c r="C85" s="15" t="inlineStr">
        <is>
          <t>BXP, Inc.</t>
        </is>
      </c>
      <c r="D85" s="15" t="str">
        <f>IFERROR(INDEX(觀察名單!$AA$2:$AA$533,MATCH($B85,觀察名單!$B$2:$B$533,0)),"")</f>
        <v>A</v>
      </c>
      <c r="E85" s="15" t="inlineStr">
        <is>
          <t>https://www.tradingview.com/chart/Q1c5VWwD/?symbol=bxp</t>
        </is>
      </c>
    </row>
    <row r="86">
      <c r="A86" s="15" t="n">
        <v>85</v>
      </c>
      <c r="B86" s="34" t="inlineStr">
        <is>
          <t>C</t>
        </is>
      </c>
      <c r="C86" s="15" t="inlineStr">
        <is>
          <t>Citigroup Inc.</t>
        </is>
      </c>
      <c r="D86" s="15" t="str">
        <f>IFERROR(INDEX(觀察名單!$AA$2:$AA$533,MATCH($B86,觀察名單!$B$2:$B$533,0)),"")</f>
        <v>—</v>
      </c>
      <c r="E86" s="15" t="inlineStr">
        <is>
          <t>https://www.tradingview.com/chart/Q1c5VWwD/?symbol=c</t>
        </is>
      </c>
    </row>
    <row r="87">
      <c r="A87" s="15" t="n">
        <v>86</v>
      </c>
      <c r="B87" s="34" t="inlineStr">
        <is>
          <t>CAG</t>
        </is>
      </c>
      <c r="C87" s="15" t="inlineStr">
        <is>
          <t>Conagra Brands, Inc.</t>
        </is>
      </c>
      <c r="D87" s="15" t="str">
        <f>IFERROR(INDEX(觀察名單!$AA$2:$AA$533,MATCH($B87,觀察名單!$B$2:$B$533,0)),"")</f>
        <v>A</v>
      </c>
      <c r="E87" s="15" t="inlineStr">
        <is>
          <t>https://www.tradingview.com/chart/Q1c5VWwD/?symbol=cag</t>
        </is>
      </c>
    </row>
    <row r="88">
      <c r="A88" s="15" t="n">
        <v>87</v>
      </c>
      <c r="B88" s="34" t="inlineStr">
        <is>
          <t>CAH</t>
        </is>
      </c>
      <c r="C88" s="15" t="inlineStr">
        <is>
          <t>Cardinal Health, Inc.</t>
        </is>
      </c>
      <c r="D88" s="15" t="str">
        <f>IFERROR(INDEX(觀察名單!$AA$2:$AA$533,MATCH($B88,觀察名單!$B$2:$B$533,0)),"")</f>
        <v>A</v>
      </c>
      <c r="E88" s="15" t="inlineStr">
        <is>
          <t>https://www.tradingview.com/chart/Q1c5VWwD/?symbol=cah</t>
        </is>
      </c>
    </row>
    <row r="89">
      <c r="A89" s="15" t="n">
        <v>88</v>
      </c>
      <c r="B89" s="34" t="inlineStr">
        <is>
          <t>CAMT</t>
        </is>
      </c>
      <c r="C89" s="15" t="inlineStr">
        <is>
          <t>Camtek Ltd.</t>
        </is>
      </c>
      <c r="D89" s="15" t="str">
        <f>IFERROR(INDEX(觀察名單!$AA$2:$AA$533,MATCH($B89,觀察名單!$B$2:$B$533,0)),"")</f>
        <v>A</v>
      </c>
      <c r="E89" s="15" t="inlineStr">
        <is>
          <t>https://www.tradingview.com/chart/Q1c5VWwD/?symbol=camt</t>
        </is>
      </c>
    </row>
    <row r="90">
      <c r="A90" s="15" t="n">
        <v>89</v>
      </c>
      <c r="B90" s="34" t="inlineStr">
        <is>
          <t>CARR</t>
        </is>
      </c>
      <c r="C90" s="15" t="inlineStr">
        <is>
          <t>Carrier Global Corporation</t>
        </is>
      </c>
      <c r="D90" s="15" t="str">
        <f>IFERROR(INDEX(觀察名單!$AA$2:$AA$533,MATCH($B90,觀察名單!$B$2:$B$533,0)),"")</f>
        <v>A</v>
      </c>
      <c r="E90" s="15" t="inlineStr">
        <is>
          <t>https://www.tradingview.com/chart/Q1c5VWwD/?symbol=carr</t>
        </is>
      </c>
    </row>
    <row r="91">
      <c r="A91" s="15" t="n">
        <v>90</v>
      </c>
      <c r="B91" s="34" t="inlineStr">
        <is>
          <t>CAT</t>
        </is>
      </c>
      <c r="C91" s="15" t="inlineStr">
        <is>
          <t>Caterpillar Inc.</t>
        </is>
      </c>
      <c r="D91" s="15" t="str">
        <f>IFERROR(INDEX(觀察名單!$AA$2:$AA$533,MATCH($B91,觀察名單!$B$2:$B$533,0)),"")</f>
        <v>A</v>
      </c>
      <c r="E91" s="15" t="inlineStr">
        <is>
          <t>https://www.tradingview.com/chart/Q1c5VWwD/?symbol=cat</t>
        </is>
      </c>
    </row>
    <row r="92">
      <c r="A92" s="15" t="n">
        <v>91</v>
      </c>
      <c r="B92" s="34" t="inlineStr">
        <is>
          <t>CB</t>
        </is>
      </c>
      <c r="C92" s="15" t="inlineStr">
        <is>
          <t>Chubb Limited</t>
        </is>
      </c>
      <c r="D92" s="15" t="str">
        <f>IFERROR(INDEX(觀察名單!$AA$2:$AA$533,MATCH($B92,觀察名單!$B$2:$B$533,0)),"")</f>
        <v>A</v>
      </c>
      <c r="E92" s="15" t="inlineStr">
        <is>
          <t>https://www.tradingview.com/chart/Q1c5VWwD/?symbol=cb</t>
        </is>
      </c>
    </row>
    <row r="93">
      <c r="A93" s="15" t="n">
        <v>92</v>
      </c>
      <c r="B93" s="34" t="inlineStr">
        <is>
          <t>CBOE</t>
        </is>
      </c>
      <c r="C93" s="15" t="inlineStr">
        <is>
          <t>Cboe Global Markets, Inc.</t>
        </is>
      </c>
      <c r="D93" s="15" t="str">
        <f>IFERROR(INDEX(觀察名單!$AA$2:$AA$533,MATCH($B93,觀察名單!$B$2:$B$533,0)),"")</f>
        <v>A</v>
      </c>
      <c r="E93" s="15" t="inlineStr">
        <is>
          <t>https://www.tradingview.com/chart/Q1c5VWwD/?symbol=cboe</t>
        </is>
      </c>
    </row>
    <row r="94">
      <c r="A94" s="15" t="n">
        <v>93</v>
      </c>
      <c r="B94" s="34" t="inlineStr">
        <is>
          <t>CBRE</t>
        </is>
      </c>
      <c r="C94" s="15" t="inlineStr">
        <is>
          <t>CBRE Group, Inc.</t>
        </is>
      </c>
      <c r="D94" s="15" t="str">
        <f>IFERROR(INDEX(觀察名單!$AA$2:$AA$533,MATCH($B94,觀察名單!$B$2:$B$533,0)),"")</f>
        <v>A</v>
      </c>
      <c r="E94" s="15" t="inlineStr">
        <is>
          <t>https://www.tradingview.com/chart/Q1c5VWwD/?symbol=cbre</t>
        </is>
      </c>
    </row>
    <row r="95">
      <c r="A95" s="15" t="n">
        <v>94</v>
      </c>
      <c r="B95" s="34" t="inlineStr">
        <is>
          <t>CCI</t>
        </is>
      </c>
      <c r="C95" s="15" t="inlineStr">
        <is>
          <t>Crown Castle Inc.</t>
        </is>
      </c>
      <c r="D95" s="15" t="str">
        <f>IFERROR(INDEX(觀察名單!$AA$2:$AA$533,MATCH($B95,觀察名單!$B$2:$B$533,0)),"")</f>
        <v>A</v>
      </c>
      <c r="E95" s="15" t="inlineStr">
        <is>
          <t>https://www.tradingview.com/chart/Q1c5VWwD/?symbol=cci</t>
        </is>
      </c>
    </row>
    <row r="96">
      <c r="A96" s="15" t="n">
        <v>95</v>
      </c>
      <c r="B96" s="34" t="inlineStr">
        <is>
          <t>CCJ</t>
        </is>
      </c>
      <c r="C96" s="15" t="inlineStr">
        <is>
          <t>Cameco Corporation</t>
        </is>
      </c>
      <c r="D96" s="15" t="str">
        <f>IFERROR(INDEX(觀察名單!$AA$2:$AA$533,MATCH($B96,觀察名單!$B$2:$B$533,0)),"")</f>
        <v>A</v>
      </c>
      <c r="E96" s="15" t="inlineStr">
        <is>
          <t>https://www.tradingview.com/chart/Q1c5VWwD/?symbol=ccj</t>
        </is>
      </c>
    </row>
    <row r="97">
      <c r="A97" s="15" t="n">
        <v>96</v>
      </c>
      <c r="B97" s="34" t="inlineStr">
        <is>
          <t>CCL</t>
        </is>
      </c>
      <c r="C97" s="15" t="inlineStr">
        <is>
          <t>Carnival Corporation Ltd.</t>
        </is>
      </c>
      <c r="D97" s="15" t="str">
        <f>IFERROR(INDEX(觀察名單!$AA$2:$AA$533,MATCH($B97,觀察名單!$B$2:$B$533,0)),"")</f>
        <v>A</v>
      </c>
      <c r="E97" s="15" t="inlineStr">
        <is>
          <t>https://www.tradingview.com/chart/Q1c5VWwD/?symbol=ccl</t>
        </is>
      </c>
    </row>
    <row r="98">
      <c r="A98" s="15" t="n">
        <v>97</v>
      </c>
      <c r="B98" s="34" t="inlineStr">
        <is>
          <t>CDE</t>
        </is>
      </c>
      <c r="C98" s="15" t="inlineStr">
        <is>
          <t>Coeur Mining, Inc.</t>
        </is>
      </c>
      <c r="D98" s="15" t="str">
        <f>IFERROR(INDEX(觀察名單!$AA$2:$AA$533,MATCH($B98,觀察名單!$B$2:$B$533,0)),"")</f>
        <v>A</v>
      </c>
      <c r="E98" s="15" t="inlineStr">
        <is>
          <t>https://www.tradingview.com/chart/Q1c5VWwD/?symbol=cde</t>
        </is>
      </c>
    </row>
    <row r="99">
      <c r="A99" s="15" t="n">
        <v>98</v>
      </c>
      <c r="B99" s="34" t="inlineStr">
        <is>
          <t>CDNS</t>
        </is>
      </c>
      <c r="C99" s="15" t="inlineStr">
        <is>
          <t>Cadence Design Systems, Inc.</t>
        </is>
      </c>
      <c r="D99" s="15" t="str">
        <f>IFERROR(INDEX(觀察名單!$AA$2:$AA$533,MATCH($B99,觀察名單!$B$2:$B$533,0)),"")</f>
        <v>A</v>
      </c>
      <c r="E99" s="15" t="inlineStr">
        <is>
          <t>https://www.tradingview.com/chart/Q1c5VWwD/?symbol=cdns</t>
        </is>
      </c>
    </row>
    <row r="100">
      <c r="A100" s="15" t="n">
        <v>99</v>
      </c>
      <c r="B100" s="34" t="inlineStr">
        <is>
          <t>CEG</t>
        </is>
      </c>
      <c r="C100" s="15" t="inlineStr">
        <is>
          <t>Constellation Energy Corporation</t>
        </is>
      </c>
      <c r="D100" s="15" t="str">
        <f>IFERROR(INDEX(觀察名單!$AA$2:$AA$533,MATCH($B100,觀察名單!$B$2:$B$533,0)),"")</f>
        <v>D</v>
      </c>
      <c r="E100" s="15" t="inlineStr">
        <is>
          <t>https://www.tradingview.com/chart/Q1c5VWwD/?symbol=ceg</t>
        </is>
      </c>
    </row>
    <row r="101">
      <c r="A101" s="15" t="n">
        <v>100</v>
      </c>
      <c r="B101" s="34" t="inlineStr">
        <is>
          <t>CELH</t>
        </is>
      </c>
      <c r="C101" s="15" t="inlineStr">
        <is>
          <t>Celsius Holdings, Inc.</t>
        </is>
      </c>
      <c r="D101" s="15" t="str">
        <f>IFERROR(INDEX(觀察名單!$AA$2:$AA$533,MATCH($B101,觀察名單!$B$2:$B$533,0)),"")</f>
        <v>A</v>
      </c>
      <c r="E101" s="15" t="inlineStr">
        <is>
          <t>https://www.tradingview.com/chart/Q1c5VWwD/?symbol=celh</t>
        </is>
      </c>
    </row>
    <row r="102">
      <c r="A102" s="15" t="n">
        <v>101</v>
      </c>
      <c r="B102" s="34" t="inlineStr">
        <is>
          <t>CENX</t>
        </is>
      </c>
      <c r="C102" s="15" t="inlineStr">
        <is>
          <t>Century Aluminum Company</t>
        </is>
      </c>
      <c r="D102" s="15" t="str">
        <f>IFERROR(INDEX(觀察名單!$AA$2:$AA$533,MATCH($B102,觀察名單!$B$2:$B$533,0)),"")</f>
        <v>A</v>
      </c>
      <c r="E102" s="15" t="inlineStr">
        <is>
          <t>https://www.tradingview.com/chart/Q1c5VWwD/?symbol=cenx</t>
        </is>
      </c>
    </row>
    <row r="103">
      <c r="A103" s="15" t="n">
        <v>102</v>
      </c>
      <c r="B103" s="34" t="inlineStr">
        <is>
          <t>CF</t>
        </is>
      </c>
      <c r="C103" s="15" t="inlineStr">
        <is>
          <t>CF Industries Holdings, Inc.</t>
        </is>
      </c>
      <c r="D103" s="15" t="str">
        <f>IFERROR(INDEX(觀察名單!$AA$2:$AA$533,MATCH($B103,觀察名單!$B$2:$B$533,0)),"")</f>
        <v>A</v>
      </c>
      <c r="E103" s="15" t="inlineStr">
        <is>
          <t>https://www.tradingview.com/chart/Q1c5VWwD/?symbol=cf</t>
        </is>
      </c>
    </row>
    <row r="104">
      <c r="A104" s="15" t="n">
        <v>103</v>
      </c>
      <c r="B104" s="34" t="inlineStr">
        <is>
          <t>CHD</t>
        </is>
      </c>
      <c r="C104" s="15" t="inlineStr">
        <is>
          <t>Church &amp; Dwight Co., Inc.</t>
        </is>
      </c>
      <c r="D104" s="15" t="str">
        <f>IFERROR(INDEX(觀察名單!$AA$2:$AA$533,MATCH($B104,觀察名單!$B$2:$B$533,0)),"")</f>
        <v>—</v>
      </c>
      <c r="E104" s="15" t="inlineStr">
        <is>
          <t>https://www.tradingview.com/chart/Q1c5VWwD/?symbol=chd</t>
        </is>
      </c>
    </row>
    <row r="105">
      <c r="A105" s="15" t="n">
        <v>104</v>
      </c>
      <c r="B105" s="34" t="inlineStr">
        <is>
          <t>CHEF</t>
        </is>
      </c>
      <c r="C105" s="15" t="inlineStr">
        <is>
          <t>The Chefs' Warehouse, Inc.</t>
        </is>
      </c>
      <c r="D105" s="15" t="str">
        <f>IFERROR(INDEX(觀察名單!$AA$2:$AA$533,MATCH($B105,觀察名單!$B$2:$B$533,0)),"")</f>
        <v>A</v>
      </c>
      <c r="E105" s="15" t="inlineStr">
        <is>
          <t>https://www.tradingview.com/chart/Q1c5VWwD/?symbol=chef</t>
        </is>
      </c>
    </row>
    <row r="106">
      <c r="A106" s="15" t="n">
        <v>105</v>
      </c>
      <c r="B106" s="34" t="inlineStr">
        <is>
          <t>CHTR</t>
        </is>
      </c>
      <c r="C106" s="15" t="inlineStr">
        <is>
          <t>Charter Communications, Inc.</t>
        </is>
      </c>
      <c r="D106" s="15" t="str">
        <f>IFERROR(INDEX(觀察名單!$AA$2:$AA$533,MATCH($B106,觀察名單!$B$2:$B$533,0)),"")</f>
        <v>A</v>
      </c>
      <c r="E106" s="15" t="inlineStr">
        <is>
          <t>https://www.tradingview.com/chart/Q1c5VWwD/?symbol=chtr</t>
        </is>
      </c>
    </row>
    <row r="107">
      <c r="A107" s="15" t="n">
        <v>106</v>
      </c>
      <c r="B107" s="34" t="inlineStr">
        <is>
          <t>CHWY</t>
        </is>
      </c>
      <c r="C107" s="15" t="inlineStr">
        <is>
          <t>Chewy, Inc.</t>
        </is>
      </c>
      <c r="D107" s="15" t="str">
        <f>IFERROR(INDEX(觀察名單!$AA$2:$AA$533,MATCH($B107,觀察名單!$B$2:$B$533,0)),"")</f>
        <v>A</v>
      </c>
      <c r="E107" s="15" t="inlineStr">
        <is>
          <t>https://www.tradingview.com/chart/Q1c5VWwD/?symbol=chwy</t>
        </is>
      </c>
    </row>
    <row r="108">
      <c r="A108" s="15" t="n">
        <v>107</v>
      </c>
      <c r="B108" s="34" t="inlineStr">
        <is>
          <t>CI</t>
        </is>
      </c>
      <c r="C108" s="15" t="inlineStr">
        <is>
          <t>The Cigna Group</t>
        </is>
      </c>
      <c r="D108" s="15" t="str">
        <f>IFERROR(INDEX(觀察名單!$AA$2:$AA$533,MATCH($B108,觀察名單!$B$2:$B$533,0)),"")</f>
        <v>A</v>
      </c>
      <c r="E108" s="15" t="inlineStr">
        <is>
          <t>https://www.tradingview.com/chart/Q1c5VWwD/?symbol=ci</t>
        </is>
      </c>
    </row>
    <row r="109">
      <c r="A109" s="15" t="n">
        <v>108</v>
      </c>
      <c r="B109" s="34" t="inlineStr">
        <is>
          <t>CIEN</t>
        </is>
      </c>
      <c r="C109" s="15" t="inlineStr">
        <is>
          <t>Ciena Corporation</t>
        </is>
      </c>
      <c r="D109" s="15" t="str">
        <f>IFERROR(INDEX(觀察名單!$AA$2:$AA$533,MATCH($B109,觀察名單!$B$2:$B$533,0)),"")</f>
        <v>A</v>
      </c>
      <c r="E109" s="15" t="inlineStr">
        <is>
          <t>https://www.tradingview.com/chart/Q1c5VWwD/?symbol=cien</t>
        </is>
      </c>
    </row>
    <row r="110">
      <c r="A110" s="15" t="n">
        <v>109</v>
      </c>
      <c r="B110" s="34" t="inlineStr">
        <is>
          <t>CL</t>
        </is>
      </c>
      <c r="C110" s="15" t="inlineStr">
        <is>
          <t>Colgate-Palmolive Company</t>
        </is>
      </c>
      <c r="D110" s="15" t="str">
        <f>IFERROR(INDEX(觀察名單!$AA$2:$AA$533,MATCH($B110,觀察名單!$B$2:$B$533,0)),"")</f>
        <v>A</v>
      </c>
      <c r="E110" s="15" t="inlineStr">
        <is>
          <t>https://www.tradingview.com/chart/Q1c5VWwD/?symbol=cl</t>
        </is>
      </c>
    </row>
    <row r="111">
      <c r="A111" s="15" t="n">
        <v>110</v>
      </c>
      <c r="B111" s="34" t="inlineStr">
        <is>
          <t>CLF</t>
        </is>
      </c>
      <c r="C111" s="15" t="inlineStr">
        <is>
          <t>Cleveland-Cliffs Inc.</t>
        </is>
      </c>
      <c r="D111" s="15" t="str">
        <f>IFERROR(INDEX(觀察名單!$AA$2:$AA$533,MATCH($B111,觀察名單!$B$2:$B$533,0)),"")</f>
        <v>C</v>
      </c>
      <c r="E111" s="15" t="inlineStr">
        <is>
          <t>https://www.tradingview.com/chart/Q1c5VWwD/?symbol=clf</t>
        </is>
      </c>
    </row>
    <row r="112">
      <c r="A112" s="15" t="n">
        <v>111</v>
      </c>
      <c r="B112" s="34" t="inlineStr">
        <is>
          <t>CLH</t>
        </is>
      </c>
      <c r="C112" s="15" t="inlineStr">
        <is>
          <t>Clean Harbors, Inc.</t>
        </is>
      </c>
      <c r="D112" s="15" t="str">
        <f>IFERROR(INDEX(觀察名單!$AA$2:$AA$533,MATCH($B112,觀察名單!$B$2:$B$533,0)),"")</f>
        <v>A</v>
      </c>
      <c r="E112" s="15" t="inlineStr">
        <is>
          <t>https://www.tradingview.com/chart/Q1c5VWwD/?symbol=clh</t>
        </is>
      </c>
    </row>
    <row r="113">
      <c r="A113" s="15" t="n">
        <v>112</v>
      </c>
      <c r="B113" s="34" t="inlineStr">
        <is>
          <t>CMCSA</t>
        </is>
      </c>
      <c r="C113" s="15" t="inlineStr">
        <is>
          <t>Comcast Corporation</t>
        </is>
      </c>
      <c r="D113" s="15" t="str">
        <f>IFERROR(INDEX(觀察名單!$AA$2:$AA$533,MATCH($B113,觀察名單!$B$2:$B$533,0)),"")</f>
        <v>A</v>
      </c>
      <c r="E113" s="15" t="inlineStr">
        <is>
          <t>https://www.tradingview.com/chart/Q1c5VWwD/?symbol=cmcsa</t>
        </is>
      </c>
    </row>
    <row r="114">
      <c r="A114" s="15" t="n">
        <v>113</v>
      </c>
      <c r="B114" s="34" t="inlineStr">
        <is>
          <t>CME</t>
        </is>
      </c>
      <c r="C114" s="15" t="inlineStr">
        <is>
          <t>CME Group Inc.</t>
        </is>
      </c>
      <c r="D114" s="15" t="str">
        <f>IFERROR(INDEX(觀察名單!$AA$2:$AA$533,MATCH($B114,觀察名單!$B$2:$B$533,0)),"")</f>
        <v>A</v>
      </c>
      <c r="E114" s="15" t="inlineStr">
        <is>
          <t>https://www.tradingview.com/chart/Q1c5VWwD/?symbol=cme</t>
        </is>
      </c>
    </row>
    <row r="115">
      <c r="A115" s="15" t="n">
        <v>114</v>
      </c>
      <c r="B115" s="34" t="inlineStr">
        <is>
          <t>CMG</t>
        </is>
      </c>
      <c r="C115" s="15" t="inlineStr">
        <is>
          <t>Chipotle Mexican Grill, Inc.</t>
        </is>
      </c>
      <c r="D115" s="15" t="str">
        <f>IFERROR(INDEX(觀察名單!$AA$2:$AA$533,MATCH($B115,觀察名單!$B$2:$B$533,0)),"")</f>
        <v>A</v>
      </c>
      <c r="E115" s="15" t="inlineStr">
        <is>
          <t>https://www.tradingview.com/chart/Q1c5VWwD/?symbol=cmg</t>
        </is>
      </c>
    </row>
    <row r="116">
      <c r="A116" s="15" t="n">
        <v>115</v>
      </c>
      <c r="B116" s="34" t="inlineStr">
        <is>
          <t>CMI</t>
        </is>
      </c>
      <c r="C116" s="15" t="inlineStr">
        <is>
          <t>Cummins Inc.</t>
        </is>
      </c>
      <c r="D116" s="15" t="str">
        <f>IFERROR(INDEX(觀察名單!$AA$2:$AA$533,MATCH($B116,觀察名單!$B$2:$B$533,0)),"")</f>
        <v>A</v>
      </c>
      <c r="E116" s="15" t="inlineStr">
        <is>
          <t>https://www.tradingview.com/chart/Q1c5VWwD/?symbol=cmi</t>
        </is>
      </c>
    </row>
    <row r="117">
      <c r="A117" s="15" t="n">
        <v>116</v>
      </c>
      <c r="B117" s="34" t="inlineStr">
        <is>
          <t>CNC</t>
        </is>
      </c>
      <c r="C117" s="15" t="inlineStr">
        <is>
          <t>Centene Corporation</t>
        </is>
      </c>
      <c r="D117" s="15" t="str">
        <f>IFERROR(INDEX(觀察名單!$AA$2:$AA$533,MATCH($B117,觀察名單!$B$2:$B$533,0)),"")</f>
        <v>B</v>
      </c>
      <c r="E117" s="15" t="inlineStr">
        <is>
          <t>https://www.tradingview.com/chart/Q1c5VWwD/?symbol=cnc</t>
        </is>
      </c>
    </row>
    <row r="118">
      <c r="A118" s="15" t="n">
        <v>117</v>
      </c>
      <c r="B118" s="34" t="inlineStr">
        <is>
          <t>CNR</t>
        </is>
      </c>
      <c r="C118" s="15" t="inlineStr">
        <is>
          <t>Core Natural Resources, Inc.</t>
        </is>
      </c>
      <c r="D118" s="15" t="str">
        <f>IFERROR(INDEX(觀察名單!$AA$2:$AA$533,MATCH($B118,觀察名單!$B$2:$B$533,0)),"")</f>
        <v>B</v>
      </c>
      <c r="E118" s="15" t="inlineStr">
        <is>
          <t>https://www.tradingview.com/chart/Q1c5VWwD/?symbol=cnr</t>
        </is>
      </c>
    </row>
    <row r="119">
      <c r="A119" s="15" t="n">
        <v>118</v>
      </c>
      <c r="B119" s="34" t="inlineStr">
        <is>
          <t>COF</t>
        </is>
      </c>
      <c r="C119" s="15" t="inlineStr">
        <is>
          <t>Capital One Financial Corporation</t>
        </is>
      </c>
      <c r="D119" s="15" t="str">
        <f>IFERROR(INDEX(觀察名單!$AA$2:$AA$533,MATCH($B119,觀察名單!$B$2:$B$533,0)),"")</f>
        <v>—</v>
      </c>
      <c r="E119" s="15" t="inlineStr">
        <is>
          <t>https://www.tradingview.com/chart/Q1c5VWwD/?symbol=cof</t>
        </is>
      </c>
    </row>
    <row r="120">
      <c r="A120" s="15" t="n">
        <v>119</v>
      </c>
      <c r="B120" s="34" t="inlineStr">
        <is>
          <t>COHR</t>
        </is>
      </c>
      <c r="C120" s="15" t="inlineStr">
        <is>
          <t>Coherent Corp.</t>
        </is>
      </c>
      <c r="D120" s="15" t="str">
        <f>IFERROR(INDEX(觀察名單!$AA$2:$AA$533,MATCH($B120,觀察名單!$B$2:$B$533,0)),"")</f>
        <v>A</v>
      </c>
      <c r="E120" s="15" t="inlineStr">
        <is>
          <t>https://www.tradingview.com/chart/Q1c5VWwD/?symbol=cohr</t>
        </is>
      </c>
    </row>
    <row r="121">
      <c r="A121" s="15" t="n">
        <v>120</v>
      </c>
      <c r="B121" s="34" t="inlineStr">
        <is>
          <t>COIN</t>
        </is>
      </c>
      <c r="C121" s="15" t="inlineStr">
        <is>
          <t>Coinbase Global, Inc.</t>
        </is>
      </c>
      <c r="D121" s="15" t="str">
        <f>IFERROR(INDEX(觀察名單!$AA$2:$AA$533,MATCH($B121,觀察名單!$B$2:$B$533,0)),"")</f>
        <v>D</v>
      </c>
      <c r="E121" s="15" t="inlineStr">
        <is>
          <t>https://www.tradingview.com/chart/Q1c5VWwD/?symbol=coin</t>
        </is>
      </c>
    </row>
    <row r="122">
      <c r="A122" s="15" t="n">
        <v>121</v>
      </c>
      <c r="B122" s="34" t="inlineStr">
        <is>
          <t>COMP</t>
        </is>
      </c>
      <c r="C122" s="15" t="inlineStr">
        <is>
          <t>Compass, Inc.</t>
        </is>
      </c>
      <c r="D122" s="15" t="str">
        <f>IFERROR(INDEX(觀察名單!$AA$2:$AA$533,MATCH($B122,觀察名單!$B$2:$B$533,0)),"")</f>
        <v>B</v>
      </c>
      <c r="E122" s="15" t="inlineStr">
        <is>
          <t>https://www.tradingview.com/chart/Q1c5VWwD/?symbol=comp</t>
        </is>
      </c>
    </row>
    <row r="123">
      <c r="A123" s="15" t="n">
        <v>122</v>
      </c>
      <c r="B123" s="34" t="inlineStr">
        <is>
          <t>COP</t>
        </is>
      </c>
      <c r="C123" s="15" t="inlineStr">
        <is>
          <t>ConocoPhillips</t>
        </is>
      </c>
      <c r="D123" s="15" t="str">
        <f>IFERROR(INDEX(觀察名單!$AA$2:$AA$533,MATCH($B123,觀察名單!$B$2:$B$533,0)),"")</f>
        <v>A</v>
      </c>
      <c r="E123" s="15" t="inlineStr">
        <is>
          <t>https://www.tradingview.com/chart/Q1c5VWwD/?symbol=cop</t>
        </is>
      </c>
    </row>
    <row r="124">
      <c r="A124" s="15" t="n">
        <v>123</v>
      </c>
      <c r="B124" s="34" t="inlineStr">
        <is>
          <t>COR</t>
        </is>
      </c>
      <c r="C124" s="15" t="inlineStr">
        <is>
          <t>Cencora, Inc.</t>
        </is>
      </c>
      <c r="D124" s="15" t="str">
        <f>IFERROR(INDEX(觀察名單!$AA$2:$AA$533,MATCH($B124,觀察名單!$B$2:$B$533,0)),"")</f>
        <v>A</v>
      </c>
      <c r="E124" s="15" t="inlineStr">
        <is>
          <t>https://www.tradingview.com/chart/Q1c5VWwD/?symbol=cor</t>
        </is>
      </c>
    </row>
    <row r="125">
      <c r="A125" s="15" t="n">
        <v>124</v>
      </c>
      <c r="B125" s="34" t="inlineStr">
        <is>
          <t>COST</t>
        </is>
      </c>
      <c r="C125" s="15" t="inlineStr">
        <is>
          <t>Costco Wholesale Corporation</t>
        </is>
      </c>
      <c r="D125" s="15" t="str">
        <f>IFERROR(INDEX(觀察名單!$AA$2:$AA$533,MATCH($B125,觀察名單!$B$2:$B$533,0)),"")</f>
        <v>A</v>
      </c>
      <c r="E125" s="15" t="inlineStr">
        <is>
          <t>https://www.tradingview.com/chart/Q1c5VWwD/?symbol=cost</t>
        </is>
      </c>
    </row>
    <row r="126">
      <c r="A126" s="15" t="n">
        <v>125</v>
      </c>
      <c r="B126" s="34" t="inlineStr">
        <is>
          <t>CRCL</t>
        </is>
      </c>
      <c r="C126" s="15" t="inlineStr">
        <is>
          <t>Circle Internet Group</t>
        </is>
      </c>
      <c r="D126" s="15" t="str">
        <f>IFERROR(INDEX(觀察名單!$AA$2:$AA$533,MATCH($B126,觀察名單!$B$2:$B$533,0)),"")</f>
        <v>A</v>
      </c>
      <c r="E126" s="15" t="inlineStr">
        <is>
          <t>https://www.tradingview.com/chart/Q1c5VWwD/?symbol=crcl</t>
        </is>
      </c>
    </row>
    <row r="127">
      <c r="A127" s="15" t="n">
        <v>126</v>
      </c>
      <c r="B127" s="34" t="inlineStr">
        <is>
          <t>CRDO</t>
        </is>
      </c>
      <c r="C127" s="15" t="inlineStr">
        <is>
          <t>Credo Technology Group Holding Ltd</t>
        </is>
      </c>
      <c r="D127" s="15" t="str">
        <f>IFERROR(INDEX(觀察名單!$AA$2:$AA$533,MATCH($B127,觀察名單!$B$2:$B$533,0)),"")</f>
        <v>A</v>
      </c>
      <c r="E127" s="15" t="inlineStr">
        <is>
          <t>https://www.tradingview.com/chart/Q1c5VWwD/?symbol=crdo</t>
        </is>
      </c>
    </row>
    <row r="128">
      <c r="A128" s="15" t="n">
        <v>127</v>
      </c>
      <c r="B128" s="34" t="inlineStr">
        <is>
          <t>CRH</t>
        </is>
      </c>
      <c r="C128" s="15" t="inlineStr">
        <is>
          <t>CRH plc</t>
        </is>
      </c>
      <c r="D128" s="15" t="str">
        <f>IFERROR(INDEX(觀察名單!$AA$2:$AA$533,MATCH($B128,觀察名單!$B$2:$B$533,0)),"")</f>
        <v>B</v>
      </c>
      <c r="E128" s="15" t="inlineStr">
        <is>
          <t>https://www.tradingview.com/chart/Q1c5VWwD/?symbol=crh</t>
        </is>
      </c>
    </row>
    <row r="129">
      <c r="A129" s="15" t="n">
        <v>128</v>
      </c>
      <c r="B129" s="34" t="inlineStr">
        <is>
          <t>CRM</t>
        </is>
      </c>
      <c r="C129" s="15" t="inlineStr">
        <is>
          <t>Salesforce, Inc.</t>
        </is>
      </c>
      <c r="D129" s="15" t="str">
        <f>IFERROR(INDEX(觀察名單!$AA$2:$AA$533,MATCH($B129,觀察名單!$B$2:$B$533,0)),"")</f>
        <v>A</v>
      </c>
      <c r="E129" s="15" t="inlineStr">
        <is>
          <t>https://www.tradingview.com/chart/Q1c5VWwD/?symbol=crm</t>
        </is>
      </c>
    </row>
    <row r="130">
      <c r="A130" s="15" t="n">
        <v>129</v>
      </c>
      <c r="B130" s="34" t="inlineStr">
        <is>
          <t>CRSP</t>
        </is>
      </c>
      <c r="C130" s="15" t="inlineStr">
        <is>
          <t>CRISPR Therapeutics AG</t>
        </is>
      </c>
      <c r="D130" s="15" t="str">
        <f>IFERROR(INDEX(觀察名單!$AA$2:$AA$533,MATCH($B130,觀察名單!$B$2:$B$533,0)),"")</f>
        <v>C</v>
      </c>
      <c r="E130" s="15" t="inlineStr">
        <is>
          <t>https://www.tradingview.com/chart/Q1c5VWwD/?symbol=crsp</t>
        </is>
      </c>
    </row>
    <row r="131">
      <c r="A131" s="15" t="n">
        <v>130</v>
      </c>
      <c r="B131" s="34" t="inlineStr">
        <is>
          <t>CRVS</t>
        </is>
      </c>
      <c r="C131" s="15" t="inlineStr">
        <is>
          <t>Corvus Pharmaceuticals, Inc.</t>
        </is>
      </c>
      <c r="D131" s="15" t="str">
        <f>IFERROR(INDEX(觀察名單!$AA$2:$AA$533,MATCH($B131,觀察名單!$B$2:$B$533,0)),"")</f>
        <v>D</v>
      </c>
      <c r="E131" s="15" t="inlineStr">
        <is>
          <t>https://www.tradingview.com/chart/Q1c5VWwD/?symbol=crvs</t>
        </is>
      </c>
    </row>
    <row r="132">
      <c r="A132" s="15" t="n">
        <v>131</v>
      </c>
      <c r="B132" s="34" t="inlineStr">
        <is>
          <t>CRWD</t>
        </is>
      </c>
      <c r="C132" s="15" t="inlineStr">
        <is>
          <t>CrowdStrike Holdings, Inc.</t>
        </is>
      </c>
      <c r="D132" s="15" t="str">
        <f>IFERROR(INDEX(觀察名單!$AA$2:$AA$533,MATCH($B132,觀察名單!$B$2:$B$533,0)),"")</f>
        <v>C</v>
      </c>
      <c r="E132" s="15" t="inlineStr">
        <is>
          <t>https://www.tradingview.com/chart/Q1c5VWwD/?symbol=crwd</t>
        </is>
      </c>
    </row>
    <row r="133">
      <c r="A133" s="15" t="n">
        <v>132</v>
      </c>
      <c r="B133" s="34" t="inlineStr">
        <is>
          <t>CRWV</t>
        </is>
      </c>
      <c r="C133" s="15" t="inlineStr">
        <is>
          <t>CoreWeave, Inc.</t>
        </is>
      </c>
      <c r="D133" s="15" t="str">
        <f>IFERROR(INDEX(觀察名單!$AA$2:$AA$533,MATCH($B133,觀察名單!$B$2:$B$533,0)),"")</f>
        <v>D</v>
      </c>
      <c r="E133" s="15" t="inlineStr">
        <is>
          <t>https://www.tradingview.com/chart/Q1c5VWwD/?symbol=crwv</t>
        </is>
      </c>
    </row>
    <row r="134">
      <c r="A134" s="15" t="n">
        <v>133</v>
      </c>
      <c r="B134" s="34" t="inlineStr">
        <is>
          <t>CSCO</t>
        </is>
      </c>
      <c r="C134" s="15" t="inlineStr">
        <is>
          <t>Cisco Systems, Inc.</t>
        </is>
      </c>
      <c r="D134" s="15" t="str">
        <f>IFERROR(INDEX(觀察名單!$AA$2:$AA$533,MATCH($B134,觀察名單!$B$2:$B$533,0)),"")</f>
        <v>A</v>
      </c>
      <c r="E134" s="15" t="inlineStr">
        <is>
          <t>https://www.tradingview.com/chart/Q1c5VWwD/?symbol=csco</t>
        </is>
      </c>
    </row>
    <row r="135">
      <c r="A135" s="15" t="n">
        <v>134</v>
      </c>
      <c r="B135" s="34" t="inlineStr">
        <is>
          <t>CSX</t>
        </is>
      </c>
      <c r="C135" s="15" t="inlineStr">
        <is>
          <t>CSX Corporation</t>
        </is>
      </c>
      <c r="D135" s="15" t="str">
        <f>IFERROR(INDEX(觀察名單!$AA$2:$AA$533,MATCH($B135,觀察名單!$B$2:$B$533,0)),"")</f>
        <v>A</v>
      </c>
      <c r="E135" s="15" t="inlineStr">
        <is>
          <t>https://www.tradingview.com/chart/Q1c5VWwD/?symbol=csx</t>
        </is>
      </c>
    </row>
    <row r="136">
      <c r="A136" s="15" t="n">
        <v>135</v>
      </c>
      <c r="B136" s="34" t="inlineStr">
        <is>
          <t>CTAS</t>
        </is>
      </c>
      <c r="C136" s="15" t="inlineStr">
        <is>
          <t>Cintas Corporation</t>
        </is>
      </c>
      <c r="D136" s="15" t="str">
        <f>IFERROR(INDEX(觀察名單!$AA$2:$AA$533,MATCH($B136,觀察名單!$B$2:$B$533,0)),"")</f>
        <v>A</v>
      </c>
      <c r="E136" s="15" t="inlineStr">
        <is>
          <t>https://www.tradingview.com/chart/Q1c5VWwD/?symbol=ctas</t>
        </is>
      </c>
    </row>
    <row r="137">
      <c r="A137" s="15" t="n">
        <v>136</v>
      </c>
      <c r="B137" s="34" t="inlineStr">
        <is>
          <t>CTSH</t>
        </is>
      </c>
      <c r="C137" s="15" t="inlineStr">
        <is>
          <t>Cognizant Technology Solutions Corporation</t>
        </is>
      </c>
      <c r="D137" s="15" t="str">
        <f>IFERROR(INDEX(觀察名單!$AA$2:$AA$533,MATCH($B137,觀察名單!$B$2:$B$533,0)),"")</f>
        <v>A</v>
      </c>
      <c r="E137" s="15" t="inlineStr">
        <is>
          <t>https://www.tradingview.com/chart/Q1c5VWwD/?symbol=ctsh</t>
        </is>
      </c>
    </row>
    <row r="138">
      <c r="A138" s="15" t="n">
        <v>137</v>
      </c>
      <c r="B138" s="34" t="inlineStr">
        <is>
          <t>CTVA</t>
        </is>
      </c>
      <c r="C138" s="15" t="inlineStr">
        <is>
          <t>Corteva, Inc.</t>
        </is>
      </c>
      <c r="D138" s="15" t="str">
        <f>IFERROR(INDEX(觀察名單!$AA$2:$AA$533,MATCH($B138,觀察名單!$B$2:$B$533,0)),"")</f>
        <v>—</v>
      </c>
      <c r="E138" s="15" t="inlineStr">
        <is>
          <t>https://www.tradingview.com/chart/Q1c5VWwD/?symbol=ctva</t>
        </is>
      </c>
    </row>
    <row r="139">
      <c r="A139" s="15" t="n">
        <v>138</v>
      </c>
      <c r="B139" s="34" t="inlineStr">
        <is>
          <t>CVS</t>
        </is>
      </c>
      <c r="C139" s="15" t="inlineStr">
        <is>
          <t>CVS Health Corporation</t>
        </is>
      </c>
      <c r="D139" s="15" t="str">
        <f>IFERROR(INDEX(觀察名單!$AA$2:$AA$533,MATCH($B139,觀察名單!$B$2:$B$533,0)),"")</f>
        <v>A</v>
      </c>
      <c r="E139" s="15" t="inlineStr">
        <is>
          <t>https://www.tradingview.com/chart/Q1c5VWwD/?symbol=cvs</t>
        </is>
      </c>
    </row>
    <row r="140">
      <c r="A140" s="15" t="n">
        <v>139</v>
      </c>
      <c r="B140" s="34" t="inlineStr">
        <is>
          <t>CVX</t>
        </is>
      </c>
      <c r="C140" s="15" t="inlineStr">
        <is>
          <t>Chevron Corporation</t>
        </is>
      </c>
      <c r="D140" s="15" t="str">
        <f>IFERROR(INDEX(觀察名單!$AA$2:$AA$533,MATCH($B140,觀察名單!$B$2:$B$533,0)),"")</f>
        <v>A</v>
      </c>
      <c r="E140" s="15" t="inlineStr">
        <is>
          <t>https://www.tradingview.com/chart/Q1c5VWwD/?symbol=cvx</t>
        </is>
      </c>
    </row>
    <row r="141">
      <c r="A141" s="15" t="n">
        <v>140</v>
      </c>
      <c r="B141" s="34" t="inlineStr">
        <is>
          <t>CWST</t>
        </is>
      </c>
      <c r="C141" s="15" t="inlineStr">
        <is>
          <t>Casella Waste Systems, Inc.</t>
        </is>
      </c>
      <c r="D141" s="15" t="str">
        <f>IFERROR(INDEX(觀察名單!$AA$2:$AA$533,MATCH($B141,觀察名單!$B$2:$B$533,0)),"")</f>
        <v>A</v>
      </c>
      <c r="E141" s="15" t="inlineStr">
        <is>
          <t>https://www.tradingview.com/chart/Q1c5VWwD/?symbol=cwst</t>
        </is>
      </c>
    </row>
    <row r="142">
      <c r="A142" s="15" t="n">
        <v>141</v>
      </c>
      <c r="B142" s="34" t="inlineStr">
        <is>
          <t>CWT</t>
        </is>
      </c>
      <c r="C142" s="15" t="inlineStr">
        <is>
          <t>California Water Service Group</t>
        </is>
      </c>
      <c r="D142" s="15" t="str">
        <f>IFERROR(INDEX(觀察名單!$AA$2:$AA$533,MATCH($B142,觀察名單!$B$2:$B$533,0)),"")</f>
        <v>A</v>
      </c>
      <c r="E142" s="15" t="inlineStr">
        <is>
          <t>https://www.tradingview.com/chart/Q1c5VWwD/?symbol=cwt</t>
        </is>
      </c>
    </row>
    <row r="143">
      <c r="A143" s="15" t="n">
        <v>142</v>
      </c>
      <c r="B143" s="34" t="inlineStr">
        <is>
          <t>D</t>
        </is>
      </c>
      <c r="C143" s="15" t="inlineStr">
        <is>
          <t>Dominion Energy, Inc.</t>
        </is>
      </c>
      <c r="D143" s="15" t="str">
        <f>IFERROR(INDEX(觀察名單!$AA$2:$AA$533,MATCH($B143,觀察名單!$B$2:$B$533,0)),"")</f>
        <v>—</v>
      </c>
      <c r="E143" s="15" t="inlineStr">
        <is>
          <t>https://www.tradingview.com/chart/Q1c5VWwD/?symbol=d</t>
        </is>
      </c>
    </row>
    <row r="144">
      <c r="A144" s="15" t="n">
        <v>143</v>
      </c>
      <c r="B144" s="34" t="inlineStr">
        <is>
          <t>DAL</t>
        </is>
      </c>
      <c r="C144" s="15" t="inlineStr">
        <is>
          <t>Delta Air Lines, Inc.</t>
        </is>
      </c>
      <c r="D144" s="15" t="str">
        <f>IFERROR(INDEX(觀察名單!$AA$2:$AA$533,MATCH($B144,觀察名單!$B$2:$B$533,0)),"")</f>
        <v>A</v>
      </c>
      <c r="E144" s="15" t="inlineStr">
        <is>
          <t>https://www.tradingview.com/chart/Q1c5VWwD/?symbol=dal</t>
        </is>
      </c>
    </row>
    <row r="145">
      <c r="A145" s="15" t="n">
        <v>144</v>
      </c>
      <c r="B145" s="34" t="inlineStr">
        <is>
          <t>DDOG</t>
        </is>
      </c>
      <c r="C145" s="15" t="inlineStr">
        <is>
          <t>Datadog, Inc.</t>
        </is>
      </c>
      <c r="D145" s="15" t="str">
        <f>IFERROR(INDEX(觀察名單!$AA$2:$AA$533,MATCH($B145,觀察名單!$B$2:$B$533,0)),"")</f>
        <v>B</v>
      </c>
      <c r="E145" s="15" t="inlineStr">
        <is>
          <t>https://www.tradingview.com/chart/Q1c5VWwD/?symbol=ddog</t>
        </is>
      </c>
    </row>
    <row r="146">
      <c r="A146" s="15" t="n">
        <v>145</v>
      </c>
      <c r="B146" s="34" t="inlineStr">
        <is>
          <t>DE</t>
        </is>
      </c>
      <c r="C146" s="15" t="inlineStr">
        <is>
          <t>Deere &amp; Company</t>
        </is>
      </c>
      <c r="D146" s="15" t="str">
        <f>IFERROR(INDEX(觀察名單!$AA$2:$AA$533,MATCH($B146,觀察名單!$B$2:$B$533,0)),"")</f>
        <v>A</v>
      </c>
      <c r="E146" s="15" t="inlineStr">
        <is>
          <t>https://www.tradingview.com/chart/Q1c5VWwD/?symbol=de</t>
        </is>
      </c>
    </row>
    <row r="147">
      <c r="A147" s="15" t="n">
        <v>146</v>
      </c>
      <c r="B147" s="34" t="inlineStr">
        <is>
          <t>DECK</t>
        </is>
      </c>
      <c r="C147" s="15" t="inlineStr">
        <is>
          <t>Deckers Outdoor Corporation</t>
        </is>
      </c>
      <c r="D147" s="15" t="str">
        <f>IFERROR(INDEX(觀察名單!$AA$2:$AA$533,MATCH($B147,觀察名單!$B$2:$B$533,0)),"")</f>
        <v>A</v>
      </c>
      <c r="E147" s="15" t="inlineStr">
        <is>
          <t>https://www.tradingview.com/chart/Q1c5VWwD/?symbol=deck</t>
        </is>
      </c>
    </row>
    <row r="148">
      <c r="A148" s="15" t="n">
        <v>147</v>
      </c>
      <c r="B148" s="34" t="inlineStr">
        <is>
          <t>DELL</t>
        </is>
      </c>
      <c r="C148" s="15" t="inlineStr">
        <is>
          <t>Dell Technologies Inc.</t>
        </is>
      </c>
      <c r="D148" s="15" t="str">
        <f>IFERROR(INDEX(觀察名單!$AA$2:$AA$533,MATCH($B148,觀察名單!$B$2:$B$533,0)),"")</f>
        <v>—</v>
      </c>
      <c r="E148" s="15" t="inlineStr">
        <is>
          <t>https://www.tradingview.com/chart/Q1c5VWwD/?symbol=dell</t>
        </is>
      </c>
    </row>
    <row r="149">
      <c r="A149" s="15" t="n">
        <v>148</v>
      </c>
      <c r="B149" s="34" t="inlineStr">
        <is>
          <t>DEO</t>
        </is>
      </c>
      <c r="C149" s="15" t="inlineStr">
        <is>
          <t>Diageo plc</t>
        </is>
      </c>
      <c r="D149" s="15" t="str">
        <f>IFERROR(INDEX(觀察名單!$AA$2:$AA$533,MATCH($B149,觀察名單!$B$2:$B$533,0)),"")</f>
        <v>—</v>
      </c>
      <c r="E149" s="15" t="inlineStr">
        <is>
          <t>https://www.tradingview.com/chart/Q1c5VWwD/?symbol=deo</t>
        </is>
      </c>
    </row>
    <row r="150">
      <c r="A150" s="15" t="n">
        <v>149</v>
      </c>
      <c r="B150" s="34" t="inlineStr">
        <is>
          <t>DHI</t>
        </is>
      </c>
      <c r="C150" s="15" t="inlineStr">
        <is>
          <t>D.R. Horton, Inc.</t>
        </is>
      </c>
      <c r="D150" s="15" t="str">
        <f>IFERROR(INDEX(觀察名單!$AA$2:$AA$533,MATCH($B150,觀察名單!$B$2:$B$533,0)),"")</f>
        <v>A</v>
      </c>
      <c r="E150" s="15" t="inlineStr">
        <is>
          <t>https://www.tradingview.com/chart/Q1c5VWwD/?symbol=dhi</t>
        </is>
      </c>
    </row>
    <row r="151">
      <c r="A151" s="15" t="n">
        <v>150</v>
      </c>
      <c r="B151" s="34" t="inlineStr">
        <is>
          <t>DHR</t>
        </is>
      </c>
      <c r="C151" s="15" t="inlineStr">
        <is>
          <t>Danaher Corporation</t>
        </is>
      </c>
      <c r="D151" s="15" t="str">
        <f>IFERROR(INDEX(觀察名單!$AA$2:$AA$533,MATCH($B151,觀察名單!$B$2:$B$533,0)),"")</f>
        <v>A</v>
      </c>
      <c r="E151" s="15" t="inlineStr">
        <is>
          <t>https://www.tradingview.com/chart/Q1c5VWwD/?symbol=dhr</t>
        </is>
      </c>
    </row>
    <row r="152">
      <c r="A152" s="15" t="n">
        <v>151</v>
      </c>
      <c r="B152" s="34" t="inlineStr">
        <is>
          <t>DINO</t>
        </is>
      </c>
      <c r="C152" s="15" t="inlineStr">
        <is>
          <t>HF Sinclair Corporation</t>
        </is>
      </c>
      <c r="D152" s="15" t="str">
        <f>IFERROR(INDEX(觀察名單!$AA$2:$AA$533,MATCH($B152,觀察名單!$B$2:$B$533,0)),"")</f>
        <v>—</v>
      </c>
      <c r="E152" s="15" t="inlineStr">
        <is>
          <t>https://www.tradingview.com/chart/Q1c5VWwD/?symbol=dino</t>
        </is>
      </c>
    </row>
    <row r="153">
      <c r="A153" s="15" t="n">
        <v>152</v>
      </c>
      <c r="B153" s="34" t="inlineStr">
        <is>
          <t>DIS</t>
        </is>
      </c>
      <c r="C153" s="15" t="inlineStr">
        <is>
          <t>The Walt Disney Company</t>
        </is>
      </c>
      <c r="D153" s="15" t="str">
        <f>IFERROR(INDEX(觀察名單!$AA$2:$AA$533,MATCH($B153,觀察名單!$B$2:$B$533,0)),"")</f>
        <v>A</v>
      </c>
      <c r="E153" s="15" t="inlineStr">
        <is>
          <t>https://www.tradingview.com/chart/Q1c5VWwD/?symbol=dis</t>
        </is>
      </c>
    </row>
    <row r="154">
      <c r="A154" s="15" t="n">
        <v>153</v>
      </c>
      <c r="B154" s="34" t="inlineStr">
        <is>
          <t>DKNG</t>
        </is>
      </c>
      <c r="C154" s="15" t="inlineStr">
        <is>
          <t>DraftKings Inc.</t>
        </is>
      </c>
      <c r="D154" s="15" t="str">
        <f>IFERROR(INDEX(觀察名單!$AA$2:$AA$533,MATCH($B154,觀察名單!$B$2:$B$533,0)),"")</f>
        <v>C</v>
      </c>
      <c r="E154" s="15" t="inlineStr">
        <is>
          <t>https://www.tradingview.com/chart/Q1c5VWwD/?symbol=dkng</t>
        </is>
      </c>
    </row>
    <row r="155">
      <c r="A155" s="15" t="n">
        <v>154</v>
      </c>
      <c r="B155" s="34" t="inlineStr">
        <is>
          <t>DLR</t>
        </is>
      </c>
      <c r="C155" s="15" t="inlineStr">
        <is>
          <t>Digital Realty Trust, Inc.</t>
        </is>
      </c>
      <c r="D155" s="15" t="str">
        <f>IFERROR(INDEX(觀察名單!$AA$2:$AA$533,MATCH($B155,觀察名單!$B$2:$B$533,0)),"")</f>
        <v>—</v>
      </c>
      <c r="E155" s="15" t="inlineStr">
        <is>
          <t>https://www.tradingview.com/chart/Q1c5VWwD/?symbol=dlr</t>
        </is>
      </c>
    </row>
    <row r="156">
      <c r="A156" s="15" t="n">
        <v>155</v>
      </c>
      <c r="B156" s="34" t="inlineStr">
        <is>
          <t>DNLI</t>
        </is>
      </c>
      <c r="C156" s="15" t="inlineStr">
        <is>
          <t>Denali Therapeutics Inc.</t>
        </is>
      </c>
      <c r="D156" s="15" t="str">
        <f>IFERROR(INDEX(觀察名單!$AA$2:$AA$533,MATCH($B156,觀察名單!$B$2:$B$533,0)),"")</f>
        <v>C</v>
      </c>
      <c r="E156" s="15" t="inlineStr">
        <is>
          <t>https://www.tradingview.com/chart/Q1c5VWwD/?symbol=dnli</t>
        </is>
      </c>
    </row>
    <row r="157">
      <c r="A157" s="15" t="n">
        <v>156</v>
      </c>
      <c r="B157" s="34" t="inlineStr">
        <is>
          <t>DNN</t>
        </is>
      </c>
      <c r="C157" s="15" t="inlineStr">
        <is>
          <t>Denison Mines Corp.</t>
        </is>
      </c>
      <c r="D157" s="15" t="str">
        <f>IFERROR(INDEX(觀察名單!$AA$2:$AA$533,MATCH($B157,觀察名單!$B$2:$B$533,0)),"")</f>
        <v>C</v>
      </c>
      <c r="E157" s="15" t="inlineStr">
        <is>
          <t>https://www.tradingview.com/chart/Q1c5VWwD/?symbol=dnn</t>
        </is>
      </c>
    </row>
    <row r="158">
      <c r="A158" s="15" t="n">
        <v>157</v>
      </c>
      <c r="B158" s="34" t="inlineStr">
        <is>
          <t>DOC</t>
        </is>
      </c>
      <c r="C158" s="15" t="inlineStr">
        <is>
          <t>Healthpeak Properties, Inc.</t>
        </is>
      </c>
      <c r="D158" s="15" t="str">
        <f>IFERROR(INDEX(觀察名單!$AA$2:$AA$533,MATCH($B158,觀察名單!$B$2:$B$533,0)),"")</f>
        <v>A</v>
      </c>
      <c r="E158" s="15" t="inlineStr">
        <is>
          <t>https://www.tradingview.com/chart/Q1c5VWwD/?symbol=doc</t>
        </is>
      </c>
    </row>
    <row r="159">
      <c r="A159" s="15" t="n">
        <v>158</v>
      </c>
      <c r="B159" s="34" t="inlineStr">
        <is>
          <t>DOCS</t>
        </is>
      </c>
      <c r="C159" s="15" t="inlineStr">
        <is>
          <t>Doximity, Inc.</t>
        </is>
      </c>
      <c r="D159" s="15" t="str">
        <f>IFERROR(INDEX(觀察名單!$AA$2:$AA$533,MATCH($B159,觀察名單!$B$2:$B$533,0)),"")</f>
        <v>A</v>
      </c>
      <c r="E159" s="15" t="inlineStr">
        <is>
          <t>https://www.tradingview.com/chart/Q1c5VWwD/?symbol=docs</t>
        </is>
      </c>
    </row>
    <row r="160">
      <c r="A160" s="15" t="n">
        <v>159</v>
      </c>
      <c r="B160" s="34" t="inlineStr">
        <is>
          <t>DOW</t>
        </is>
      </c>
      <c r="C160" s="15" t="inlineStr">
        <is>
          <t>Dow Inc.</t>
        </is>
      </c>
      <c r="D160" s="15" t="str">
        <f>IFERROR(INDEX(觀察名單!$AA$2:$AA$533,MATCH($B160,觀察名單!$B$2:$B$533,0)),"")</f>
        <v>B</v>
      </c>
      <c r="E160" s="15" t="inlineStr">
        <is>
          <t>https://www.tradingview.com/chart/Q1c5VWwD/?symbol=dow</t>
        </is>
      </c>
    </row>
    <row r="161">
      <c r="A161" s="15" t="n">
        <v>160</v>
      </c>
      <c r="B161" s="34" t="inlineStr">
        <is>
          <t>DRI</t>
        </is>
      </c>
      <c r="C161" s="15" t="inlineStr">
        <is>
          <t>Darden Restaurants, Inc.</t>
        </is>
      </c>
      <c r="D161" s="15" t="str">
        <f>IFERROR(INDEX(觀察名單!$AA$2:$AA$533,MATCH($B161,觀察名單!$B$2:$B$533,0)),"")</f>
        <v>A</v>
      </c>
      <c r="E161" s="15" t="inlineStr">
        <is>
          <t>https://www.tradingview.com/chart/Q1c5VWwD/?symbol=dri</t>
        </is>
      </c>
    </row>
    <row r="162">
      <c r="A162" s="15" t="n">
        <v>161</v>
      </c>
      <c r="B162" s="34" t="inlineStr">
        <is>
          <t>DTIL</t>
        </is>
      </c>
      <c r="C162" s="15" t="inlineStr">
        <is>
          <t>Precision BioSciences, Inc.</t>
        </is>
      </c>
      <c r="D162" s="15" t="str">
        <f>IFERROR(INDEX(觀察名單!$AA$2:$AA$533,MATCH($B162,觀察名單!$B$2:$B$533,0)),"")</f>
        <v>C</v>
      </c>
      <c r="E162" s="15" t="inlineStr">
        <is>
          <t>https://www.tradingview.com/chart/Q1c5VWwD/?symbol=dtil</t>
        </is>
      </c>
    </row>
    <row r="163">
      <c r="A163" s="15" t="n">
        <v>162</v>
      </c>
      <c r="B163" s="34" t="inlineStr">
        <is>
          <t>DUK</t>
        </is>
      </c>
      <c r="C163" s="15" t="inlineStr">
        <is>
          <t>Duke Energy Corporation</t>
        </is>
      </c>
      <c r="D163" s="15" t="str">
        <f>IFERROR(INDEX(觀察名單!$AA$2:$AA$533,MATCH($B163,觀察名單!$B$2:$B$533,0)),"")</f>
        <v>—</v>
      </c>
      <c r="E163" s="15" t="inlineStr">
        <is>
          <t>https://www.tradingview.com/chart/Q1c5VWwD/?symbol=duk</t>
        </is>
      </c>
    </row>
    <row r="164">
      <c r="A164" s="15" t="n">
        <v>163</v>
      </c>
      <c r="B164" s="34" t="inlineStr">
        <is>
          <t>DUOL</t>
        </is>
      </c>
      <c r="C164" s="15" t="inlineStr">
        <is>
          <t>Duolingo, Inc.</t>
        </is>
      </c>
      <c r="D164" s="15" t="str">
        <f>IFERROR(INDEX(觀察名單!$AA$2:$AA$533,MATCH($B164,觀察名單!$B$2:$B$533,0)),"")</f>
        <v>A</v>
      </c>
      <c r="E164" s="15" t="inlineStr">
        <is>
          <t>https://www.tradingview.com/chart/Q1c5VWwD/?symbol=duol</t>
        </is>
      </c>
    </row>
    <row r="165">
      <c r="A165" s="15" t="n">
        <v>164</v>
      </c>
      <c r="B165" s="34" t="inlineStr">
        <is>
          <t>DVN</t>
        </is>
      </c>
      <c r="C165" s="15" t="inlineStr">
        <is>
          <t>Devon Energy Corporation</t>
        </is>
      </c>
      <c r="D165" s="15" t="str">
        <f>IFERROR(INDEX(觀察名單!$AA$2:$AA$533,MATCH($B165,觀察名單!$B$2:$B$533,0)),"")</f>
        <v>A</v>
      </c>
      <c r="E165" s="15" t="inlineStr">
        <is>
          <t>https://www.tradingview.com/chart/Q1c5VWwD/?symbol=dvn</t>
        </is>
      </c>
    </row>
    <row r="166">
      <c r="A166" s="15" t="n">
        <v>165</v>
      </c>
      <c r="B166" s="34" t="inlineStr">
        <is>
          <t>EBAY</t>
        </is>
      </c>
      <c r="C166" s="15" t="inlineStr">
        <is>
          <t>eBay Inc.</t>
        </is>
      </c>
      <c r="D166" s="15" t="str">
        <f>IFERROR(INDEX(觀察名單!$AA$2:$AA$533,MATCH($B166,觀察名單!$B$2:$B$533,0)),"")</f>
        <v>A</v>
      </c>
      <c r="E166" s="15" t="inlineStr">
        <is>
          <t>https://www.tradingview.com/chart/Q1c5VWwD/?symbol=ebay</t>
        </is>
      </c>
    </row>
    <row r="167">
      <c r="A167" s="15" t="n">
        <v>166</v>
      </c>
      <c r="B167" s="34" t="inlineStr">
        <is>
          <t>ECL</t>
        </is>
      </c>
      <c r="C167" s="15" t="inlineStr">
        <is>
          <t>Ecolab Inc.</t>
        </is>
      </c>
      <c r="D167" s="15" t="str">
        <f>IFERROR(INDEX(觀察名單!$AA$2:$AA$533,MATCH($B167,觀察名單!$B$2:$B$533,0)),"")</f>
        <v>A</v>
      </c>
      <c r="E167" s="15" t="inlineStr">
        <is>
          <t>https://www.tradingview.com/chart/Q1c5VWwD/?symbol=ecl</t>
        </is>
      </c>
    </row>
    <row r="168">
      <c r="A168" s="15" t="n">
        <v>167</v>
      </c>
      <c r="B168" s="34" t="inlineStr">
        <is>
          <t>EE</t>
        </is>
      </c>
      <c r="C168" s="15" t="inlineStr">
        <is>
          <t>Excelerate Energy, Inc.</t>
        </is>
      </c>
      <c r="D168" s="15" t="str">
        <f>IFERROR(INDEX(觀察名單!$AA$2:$AA$533,MATCH($B168,觀察名單!$B$2:$B$533,0)),"")</f>
        <v>A</v>
      </c>
      <c r="E168" s="15" t="inlineStr">
        <is>
          <t>https://www.tradingview.com/chart/Q1c5VWwD/?symbol=ee</t>
        </is>
      </c>
    </row>
    <row r="169">
      <c r="A169" s="15" t="n">
        <v>168</v>
      </c>
      <c r="B169" s="34" t="inlineStr">
        <is>
          <t>EGP</t>
        </is>
      </c>
      <c r="C169" s="15" t="inlineStr">
        <is>
          <t>EastGroup Properties, Inc.</t>
        </is>
      </c>
      <c r="D169" s="15" t="str">
        <f>IFERROR(INDEX(觀察名單!$AA$2:$AA$533,MATCH($B169,觀察名單!$B$2:$B$533,0)),"")</f>
        <v>A</v>
      </c>
      <c r="E169" s="15" t="inlineStr">
        <is>
          <t>https://www.tradingview.com/chart/Q1c5VWwD/?symbol=egp</t>
        </is>
      </c>
    </row>
    <row r="170">
      <c r="A170" s="15" t="n">
        <v>169</v>
      </c>
      <c r="B170" s="34" t="inlineStr">
        <is>
          <t>EHC</t>
        </is>
      </c>
      <c r="C170" s="15" t="inlineStr">
        <is>
          <t>Encompass Health Corporation</t>
        </is>
      </c>
      <c r="D170" s="15" t="str">
        <f>IFERROR(INDEX(觀察名單!$AA$2:$AA$533,MATCH($B170,觀察名單!$B$2:$B$533,0)),"")</f>
        <v>A</v>
      </c>
      <c r="E170" s="15" t="inlineStr">
        <is>
          <t>https://www.tradingview.com/chart/Q1c5VWwD/?symbol=ehc</t>
        </is>
      </c>
    </row>
    <row r="171">
      <c r="A171" s="15" t="n">
        <v>170</v>
      </c>
      <c r="B171" s="34" t="inlineStr">
        <is>
          <t>EL</t>
        </is>
      </c>
      <c r="C171" s="15" t="inlineStr">
        <is>
          <t>The Estée Lauder Companies Inc.</t>
        </is>
      </c>
      <c r="D171" s="15" t="str">
        <f>IFERROR(INDEX(觀察名單!$AA$2:$AA$533,MATCH($B171,觀察名單!$B$2:$B$533,0)),"")</f>
        <v>A</v>
      </c>
      <c r="E171" s="15" t="inlineStr">
        <is>
          <t>https://www.tradingview.com/chart/Q1c5VWwD/?symbol=el</t>
        </is>
      </c>
    </row>
    <row r="172">
      <c r="A172" s="15" t="n">
        <v>171</v>
      </c>
      <c r="B172" s="34" t="inlineStr">
        <is>
          <t>ELV</t>
        </is>
      </c>
      <c r="C172" s="15" t="inlineStr">
        <is>
          <t>Elevance Health, Inc.</t>
        </is>
      </c>
      <c r="D172" s="15" t="str">
        <f>IFERROR(INDEX(觀察名單!$AA$2:$AA$533,MATCH($B172,觀察名單!$B$2:$B$533,0)),"")</f>
        <v>A</v>
      </c>
      <c r="E172" s="15" t="inlineStr">
        <is>
          <t>https://www.tradingview.com/chart/Q1c5VWwD/?symbol=elv</t>
        </is>
      </c>
    </row>
    <row r="173">
      <c r="A173" s="15" t="n">
        <v>172</v>
      </c>
      <c r="B173" s="34" t="inlineStr">
        <is>
          <t>EME</t>
        </is>
      </c>
      <c r="C173" s="15" t="inlineStr">
        <is>
          <t>EMCOR Group, Inc.</t>
        </is>
      </c>
      <c r="D173" s="15" t="str">
        <f>IFERROR(INDEX(觀察名單!$AA$2:$AA$533,MATCH($B173,觀察名單!$B$2:$B$533,0)),"")</f>
        <v>A</v>
      </c>
      <c r="E173" s="15" t="inlineStr">
        <is>
          <t>https://www.tradingview.com/chart/Q1c5VWwD/?symbol=eme</t>
        </is>
      </c>
    </row>
    <row r="174">
      <c r="A174" s="15" t="n">
        <v>173</v>
      </c>
      <c r="B174" s="34" t="inlineStr">
        <is>
          <t>EMR</t>
        </is>
      </c>
      <c r="C174" s="15" t="inlineStr">
        <is>
          <t>Emerson Electric Co.</t>
        </is>
      </c>
      <c r="D174" s="15" t="str">
        <f>IFERROR(INDEX(觀察名單!$AA$2:$AA$533,MATCH($B174,觀察名單!$B$2:$B$533,0)),"")</f>
        <v>—</v>
      </c>
      <c r="E174" s="15" t="inlineStr">
        <is>
          <t>https://www.tradingview.com/chart/Q1c5VWwD/?symbol=emr</t>
        </is>
      </c>
    </row>
    <row r="175">
      <c r="A175" s="15" t="n">
        <v>174</v>
      </c>
      <c r="B175" s="34" t="inlineStr">
        <is>
          <t>ENPH</t>
        </is>
      </c>
      <c r="C175" s="15" t="inlineStr">
        <is>
          <t>Enphase Energy, Inc.</t>
        </is>
      </c>
      <c r="D175" s="15" t="str">
        <f>IFERROR(INDEX(觀察名單!$AA$2:$AA$533,MATCH($B175,觀察名單!$B$2:$B$533,0)),"")</f>
        <v>B</v>
      </c>
      <c r="E175" s="15" t="inlineStr">
        <is>
          <t>https://www.tradingview.com/chart/Q1c5VWwD/?symbol=enph</t>
        </is>
      </c>
    </row>
    <row r="176">
      <c r="A176" s="15" t="n">
        <v>175</v>
      </c>
      <c r="B176" s="34" t="inlineStr">
        <is>
          <t>EOG</t>
        </is>
      </c>
      <c r="C176" s="15" t="inlineStr">
        <is>
          <t>EOG Resources, Inc.</t>
        </is>
      </c>
      <c r="D176" s="15" t="str">
        <f>IFERROR(INDEX(觀察名單!$AA$2:$AA$533,MATCH($B176,觀察名單!$B$2:$B$533,0)),"")</f>
        <v>—</v>
      </c>
      <c r="E176" s="15" t="inlineStr">
        <is>
          <t>https://www.tradingview.com/chart/Q1c5VWwD/?symbol=eog</t>
        </is>
      </c>
    </row>
    <row r="177">
      <c r="A177" s="15" t="n">
        <v>176</v>
      </c>
      <c r="B177" s="34" t="inlineStr">
        <is>
          <t>EPAM</t>
        </is>
      </c>
      <c r="C177" s="15" t="inlineStr">
        <is>
          <t>EPAM Systems, Inc.</t>
        </is>
      </c>
      <c r="D177" s="15" t="str">
        <f>IFERROR(INDEX(觀察名單!$AA$2:$AA$533,MATCH($B177,觀察名單!$B$2:$B$533,0)),"")</f>
        <v>A</v>
      </c>
      <c r="E177" s="15" t="inlineStr">
        <is>
          <t>https://www.tradingview.com/chart/Q1c5VWwD/?symbol=epam</t>
        </is>
      </c>
    </row>
    <row r="178">
      <c r="A178" s="15" t="n">
        <v>177</v>
      </c>
      <c r="B178" s="34" t="inlineStr">
        <is>
          <t>EPD</t>
        </is>
      </c>
      <c r="C178" s="15" t="inlineStr">
        <is>
          <t>Enterprise Products Partners L.P.</t>
        </is>
      </c>
      <c r="D178" s="15" t="str">
        <f>IFERROR(INDEX(觀察名單!$AA$2:$AA$533,MATCH($B178,觀察名單!$B$2:$B$533,0)),"")</f>
        <v>A</v>
      </c>
      <c r="E178" s="15" t="inlineStr">
        <is>
          <t>https://www.tradingview.com/chart/Q1c5VWwD/?symbol=epd</t>
        </is>
      </c>
    </row>
    <row r="179">
      <c r="A179" s="15" t="n">
        <v>178</v>
      </c>
      <c r="B179" s="34" t="inlineStr">
        <is>
          <t>EQH</t>
        </is>
      </c>
      <c r="C179" s="15" t="inlineStr">
        <is>
          <t>Equitable Holdings, Inc.</t>
        </is>
      </c>
      <c r="D179" s="15" t="str">
        <f>IFERROR(INDEX(觀察名單!$AA$2:$AA$533,MATCH($B179,觀察名單!$B$2:$B$533,0)),"")</f>
        <v>C</v>
      </c>
      <c r="E179" s="15" t="inlineStr">
        <is>
          <t>https://www.tradingview.com/chart/Q1c5VWwD/?symbol=eqh</t>
        </is>
      </c>
    </row>
    <row r="180">
      <c r="A180" s="15" t="n">
        <v>179</v>
      </c>
      <c r="B180" s="34" t="inlineStr">
        <is>
          <t>EQIX</t>
        </is>
      </c>
      <c r="C180" s="15" t="inlineStr">
        <is>
          <t>Equinix, Inc.</t>
        </is>
      </c>
      <c r="D180" s="15" t="str">
        <f>IFERROR(INDEX(觀察名單!$AA$2:$AA$533,MATCH($B180,觀察名單!$B$2:$B$533,0)),"")</f>
        <v>A</v>
      </c>
      <c r="E180" s="15" t="inlineStr">
        <is>
          <t>https://www.tradingview.com/chart/Q1c5VWwD/?symbol=eqix</t>
        </is>
      </c>
    </row>
    <row r="181">
      <c r="A181" s="15" t="n">
        <v>180</v>
      </c>
      <c r="B181" s="34" t="inlineStr">
        <is>
          <t>ET</t>
        </is>
      </c>
      <c r="C181" s="15" t="inlineStr">
        <is>
          <t>Energy Transfer LP</t>
        </is>
      </c>
      <c r="D181" s="15" t="str">
        <f>IFERROR(INDEX(觀察名單!$AA$2:$AA$533,MATCH($B181,觀察名單!$B$2:$B$533,0)),"")</f>
        <v>A</v>
      </c>
      <c r="E181" s="15" t="inlineStr">
        <is>
          <t>https://www.tradingview.com/chart/Q1c5VWwD/?symbol=et</t>
        </is>
      </c>
    </row>
    <row r="182">
      <c r="A182" s="15" t="n">
        <v>181</v>
      </c>
      <c r="B182" s="34" t="inlineStr">
        <is>
          <t>ETN</t>
        </is>
      </c>
      <c r="C182" s="15" t="inlineStr">
        <is>
          <t>Eaton Corporation plc</t>
        </is>
      </c>
      <c r="D182" s="15" t="str">
        <f>IFERROR(INDEX(觀察名單!$AA$2:$AA$533,MATCH($B182,觀察名單!$B$2:$B$533,0)),"")</f>
        <v>—</v>
      </c>
      <c r="E182" s="15" t="inlineStr">
        <is>
          <t>https://www.tradingview.com/chart/Q1c5VWwD/?symbol=etn</t>
        </is>
      </c>
    </row>
    <row r="183">
      <c r="A183" s="15" t="n">
        <v>182</v>
      </c>
      <c r="B183" s="34" t="inlineStr">
        <is>
          <t>EVR</t>
        </is>
      </c>
      <c r="C183" s="15" t="inlineStr">
        <is>
          <t>Evercore Inc.</t>
        </is>
      </c>
      <c r="D183" s="15" t="str">
        <f>IFERROR(INDEX(觀察名單!$AA$2:$AA$533,MATCH($B183,觀察名單!$B$2:$B$533,0)),"")</f>
        <v>—</v>
      </c>
      <c r="E183" s="15" t="inlineStr">
        <is>
          <t>https://www.tradingview.com/chart/Q1c5VWwD/?symbol=evr</t>
        </is>
      </c>
    </row>
    <row r="184">
      <c r="A184" s="15" t="n">
        <v>183</v>
      </c>
      <c r="B184" s="34" t="inlineStr">
        <is>
          <t>EXR</t>
        </is>
      </c>
      <c r="C184" s="15" t="inlineStr">
        <is>
          <t>Extra Space Storage Inc.</t>
        </is>
      </c>
      <c r="D184" s="15" t="str">
        <f>IFERROR(INDEX(觀察名單!$AA$2:$AA$533,MATCH($B184,觀察名單!$B$2:$B$533,0)),"")</f>
        <v>—</v>
      </c>
      <c r="E184" s="15" t="inlineStr">
        <is>
          <t>https://www.tradingview.com/chart/Q1c5VWwD/?symbol=exr</t>
        </is>
      </c>
    </row>
    <row r="185">
      <c r="A185" s="15" t="n">
        <v>184</v>
      </c>
      <c r="B185" s="34" t="inlineStr">
        <is>
          <t>F</t>
        </is>
      </c>
      <c r="C185" s="15" t="inlineStr">
        <is>
          <t>Ford Motor Company</t>
        </is>
      </c>
      <c r="D185" s="15" t="str">
        <f>IFERROR(INDEX(觀察名單!$AA$2:$AA$533,MATCH($B185,觀察名單!$B$2:$B$533,0)),"")</f>
        <v>B</v>
      </c>
      <c r="E185" s="15" t="inlineStr">
        <is>
          <t>https://www.tradingview.com/chart/Q1c5VWwD/?symbol=f</t>
        </is>
      </c>
    </row>
    <row r="186">
      <c r="A186" s="15" t="n">
        <v>185</v>
      </c>
      <c r="B186" s="34" t="inlineStr">
        <is>
          <t>FANG</t>
        </is>
      </c>
      <c r="C186" s="15" t="inlineStr">
        <is>
          <t>Diamondback Energy, Inc.</t>
        </is>
      </c>
      <c r="D186" s="15" t="str">
        <f>IFERROR(INDEX(觀察名單!$AA$2:$AA$533,MATCH($B186,觀察名單!$B$2:$B$533,0)),"")</f>
        <v>A</v>
      </c>
      <c r="E186" s="15" t="inlineStr">
        <is>
          <t>https://www.tradingview.com/chart/Q1c5VWwD/?symbol=fang</t>
        </is>
      </c>
    </row>
    <row r="187">
      <c r="A187" s="15" t="n">
        <v>186</v>
      </c>
      <c r="B187" s="34" t="inlineStr">
        <is>
          <t>FATE</t>
        </is>
      </c>
      <c r="C187" s="15" t="inlineStr">
        <is>
          <t>Fate Therapeutics, Inc.</t>
        </is>
      </c>
      <c r="D187" s="15" t="str">
        <f>IFERROR(INDEX(觀察名單!$AA$2:$AA$533,MATCH($B187,觀察名單!$B$2:$B$533,0)),"")</f>
        <v>C</v>
      </c>
      <c r="E187" s="15" t="inlineStr">
        <is>
          <t>https://www.tradingview.com/chart/Q1c5VWwD/?symbol=fate</t>
        </is>
      </c>
    </row>
    <row r="188">
      <c r="A188" s="15" t="n">
        <v>187</v>
      </c>
      <c r="B188" s="34" t="inlineStr">
        <is>
          <t>FCX</t>
        </is>
      </c>
      <c r="C188" s="15" t="inlineStr">
        <is>
          <t>Freeport-McMoRan Inc.</t>
        </is>
      </c>
      <c r="D188" s="15" t="str">
        <f>IFERROR(INDEX(觀察名單!$AA$2:$AA$533,MATCH($B188,觀察名單!$B$2:$B$533,0)),"")</f>
        <v>A</v>
      </c>
      <c r="E188" s="15" t="inlineStr">
        <is>
          <t>https://www.tradingview.com/chart/Q1c5VWwD/?symbol=fcx</t>
        </is>
      </c>
    </row>
    <row r="189">
      <c r="A189" s="15" t="n">
        <v>188</v>
      </c>
      <c r="B189" s="34" t="inlineStr">
        <is>
          <t>FDX</t>
        </is>
      </c>
      <c r="C189" s="15" t="inlineStr">
        <is>
          <t>FedEx Corporation</t>
        </is>
      </c>
      <c r="D189" s="15" t="str">
        <f>IFERROR(INDEX(觀察名單!$AA$2:$AA$533,MATCH($B189,觀察名單!$B$2:$B$533,0)),"")</f>
        <v>A</v>
      </c>
      <c r="E189" s="15" t="inlineStr">
        <is>
          <t>https://www.tradingview.com/chart/Q1c5VWwD/?symbol=fdx</t>
        </is>
      </c>
    </row>
    <row r="190">
      <c r="A190" s="15" t="n">
        <v>189</v>
      </c>
      <c r="B190" s="34" t="inlineStr">
        <is>
          <t>FLEX</t>
        </is>
      </c>
      <c r="C190" s="15" t="inlineStr">
        <is>
          <t>Flex Ltd.</t>
        </is>
      </c>
      <c r="D190" s="15" t="str">
        <f>IFERROR(INDEX(觀察名單!$AA$2:$AA$533,MATCH($B190,觀察名單!$B$2:$B$533,0)),"")</f>
        <v>—</v>
      </c>
      <c r="E190" s="15" t="inlineStr">
        <is>
          <t>https://www.tradingview.com/chart/Q1c5VWwD/?symbol=flex</t>
        </is>
      </c>
    </row>
    <row r="191">
      <c r="A191" s="15" t="n">
        <v>190</v>
      </c>
      <c r="B191" s="34" t="inlineStr">
        <is>
          <t>FLR</t>
        </is>
      </c>
      <c r="C191" s="15" t="inlineStr">
        <is>
          <t>Fluor Corporation</t>
        </is>
      </c>
      <c r="D191" s="15" t="str">
        <f>IFERROR(INDEX(觀察名單!$AA$2:$AA$533,MATCH($B191,觀察名單!$B$2:$B$533,0)),"")</f>
        <v>B</v>
      </c>
      <c r="E191" s="15" t="inlineStr">
        <is>
          <t>https://www.tradingview.com/chart/Q1c5VWwD/?symbol=flr</t>
        </is>
      </c>
    </row>
    <row r="192">
      <c r="A192" s="15" t="n">
        <v>191</v>
      </c>
      <c r="B192" s="34" t="inlineStr">
        <is>
          <t>FLUT</t>
        </is>
      </c>
      <c r="C192" s="15" t="inlineStr">
        <is>
          <t>Flutter Entertainment plc</t>
        </is>
      </c>
      <c r="D192" s="15" t="str">
        <f>IFERROR(INDEX(觀察名單!$AA$2:$AA$533,MATCH($B192,觀察名單!$B$2:$B$533,0)),"")</f>
        <v>C</v>
      </c>
      <c r="E192" s="15" t="inlineStr">
        <is>
          <t>https://www.tradingview.com/chart/Q1c5VWwD/?symbol=flut</t>
        </is>
      </c>
    </row>
    <row r="193">
      <c r="A193" s="15" t="n">
        <v>192</v>
      </c>
      <c r="B193" s="34" t="inlineStr">
        <is>
          <t>FN</t>
        </is>
      </c>
      <c r="C193" s="15" t="inlineStr">
        <is>
          <t>Fabrinet</t>
        </is>
      </c>
      <c r="D193" s="15" t="str">
        <f>IFERROR(INDEX(觀察名單!$AA$2:$AA$533,MATCH($B193,觀察名單!$B$2:$B$533,0)),"")</f>
        <v>A</v>
      </c>
      <c r="E193" s="15" t="inlineStr">
        <is>
          <t>https://www.tradingview.com/chart/Q1c5VWwD/?symbol=fn</t>
        </is>
      </c>
    </row>
    <row r="194">
      <c r="A194" s="15" t="n">
        <v>193</v>
      </c>
      <c r="B194" s="34" t="inlineStr">
        <is>
          <t>FORM</t>
        </is>
      </c>
      <c r="C194" s="15" t="inlineStr">
        <is>
          <t>FormFactor, Inc.</t>
        </is>
      </c>
      <c r="D194" s="15" t="str">
        <f>IFERROR(INDEX(觀察名單!$AA$2:$AA$533,MATCH($B194,觀察名單!$B$2:$B$533,0)),"")</f>
        <v>—</v>
      </c>
      <c r="E194" s="15" t="inlineStr">
        <is>
          <t>https://www.tradingview.com/chart/Q1c5VWwD/?symbol=form</t>
        </is>
      </c>
    </row>
    <row r="195">
      <c r="A195" s="15" t="n">
        <v>194</v>
      </c>
      <c r="B195" s="34" t="inlineStr">
        <is>
          <t>FR</t>
        </is>
      </c>
      <c r="C195" s="15" t="inlineStr">
        <is>
          <t>First Industrial Realty Trust, Inc.</t>
        </is>
      </c>
      <c r="D195" s="15" t="str">
        <f>IFERROR(INDEX(觀察名單!$AA$2:$AA$533,MATCH($B195,觀察名單!$B$2:$B$533,0)),"")</f>
        <v>A</v>
      </c>
      <c r="E195" s="15" t="inlineStr">
        <is>
          <t>https://www.tradingview.com/chart/Q1c5VWwD/?symbol=fr</t>
        </is>
      </c>
    </row>
    <row r="196">
      <c r="A196" s="15" t="n">
        <v>195</v>
      </c>
      <c r="B196" s="34" t="inlineStr">
        <is>
          <t>FRT</t>
        </is>
      </c>
      <c r="C196" s="15" t="inlineStr">
        <is>
          <t>Federal Realty Investment Trust</t>
        </is>
      </c>
      <c r="D196" s="15" t="str">
        <f>IFERROR(INDEX(觀察名單!$AA$2:$AA$533,MATCH($B196,觀察名單!$B$2:$B$533,0)),"")</f>
        <v>A</v>
      </c>
      <c r="E196" s="15" t="inlineStr">
        <is>
          <t>https://www.tradingview.com/chart/Q1c5VWwD/?symbol=frt</t>
        </is>
      </c>
    </row>
    <row r="197">
      <c r="A197" s="15" t="n">
        <v>196</v>
      </c>
      <c r="B197" s="34" t="inlineStr">
        <is>
          <t>FSLR</t>
        </is>
      </c>
      <c r="C197" s="15" t="inlineStr">
        <is>
          <t>First Solar, Inc.</t>
        </is>
      </c>
      <c r="D197" s="15" t="str">
        <f>IFERROR(INDEX(觀察名單!$AA$2:$AA$533,MATCH($B197,觀察名單!$B$2:$B$533,0)),"")</f>
        <v>A</v>
      </c>
      <c r="E197" s="15" t="inlineStr">
        <is>
          <t>https://www.tradingview.com/chart/Q1c5VWwD/?symbol=fslr</t>
        </is>
      </c>
    </row>
    <row r="198">
      <c r="A198" s="15" t="n">
        <v>197</v>
      </c>
      <c r="B198" s="34" t="inlineStr">
        <is>
          <t>FTNT</t>
        </is>
      </c>
      <c r="C198" s="15" t="inlineStr">
        <is>
          <t>Fortinet, Inc.</t>
        </is>
      </c>
      <c r="D198" s="15" t="str">
        <f>IFERROR(INDEX(觀察名單!$AA$2:$AA$533,MATCH($B198,觀察名單!$B$2:$B$533,0)),"")</f>
        <v>A</v>
      </c>
      <c r="E198" s="15" t="inlineStr">
        <is>
          <t>https://www.tradingview.com/chart/Q1c5VWwD/?symbol=ftnt</t>
        </is>
      </c>
    </row>
    <row r="199">
      <c r="A199" s="15" t="n">
        <v>198</v>
      </c>
      <c r="B199" s="34" t="inlineStr">
        <is>
          <t>FWONK</t>
        </is>
      </c>
      <c r="C199" s="15" t="inlineStr">
        <is>
          <t>Formula One Group</t>
        </is>
      </c>
      <c r="D199" s="15" t="str">
        <f>IFERROR(INDEX(觀察名單!$AA$2:$AA$533,MATCH($B199,觀察名單!$B$2:$B$533,0)),"")</f>
        <v>A</v>
      </c>
      <c r="E199" s="15" t="inlineStr">
        <is>
          <t>https://www.tradingview.com/chart/Q1c5VWwD/?symbol=fwonk</t>
        </is>
      </c>
    </row>
    <row r="200">
      <c r="A200" s="15" t="n">
        <v>199</v>
      </c>
      <c r="B200" s="34" t="inlineStr">
        <is>
          <t>GD</t>
        </is>
      </c>
      <c r="C200" s="15" t="inlineStr">
        <is>
          <t>General Dynamics Corporation</t>
        </is>
      </c>
      <c r="D200" s="15" t="str">
        <f>IFERROR(INDEX(觀察名單!$AA$2:$AA$533,MATCH($B200,觀察名單!$B$2:$B$533,0)),"")</f>
        <v>A</v>
      </c>
      <c r="E200" s="15" t="inlineStr">
        <is>
          <t>https://www.tradingview.com/chart/Q1c5VWwD/?symbol=gd</t>
        </is>
      </c>
    </row>
    <row r="201">
      <c r="A201" s="15" t="n">
        <v>200</v>
      </c>
      <c r="B201" s="34" t="inlineStr">
        <is>
          <t>GEV</t>
        </is>
      </c>
      <c r="C201" s="15" t="inlineStr">
        <is>
          <t>GE Vernova Inc.</t>
        </is>
      </c>
      <c r="D201" s="15" t="str">
        <f>IFERROR(INDEX(觀察名單!$AA$2:$AA$533,MATCH($B201,觀察名單!$B$2:$B$533,0)),"")</f>
        <v>A</v>
      </c>
      <c r="E201" s="15" t="inlineStr">
        <is>
          <t>https://www.tradingview.com/chart/Q1c5VWwD/?symbol=gev</t>
        </is>
      </c>
    </row>
    <row r="202">
      <c r="A202" s="15" t="n">
        <v>201</v>
      </c>
      <c r="B202" s="34" t="inlineStr">
        <is>
          <t>GFS</t>
        </is>
      </c>
      <c r="C202" s="15" t="inlineStr">
        <is>
          <t>GLOBALFOUNDRIES Inc.</t>
        </is>
      </c>
      <c r="D202" s="15" t="str">
        <f>IFERROR(INDEX(觀察名單!$AA$2:$AA$533,MATCH($B202,觀察名單!$B$2:$B$533,0)),"")</f>
        <v>A</v>
      </c>
      <c r="E202" s="15" t="inlineStr">
        <is>
          <t>https://www.tradingview.com/chart/Q1c5VWwD/?symbol=gfs</t>
        </is>
      </c>
    </row>
    <row r="203">
      <c r="A203" s="15" t="n">
        <v>202</v>
      </c>
      <c r="B203" s="34" t="inlineStr">
        <is>
          <t>GILD</t>
        </is>
      </c>
      <c r="C203" s="15" t="inlineStr">
        <is>
          <t>Gilead Sciences, Inc.</t>
        </is>
      </c>
      <c r="D203" s="15" t="str">
        <f>IFERROR(INDEX(觀察名單!$AA$2:$AA$533,MATCH($B203,觀察名單!$B$2:$B$533,0)),"")</f>
        <v>A</v>
      </c>
      <c r="E203" s="15" t="inlineStr">
        <is>
          <t>https://www.tradingview.com/chart/Q1c5VWwD/?symbol=gild</t>
        </is>
      </c>
    </row>
    <row r="204">
      <c r="A204" s="15" t="n">
        <v>203</v>
      </c>
      <c r="B204" s="34" t="inlineStr">
        <is>
          <t>GIS</t>
        </is>
      </c>
      <c r="C204" s="15" t="inlineStr">
        <is>
          <t>General Mills, Inc.</t>
        </is>
      </c>
      <c r="D204" s="15" t="str">
        <f>IFERROR(INDEX(觀察名單!$AA$2:$AA$533,MATCH($B204,觀察名單!$B$2:$B$533,0)),"")</f>
        <v>A</v>
      </c>
      <c r="E204" s="15" t="inlineStr">
        <is>
          <t>https://www.tradingview.com/chart/Q1c5VWwD/?symbol=gis</t>
        </is>
      </c>
    </row>
    <row r="205">
      <c r="A205" s="15" t="n">
        <v>204</v>
      </c>
      <c r="B205" s="34" t="inlineStr">
        <is>
          <t>GLNG</t>
        </is>
      </c>
      <c r="C205" s="15" t="inlineStr">
        <is>
          <t>Golar LNG Limited</t>
        </is>
      </c>
      <c r="D205" s="15" t="str">
        <f>IFERROR(INDEX(觀察名單!$AA$2:$AA$533,MATCH($B205,觀察名單!$B$2:$B$533,0)),"")</f>
        <v>A</v>
      </c>
      <c r="E205" s="15" t="inlineStr">
        <is>
          <t>https://www.tradingview.com/chart/Q1c5VWwD/?symbol=glng</t>
        </is>
      </c>
    </row>
    <row r="206">
      <c r="A206" s="15" t="n">
        <v>205</v>
      </c>
      <c r="B206" s="34" t="inlineStr">
        <is>
          <t>GLPI</t>
        </is>
      </c>
      <c r="C206" s="15" t="inlineStr">
        <is>
          <t>Gaming and Leisure Properties, Inc.</t>
        </is>
      </c>
      <c r="D206" s="15" t="str">
        <f>IFERROR(INDEX(觀察名單!$AA$2:$AA$533,MATCH($B206,觀察名單!$B$2:$B$533,0)),"")</f>
        <v>A</v>
      </c>
      <c r="E206" s="15" t="inlineStr">
        <is>
          <t>https://www.tradingview.com/chart/Q1c5VWwD/?symbol=glpi</t>
        </is>
      </c>
    </row>
    <row r="207">
      <c r="A207" s="15" t="n">
        <v>206</v>
      </c>
      <c r="B207" s="34" t="inlineStr">
        <is>
          <t>GLW</t>
        </is>
      </c>
      <c r="C207" s="15" t="inlineStr">
        <is>
          <t>Corning Incorporated</t>
        </is>
      </c>
      <c r="D207" s="15" t="str">
        <f>IFERROR(INDEX(觀察名單!$AA$2:$AA$533,MATCH($B207,觀察名單!$B$2:$B$533,0)),"")</f>
        <v>A</v>
      </c>
      <c r="E207" s="15" t="inlineStr">
        <is>
          <t>https://www.tradingview.com/chart/Q1c5VWwD/?symbol=glw</t>
        </is>
      </c>
    </row>
    <row r="208">
      <c r="A208" s="15" t="n">
        <v>207</v>
      </c>
      <c r="B208" s="34" t="inlineStr">
        <is>
          <t>GM</t>
        </is>
      </c>
      <c r="C208" s="15" t="inlineStr">
        <is>
          <t>General Motors Company</t>
        </is>
      </c>
      <c r="D208" s="15" t="str">
        <f>IFERROR(INDEX(觀察名單!$AA$2:$AA$533,MATCH($B208,觀察名單!$B$2:$B$533,0)),"")</f>
        <v>B</v>
      </c>
      <c r="E208" s="15" t="inlineStr">
        <is>
          <t>https://www.tradingview.com/chart/Q1c5VWwD/?symbol=gm</t>
        </is>
      </c>
    </row>
    <row r="209">
      <c r="A209" s="15" t="n">
        <v>208</v>
      </c>
      <c r="B209" s="34" t="inlineStr">
        <is>
          <t>GNRC</t>
        </is>
      </c>
      <c r="C209" s="15" t="inlineStr">
        <is>
          <t>Generac Holdings Inc.</t>
        </is>
      </c>
      <c r="D209" s="15" t="str">
        <f>IFERROR(INDEX(觀察名單!$AA$2:$AA$533,MATCH($B209,觀察名單!$B$2:$B$533,0)),"")</f>
        <v>B</v>
      </c>
      <c r="E209" s="15" t="inlineStr">
        <is>
          <t>https://www.tradingview.com/chart/Q1c5VWwD/?symbol=gnrc</t>
        </is>
      </c>
    </row>
    <row r="210">
      <c r="A210" s="15" t="n">
        <v>209</v>
      </c>
      <c r="B210" s="34" t="inlineStr">
        <is>
          <t>GOLD</t>
        </is>
      </c>
      <c r="C210" s="15" t="inlineStr">
        <is>
          <t>Gold.com, Inc.</t>
        </is>
      </c>
      <c r="D210" s="15" t="str">
        <f>IFERROR(INDEX(觀察名單!$AA$2:$AA$533,MATCH($B210,觀察名單!$B$2:$B$533,0)),"")</f>
        <v>A</v>
      </c>
      <c r="E210" s="15" t="inlineStr">
        <is>
          <t>https://www.tradingview.com/chart/Q1c5VWwD/?symbol=gold</t>
        </is>
      </c>
    </row>
    <row r="211">
      <c r="A211" s="15" t="n">
        <v>210</v>
      </c>
      <c r="B211" s="34" t="inlineStr">
        <is>
          <t>GOOGL</t>
        </is>
      </c>
      <c r="C211" s="15" t="inlineStr">
        <is>
          <t>Alphabet Inc.</t>
        </is>
      </c>
      <c r="D211" s="15" t="str">
        <f>IFERROR(INDEX(觀察名單!$AA$2:$AA$533,MATCH($B211,觀察名單!$B$2:$B$533,0)),"")</f>
        <v>A</v>
      </c>
      <c r="E211" s="15" t="inlineStr">
        <is>
          <t>https://www.tradingview.com/chart/Q1c5VWwD/?symbol=googl</t>
        </is>
      </c>
    </row>
    <row r="212">
      <c r="A212" s="15" t="n">
        <v>211</v>
      </c>
      <c r="B212" s="34" t="inlineStr">
        <is>
          <t>GPN</t>
        </is>
      </c>
      <c r="C212" s="15" t="inlineStr">
        <is>
          <t>Global Payments Inc.</t>
        </is>
      </c>
      <c r="D212" s="15" t="str">
        <f>IFERROR(INDEX(觀察名單!$AA$2:$AA$533,MATCH($B212,觀察名單!$B$2:$B$533,0)),"")</f>
        <v>B</v>
      </c>
      <c r="E212" s="15" t="inlineStr">
        <is>
          <t>https://www.tradingview.com/chart/Q1c5VWwD/?symbol=gpn</t>
        </is>
      </c>
    </row>
    <row r="213">
      <c r="A213" s="15" t="n">
        <v>212</v>
      </c>
      <c r="B213" s="34" t="inlineStr">
        <is>
          <t>GS</t>
        </is>
      </c>
      <c r="C213" s="15" t="inlineStr">
        <is>
          <t>The Goldman Sachs Group, Inc.</t>
        </is>
      </c>
      <c r="D213" s="15" t="str">
        <f>IFERROR(INDEX(觀察名單!$AA$2:$AA$533,MATCH($B213,觀察名單!$B$2:$B$533,0)),"")</f>
        <v>—</v>
      </c>
      <c r="E213" s="15" t="inlineStr">
        <is>
          <t>https://www.tradingview.com/chart/Q1c5VWwD/?symbol=gs</t>
        </is>
      </c>
    </row>
    <row r="214">
      <c r="A214" s="15" t="n">
        <v>213</v>
      </c>
      <c r="B214" s="34" t="inlineStr">
        <is>
          <t>HAL</t>
        </is>
      </c>
      <c r="C214" s="15" t="inlineStr">
        <is>
          <t>Halliburton Company</t>
        </is>
      </c>
      <c r="D214" s="15" t="str">
        <f>IFERROR(INDEX(觀察名單!$AA$2:$AA$533,MATCH($B214,觀察名單!$B$2:$B$533,0)),"")</f>
        <v>A</v>
      </c>
      <c r="E214" s="15" t="inlineStr">
        <is>
          <t>https://www.tradingview.com/chart/Q1c5VWwD/?symbol=hal</t>
        </is>
      </c>
    </row>
    <row r="215">
      <c r="A215" s="15" t="n">
        <v>214</v>
      </c>
      <c r="B215" s="34" t="inlineStr">
        <is>
          <t>HBM</t>
        </is>
      </c>
      <c r="C215" s="15" t="inlineStr">
        <is>
          <t>Hudbay Minerals Inc.</t>
        </is>
      </c>
      <c r="D215" s="15" t="str">
        <f>IFERROR(INDEX(觀察名單!$AA$2:$AA$533,MATCH($B215,觀察名單!$B$2:$B$533,0)),"")</f>
        <v>A</v>
      </c>
      <c r="E215" s="15" t="inlineStr">
        <is>
          <t>https://www.tradingview.com/chart/Q1c5VWwD/?symbol=hbm</t>
        </is>
      </c>
    </row>
    <row r="216">
      <c r="A216" s="15" t="n">
        <v>215</v>
      </c>
      <c r="B216" s="34" t="inlineStr">
        <is>
          <t>HCA</t>
        </is>
      </c>
      <c r="C216" s="15" t="inlineStr">
        <is>
          <t>HCA Healthcare, Inc.</t>
        </is>
      </c>
      <c r="D216" s="15" t="str">
        <f>IFERROR(INDEX(觀察名單!$AA$2:$AA$533,MATCH($B216,觀察名單!$B$2:$B$533,0)),"")</f>
        <v>A</v>
      </c>
      <c r="E216" s="15" t="inlineStr">
        <is>
          <t>https://www.tradingview.com/chart/Q1c5VWwD/?symbol=hca</t>
        </is>
      </c>
    </row>
    <row r="217">
      <c r="A217" s="15" t="n">
        <v>216</v>
      </c>
      <c r="B217" s="34" t="inlineStr">
        <is>
          <t>HCC</t>
        </is>
      </c>
      <c r="C217" s="15" t="inlineStr">
        <is>
          <t>Warrior Met Coal, Inc.</t>
        </is>
      </c>
      <c r="D217" s="15" t="str">
        <f>IFERROR(INDEX(觀察名單!$AA$2:$AA$533,MATCH($B217,觀察名單!$B$2:$B$533,0)),"")</f>
        <v>A</v>
      </c>
      <c r="E217" s="15" t="inlineStr">
        <is>
          <t>https://www.tradingview.com/chart/Q1c5VWwD/?symbol=hcc</t>
        </is>
      </c>
    </row>
    <row r="218">
      <c r="A218" s="15" t="n">
        <v>217</v>
      </c>
      <c r="B218" s="34" t="inlineStr">
        <is>
          <t>HD</t>
        </is>
      </c>
      <c r="C218" s="15" t="inlineStr">
        <is>
          <t>The Home Depot, Inc.</t>
        </is>
      </c>
      <c r="D218" s="15" t="str">
        <f>IFERROR(INDEX(觀察名單!$AA$2:$AA$533,MATCH($B218,觀察名單!$B$2:$B$533,0)),"")</f>
        <v>A</v>
      </c>
      <c r="E218" s="15" t="inlineStr">
        <is>
          <t>https://www.tradingview.com/chart/Q1c5VWwD/?symbol=hd</t>
        </is>
      </c>
    </row>
    <row r="219">
      <c r="A219" s="15" t="n">
        <v>218</v>
      </c>
      <c r="B219" s="34" t="inlineStr">
        <is>
          <t>HIMS</t>
        </is>
      </c>
      <c r="C219" s="15" t="inlineStr">
        <is>
          <t>Hims &amp; Hers Health, Inc.</t>
        </is>
      </c>
      <c r="D219" s="15" t="str">
        <f>IFERROR(INDEX(觀察名單!$AA$2:$AA$533,MATCH($B219,觀察名單!$B$2:$B$533,0)),"")</f>
        <v>D</v>
      </c>
      <c r="E219" s="15" t="inlineStr">
        <is>
          <t>https://www.tradingview.com/chart/Q1c5VWwD/?symbol=hims</t>
        </is>
      </c>
    </row>
    <row r="220">
      <c r="A220" s="15" t="n">
        <v>219</v>
      </c>
      <c r="B220" s="34" t="inlineStr">
        <is>
          <t>HIW</t>
        </is>
      </c>
      <c r="C220" s="15" t="inlineStr">
        <is>
          <t>Highwoods Properties, Inc.</t>
        </is>
      </c>
      <c r="D220" s="15" t="str">
        <f>IFERROR(INDEX(觀察名單!$AA$2:$AA$533,MATCH($B220,觀察名單!$B$2:$B$533,0)),"")</f>
        <v>—</v>
      </c>
      <c r="E220" s="15" t="inlineStr">
        <is>
          <t>https://www.tradingview.com/chart/Q1c5VWwD/?symbol=hiw</t>
        </is>
      </c>
    </row>
    <row r="221">
      <c r="A221" s="15" t="n">
        <v>220</v>
      </c>
      <c r="B221" s="34" t="inlineStr">
        <is>
          <t>HL</t>
        </is>
      </c>
      <c r="C221" s="15" t="inlineStr">
        <is>
          <t>Hecla Mining Company</t>
        </is>
      </c>
      <c r="D221" s="15" t="str">
        <f>IFERROR(INDEX(觀察名單!$AA$2:$AA$533,MATCH($B221,觀察名單!$B$2:$B$533,0)),"")</f>
        <v>—</v>
      </c>
      <c r="E221" s="15" t="inlineStr">
        <is>
          <t>https://www.tradingview.com/chart/Q1c5VWwD/?symbol=hl</t>
        </is>
      </c>
    </row>
    <row r="222">
      <c r="A222" s="15" t="n">
        <v>221</v>
      </c>
      <c r="B222" s="34" t="inlineStr">
        <is>
          <t>HLT</t>
        </is>
      </c>
      <c r="C222" s="15" t="inlineStr">
        <is>
          <t>Hilton Worldwide Holdings Inc.</t>
        </is>
      </c>
      <c r="D222" s="15" t="str">
        <f>IFERROR(INDEX(觀察名單!$AA$2:$AA$533,MATCH($B222,觀察名單!$B$2:$B$533,0)),"")</f>
        <v>A</v>
      </c>
      <c r="E222" s="15" t="inlineStr">
        <is>
          <t>https://www.tradingview.com/chart/Q1c5VWwD/?symbol=hlt</t>
        </is>
      </c>
    </row>
    <row r="223">
      <c r="A223" s="15" t="n">
        <v>222</v>
      </c>
      <c r="B223" s="34" t="inlineStr">
        <is>
          <t>HON</t>
        </is>
      </c>
      <c r="C223" s="15" t="inlineStr">
        <is>
          <t>Honeywell International Inc.</t>
        </is>
      </c>
      <c r="D223" s="15" t="str">
        <f>IFERROR(INDEX(觀察名單!$AA$2:$AA$533,MATCH($B223,觀察名單!$B$2:$B$533,0)),"")</f>
        <v>A</v>
      </c>
      <c r="E223" s="15" t="inlineStr">
        <is>
          <t>https://www.tradingview.com/chart/Q1c5VWwD/?symbol=hon</t>
        </is>
      </c>
    </row>
    <row r="224">
      <c r="A224" s="15" t="n">
        <v>223</v>
      </c>
      <c r="B224" s="34" t="inlineStr">
        <is>
          <t>HOOD</t>
        </is>
      </c>
      <c r="C224" s="15" t="inlineStr">
        <is>
          <t>Robinhood Markets, Inc.</t>
        </is>
      </c>
      <c r="D224" s="15" t="str">
        <f>IFERROR(INDEX(觀察名單!$AA$2:$AA$533,MATCH($B224,觀察名單!$B$2:$B$533,0)),"")</f>
        <v>A</v>
      </c>
      <c r="E224" s="15" t="inlineStr">
        <is>
          <t>https://www.tradingview.com/chart/Q1c5VWwD/?symbol=hood</t>
        </is>
      </c>
    </row>
    <row r="225">
      <c r="A225" s="15" t="n">
        <v>224</v>
      </c>
      <c r="B225" s="34" t="inlineStr">
        <is>
          <t>HPE</t>
        </is>
      </c>
      <c r="C225" s="15" t="inlineStr">
        <is>
          <t>Hewlett Packard Enterprise Company</t>
        </is>
      </c>
      <c r="D225" s="15" t="str">
        <f>IFERROR(INDEX(觀察名單!$AA$2:$AA$533,MATCH($B225,觀察名單!$B$2:$B$533,0)),"")</f>
        <v>—</v>
      </c>
      <c r="E225" s="15" t="inlineStr">
        <is>
          <t>https://www.tradingview.com/chart/Q1c5VWwD/?symbol=hpe</t>
        </is>
      </c>
    </row>
    <row r="226">
      <c r="A226" s="15" t="n">
        <v>225</v>
      </c>
      <c r="B226" s="34" t="inlineStr">
        <is>
          <t>HRB</t>
        </is>
      </c>
      <c r="C226" s="15" t="inlineStr">
        <is>
          <t>H&amp;R Block, Inc.</t>
        </is>
      </c>
      <c r="D226" s="15" t="str">
        <f>IFERROR(INDEX(觀察名單!$AA$2:$AA$533,MATCH($B226,觀察名單!$B$2:$B$533,0)),"")</f>
        <v>B</v>
      </c>
      <c r="E226" s="15" t="inlineStr">
        <is>
          <t>https://www.tradingview.com/chart/Q1c5VWwD/?symbol=hrb</t>
        </is>
      </c>
    </row>
    <row r="227">
      <c r="A227" s="15" t="n">
        <v>226</v>
      </c>
      <c r="B227" s="34" t="inlineStr">
        <is>
          <t>HSY</t>
        </is>
      </c>
      <c r="C227" s="15" t="inlineStr">
        <is>
          <t>The Hershey Company</t>
        </is>
      </c>
      <c r="D227" s="15" t="str">
        <f>IFERROR(INDEX(觀察名單!$AA$2:$AA$533,MATCH($B227,觀察名單!$B$2:$B$533,0)),"")</f>
        <v>A</v>
      </c>
      <c r="E227" s="15" t="inlineStr">
        <is>
          <t>https://www.tradingview.com/chart/Q1c5VWwD/?symbol=hsy</t>
        </is>
      </c>
    </row>
    <row r="228">
      <c r="A228" s="15" t="n">
        <v>227</v>
      </c>
      <c r="B228" s="34" t="inlineStr">
        <is>
          <t>HTO</t>
        </is>
      </c>
      <c r="C228" s="15" t="inlineStr">
        <is>
          <t>H2O America</t>
        </is>
      </c>
      <c r="D228" s="15" t="str">
        <f>IFERROR(INDEX(觀察名單!$AA$2:$AA$533,MATCH($B228,觀察名單!$B$2:$B$533,0)),"")</f>
        <v>A</v>
      </c>
      <c r="E228" s="15" t="inlineStr">
        <is>
          <t>https://www.tradingview.com/chart/Q1c5VWwD/?symbol=hto</t>
        </is>
      </c>
    </row>
    <row r="229">
      <c r="A229" s="15" t="n">
        <v>228</v>
      </c>
      <c r="B229" s="34" t="inlineStr">
        <is>
          <t>HUBB</t>
        </is>
      </c>
      <c r="C229" s="15" t="inlineStr">
        <is>
          <t>Hubbell Incorporated</t>
        </is>
      </c>
      <c r="D229" s="15" t="str">
        <f>IFERROR(INDEX(觀察名單!$AA$2:$AA$533,MATCH($B229,觀察名單!$B$2:$B$533,0)),"")</f>
        <v>A</v>
      </c>
      <c r="E229" s="15" t="inlineStr">
        <is>
          <t>https://www.tradingview.com/chart/Q1c5VWwD/?symbol=hubb</t>
        </is>
      </c>
    </row>
    <row r="230">
      <c r="A230" s="15" t="n">
        <v>229</v>
      </c>
      <c r="B230" s="34" t="inlineStr">
        <is>
          <t>HUM</t>
        </is>
      </c>
      <c r="C230" s="15" t="inlineStr">
        <is>
          <t>Humana Inc.</t>
        </is>
      </c>
      <c r="D230" s="15" t="str">
        <f>IFERROR(INDEX(觀察名單!$AA$2:$AA$533,MATCH($B230,觀察名單!$B$2:$B$533,0)),"")</f>
        <v>B</v>
      </c>
      <c r="E230" s="15" t="inlineStr">
        <is>
          <t>https://www.tradingview.com/chart/Q1c5VWwD/?symbol=hum</t>
        </is>
      </c>
    </row>
    <row r="231">
      <c r="A231" s="15" t="n">
        <v>230</v>
      </c>
      <c r="B231" s="34" t="inlineStr">
        <is>
          <t>IBM</t>
        </is>
      </c>
      <c r="C231" s="15" t="inlineStr">
        <is>
          <t>International Business Machines Corporation</t>
        </is>
      </c>
      <c r="D231" s="15" t="str">
        <f>IFERROR(INDEX(觀察名單!$AA$2:$AA$533,MATCH($B231,觀察名單!$B$2:$B$533,0)),"")</f>
        <v>A</v>
      </c>
      <c r="E231" s="15" t="inlineStr">
        <is>
          <t>https://www.tradingview.com/chart/Q1c5VWwD/?symbol=ibm</t>
        </is>
      </c>
    </row>
    <row r="232">
      <c r="A232" s="15" t="n">
        <v>231</v>
      </c>
      <c r="B232" s="34" t="inlineStr">
        <is>
          <t>ICE</t>
        </is>
      </c>
      <c r="C232" s="15" t="inlineStr">
        <is>
          <t>Intercontinental Exchange, Inc.</t>
        </is>
      </c>
      <c r="D232" s="15" t="str">
        <f>IFERROR(INDEX(觀察名單!$AA$2:$AA$533,MATCH($B232,觀察名單!$B$2:$B$533,0)),"")</f>
        <v>A</v>
      </c>
      <c r="E232" s="15" t="inlineStr">
        <is>
          <t>https://www.tradingview.com/chart/Q1c5VWwD/?symbol=ice</t>
        </is>
      </c>
    </row>
    <row r="233">
      <c r="A233" s="15" t="n">
        <v>232</v>
      </c>
      <c r="B233" s="34" t="inlineStr">
        <is>
          <t>ILMN</t>
        </is>
      </c>
      <c r="C233" s="15" t="inlineStr">
        <is>
          <t>Illumina, Inc.</t>
        </is>
      </c>
      <c r="D233" s="15" t="str">
        <f>IFERROR(INDEX(觀察名單!$AA$2:$AA$533,MATCH($B233,觀察名單!$B$2:$B$533,0)),"")</f>
        <v>—</v>
      </c>
      <c r="E233" s="15" t="inlineStr">
        <is>
          <t>https://www.tradingview.com/chart/Q1c5VWwD/?symbol=ilmn</t>
        </is>
      </c>
    </row>
    <row r="234">
      <c r="A234" s="15" t="n">
        <v>233</v>
      </c>
      <c r="B234" s="34" t="inlineStr">
        <is>
          <t>INFY</t>
        </is>
      </c>
      <c r="C234" s="15" t="inlineStr">
        <is>
          <t>Infosys Limited</t>
        </is>
      </c>
      <c r="D234" s="15" t="str">
        <f>IFERROR(INDEX(觀察名單!$AA$2:$AA$533,MATCH($B234,觀察名單!$B$2:$B$533,0)),"")</f>
        <v>A</v>
      </c>
      <c r="E234" s="15" t="inlineStr">
        <is>
          <t>https://www.tradingview.com/chart/Q1c5VWwD/?symbol=infy</t>
        </is>
      </c>
    </row>
    <row r="235">
      <c r="A235" s="15" t="n">
        <v>234</v>
      </c>
      <c r="B235" s="34" t="inlineStr">
        <is>
          <t>INGR</t>
        </is>
      </c>
      <c r="C235" s="15" t="inlineStr">
        <is>
          <t>Ingredion Incorporated</t>
        </is>
      </c>
      <c r="D235" s="15" t="str">
        <f>IFERROR(INDEX(觀察名單!$AA$2:$AA$533,MATCH($B235,觀察名單!$B$2:$B$533,0)),"")</f>
        <v>A</v>
      </c>
      <c r="E235" s="15" t="inlineStr">
        <is>
          <t>https://www.tradingview.com/chart/Q1c5VWwD/?symbol=ingr</t>
        </is>
      </c>
    </row>
    <row r="236">
      <c r="A236" s="15" t="n">
        <v>235</v>
      </c>
      <c r="B236" s="34" t="inlineStr">
        <is>
          <t>INTC</t>
        </is>
      </c>
      <c r="C236" s="15" t="inlineStr">
        <is>
          <t>Intel Corporation</t>
        </is>
      </c>
      <c r="D236" s="15" t="str">
        <f>IFERROR(INDEX(觀察名單!$AA$2:$AA$533,MATCH($B236,觀察名單!$B$2:$B$533,0)),"")</f>
        <v>A</v>
      </c>
      <c r="E236" s="15" t="inlineStr">
        <is>
          <t>https://www.tradingview.com/chart/Q1c5VWwD/?symbol=intc</t>
        </is>
      </c>
    </row>
    <row r="237">
      <c r="A237" s="15" t="n">
        <v>236</v>
      </c>
      <c r="B237" s="34" t="inlineStr">
        <is>
          <t>INVH</t>
        </is>
      </c>
      <c r="C237" s="15" t="inlineStr">
        <is>
          <t>Invitation Homes Inc.</t>
        </is>
      </c>
      <c r="D237" s="15" t="str">
        <f>IFERROR(INDEX(觀察名單!$AA$2:$AA$533,MATCH($B237,觀察名單!$B$2:$B$533,0)),"")</f>
        <v>A</v>
      </c>
      <c r="E237" s="15" t="inlineStr">
        <is>
          <t>https://www.tradingview.com/chart/Q1c5VWwD/?symbol=invh</t>
        </is>
      </c>
    </row>
    <row r="238">
      <c r="A238" s="15" t="n">
        <v>237</v>
      </c>
      <c r="B238" s="34" t="inlineStr">
        <is>
          <t>IONQ</t>
        </is>
      </c>
      <c r="C238" s="15" t="inlineStr">
        <is>
          <t>IonQ, Inc.</t>
        </is>
      </c>
      <c r="D238" s="15" t="str">
        <f>IFERROR(INDEX(觀察名單!$AA$2:$AA$533,MATCH($B238,觀察名單!$B$2:$B$533,0)),"")</f>
        <v>D</v>
      </c>
      <c r="E238" s="15" t="inlineStr">
        <is>
          <t>https://www.tradingview.com/chart/Q1c5VWwD/?symbol=ionq</t>
        </is>
      </c>
    </row>
    <row r="239">
      <c r="A239" s="15" t="n">
        <v>238</v>
      </c>
      <c r="B239" s="34" t="inlineStr">
        <is>
          <t>IONS</t>
        </is>
      </c>
      <c r="C239" s="15" t="inlineStr">
        <is>
          <t>Ionis Pharmaceuticals, Inc.</t>
        </is>
      </c>
      <c r="D239" s="15" t="str">
        <f>IFERROR(INDEX(觀察名單!$AA$2:$AA$533,MATCH($B239,觀察名單!$B$2:$B$533,0)),"")</f>
        <v>C</v>
      </c>
      <c r="E239" s="15" t="inlineStr">
        <is>
          <t>https://www.tradingview.com/chart/Q1c5VWwD/?symbol=ions</t>
        </is>
      </c>
    </row>
    <row r="240">
      <c r="A240" s="15" t="n">
        <v>239</v>
      </c>
      <c r="B240" s="34" t="inlineStr">
        <is>
          <t>IOVA</t>
        </is>
      </c>
      <c r="C240" s="15" t="inlineStr">
        <is>
          <t>Iovance Biotherapeutics, Inc.</t>
        </is>
      </c>
      <c r="D240" s="15" t="str">
        <f>IFERROR(INDEX(觀察名單!$AA$2:$AA$533,MATCH($B240,觀察名單!$B$2:$B$533,0)),"")</f>
        <v>C</v>
      </c>
      <c r="E240" s="15" t="inlineStr">
        <is>
          <t>https://www.tradingview.com/chart/Q1c5VWwD/?symbol=iova</t>
        </is>
      </c>
    </row>
    <row r="241">
      <c r="A241" s="15" t="n">
        <v>240</v>
      </c>
      <c r="B241" s="34" t="inlineStr">
        <is>
          <t>IP</t>
        </is>
      </c>
      <c r="C241" s="15" t="inlineStr">
        <is>
          <t>International Paper Company</t>
        </is>
      </c>
      <c r="D241" s="15" t="str">
        <f>IFERROR(INDEX(觀察名單!$AA$2:$AA$533,MATCH($B241,觀察名單!$B$2:$B$533,0)),"")</f>
        <v>B</v>
      </c>
      <c r="E241" s="15" t="inlineStr">
        <is>
          <t>https://www.tradingview.com/chart/Q1c5VWwD/?symbol=ip</t>
        </is>
      </c>
    </row>
    <row r="242">
      <c r="A242" s="15" t="n">
        <v>241</v>
      </c>
      <c r="B242" s="34" t="inlineStr">
        <is>
          <t>IPGP</t>
        </is>
      </c>
      <c r="C242" s="15" t="inlineStr">
        <is>
          <t>IPG Photonics Corporation</t>
        </is>
      </c>
      <c r="D242" s="15" t="str">
        <f>IFERROR(INDEX(觀察名單!$AA$2:$AA$533,MATCH($B242,觀察名單!$B$2:$B$533,0)),"")</f>
        <v>A</v>
      </c>
      <c r="E242" s="15" t="inlineStr">
        <is>
          <t>https://www.tradingview.com/chart/Q1c5VWwD/?symbol=ipgp</t>
        </is>
      </c>
    </row>
    <row r="243">
      <c r="A243" s="15" t="n">
        <v>242</v>
      </c>
      <c r="B243" s="34" t="inlineStr">
        <is>
          <t>IREN</t>
        </is>
      </c>
      <c r="C243" s="15" t="inlineStr">
        <is>
          <t>IREN Limited</t>
        </is>
      </c>
      <c r="D243" s="15" t="str">
        <f>IFERROR(INDEX(觀察名單!$AA$2:$AA$533,MATCH($B243,觀察名單!$B$2:$B$533,0)),"")</f>
        <v>D</v>
      </c>
      <c r="E243" s="15" t="inlineStr">
        <is>
          <t>https://www.tradingview.com/chart/Q1c5VWwD/?symbol=iren</t>
        </is>
      </c>
    </row>
    <row r="244">
      <c r="A244" s="15" t="n">
        <v>243</v>
      </c>
      <c r="B244" s="34" t="inlineStr">
        <is>
          <t>ISRG</t>
        </is>
      </c>
      <c r="C244" s="15" t="inlineStr">
        <is>
          <t>Intuitive Surgical, Inc.</t>
        </is>
      </c>
      <c r="D244" s="15" t="str">
        <f>IFERROR(INDEX(觀察名單!$AA$2:$AA$533,MATCH($B244,觀察名單!$B$2:$B$533,0)),"")</f>
        <v>A</v>
      </c>
      <c r="E244" s="15" t="inlineStr">
        <is>
          <t>https://www.tradingview.com/chart/Q1c5VWwD/?symbol=isrg</t>
        </is>
      </c>
    </row>
    <row r="245">
      <c r="A245" s="15" t="n">
        <v>244</v>
      </c>
      <c r="B245" s="34" t="inlineStr">
        <is>
          <t>J</t>
        </is>
      </c>
      <c r="C245" s="15" t="inlineStr">
        <is>
          <t>Jacobs Solutions Inc.</t>
        </is>
      </c>
      <c r="D245" s="15" t="str">
        <f>IFERROR(INDEX(觀察名單!$AA$2:$AA$533,MATCH($B245,觀察名單!$B$2:$B$533,0)),"")</f>
        <v>B</v>
      </c>
      <c r="E245" s="15" t="inlineStr">
        <is>
          <t>https://www.tradingview.com/chart/Q1c5VWwD/?symbol=j</t>
        </is>
      </c>
    </row>
    <row r="246">
      <c r="A246" s="15" t="n">
        <v>245</v>
      </c>
      <c r="B246" s="34" t="inlineStr">
        <is>
          <t>JBHT</t>
        </is>
      </c>
      <c r="C246" s="15" t="inlineStr">
        <is>
          <t>J.B. Hunt Transport Services, Inc.</t>
        </is>
      </c>
      <c r="D246" s="15" t="str">
        <f>IFERROR(INDEX(觀察名單!$AA$2:$AA$533,MATCH($B246,觀察名單!$B$2:$B$533,0)),"")</f>
        <v>A</v>
      </c>
      <c r="E246" s="15" t="inlineStr">
        <is>
          <t>https://www.tradingview.com/chart/Q1c5VWwD/?symbol=jbht</t>
        </is>
      </c>
    </row>
    <row r="247">
      <c r="A247" s="15" t="n">
        <v>246</v>
      </c>
      <c r="B247" s="34" t="inlineStr">
        <is>
          <t>JBL</t>
        </is>
      </c>
      <c r="C247" s="15" t="inlineStr">
        <is>
          <t>Jabil Inc.</t>
        </is>
      </c>
      <c r="D247" s="15" t="str">
        <f>IFERROR(INDEX(觀察名單!$AA$2:$AA$533,MATCH($B247,觀察名單!$B$2:$B$533,0)),"")</f>
        <v>A</v>
      </c>
      <c r="E247" s="15" t="inlineStr">
        <is>
          <t>https://www.tradingview.com/chart/Q1c5VWwD/?symbol=jbl</t>
        </is>
      </c>
    </row>
    <row r="248">
      <c r="A248" s="15" t="n">
        <v>247</v>
      </c>
      <c r="B248" s="34" t="inlineStr">
        <is>
          <t>JCI</t>
        </is>
      </c>
      <c r="C248" s="15" t="inlineStr">
        <is>
          <t>Johnson Controls International plc</t>
        </is>
      </c>
      <c r="D248" s="15" t="str">
        <f>IFERROR(INDEX(觀察名單!$AA$2:$AA$533,MATCH($B248,觀察名單!$B$2:$B$533,0)),"")</f>
        <v>A</v>
      </c>
      <c r="E248" s="15" t="inlineStr">
        <is>
          <t>https://www.tradingview.com/chart/Q1c5VWwD/?symbol=jci</t>
        </is>
      </c>
    </row>
    <row r="249">
      <c r="A249" s="15" t="n">
        <v>248</v>
      </c>
      <c r="B249" s="34" t="inlineStr">
        <is>
          <t>JEF</t>
        </is>
      </c>
      <c r="C249" s="15" t="inlineStr">
        <is>
          <t>Jefferies Financial Group Inc.</t>
        </is>
      </c>
      <c r="D249" s="15" t="str">
        <f>IFERROR(INDEX(觀察名單!$AA$2:$AA$533,MATCH($B249,觀察名單!$B$2:$B$533,0)),"")</f>
        <v>A</v>
      </c>
      <c r="E249" s="15" t="inlineStr">
        <is>
          <t>https://www.tradingview.com/chart/Q1c5VWwD/?symbol=jef</t>
        </is>
      </c>
    </row>
    <row r="250">
      <c r="A250" s="15" t="n">
        <v>249</v>
      </c>
      <c r="B250" s="34" t="inlineStr">
        <is>
          <t>JLL</t>
        </is>
      </c>
      <c r="C250" s="15" t="inlineStr">
        <is>
          <t>Jones Lang LaSalle Incorporated</t>
        </is>
      </c>
      <c r="D250" s="15" t="str">
        <f>IFERROR(INDEX(觀察名單!$AA$2:$AA$533,MATCH($B250,觀察名單!$B$2:$B$533,0)),"")</f>
        <v>A</v>
      </c>
      <c r="E250" s="15" t="inlineStr">
        <is>
          <t>https://www.tradingview.com/chart/Q1c5VWwD/?symbol=jll</t>
        </is>
      </c>
    </row>
    <row r="251">
      <c r="A251" s="15" t="n">
        <v>250</v>
      </c>
      <c r="B251" s="34" t="inlineStr">
        <is>
          <t>JNJ</t>
        </is>
      </c>
      <c r="C251" s="15" t="inlineStr">
        <is>
          <t>Johnson &amp; Johnson</t>
        </is>
      </c>
      <c r="D251" s="15" t="str">
        <f>IFERROR(INDEX(觀察名單!$AA$2:$AA$533,MATCH($B251,觀察名單!$B$2:$B$533,0)),"")</f>
        <v>A</v>
      </c>
      <c r="E251" s="15" t="inlineStr">
        <is>
          <t>https://www.tradingview.com/chart/Q1c5VWwD/?symbol=jnj</t>
        </is>
      </c>
    </row>
    <row r="252">
      <c r="A252" s="15" t="n">
        <v>251</v>
      </c>
      <c r="B252" s="34" t="inlineStr">
        <is>
          <t>JPM</t>
        </is>
      </c>
      <c r="C252" s="15" t="inlineStr">
        <is>
          <t>JPMorgan Chase &amp; Co.</t>
        </is>
      </c>
      <c r="D252" s="15" t="str">
        <f>IFERROR(INDEX(觀察名單!$AA$2:$AA$533,MATCH($B252,觀察名單!$B$2:$B$533,0)),"")</f>
        <v>—</v>
      </c>
      <c r="E252" s="15" t="inlineStr">
        <is>
          <t>https://www.tradingview.com/chart/Q1c5VWwD/?symbol=jpm</t>
        </is>
      </c>
    </row>
    <row r="253">
      <c r="A253" s="15" t="n">
        <v>252</v>
      </c>
      <c r="B253" s="34" t="inlineStr">
        <is>
          <t>KALU</t>
        </is>
      </c>
      <c r="C253" s="15" t="inlineStr">
        <is>
          <t>Kaiser Aluminum Corporation</t>
        </is>
      </c>
      <c r="D253" s="15" t="str">
        <f>IFERROR(INDEX(觀察名單!$AA$2:$AA$533,MATCH($B253,觀察名單!$B$2:$B$533,0)),"")</f>
        <v>A</v>
      </c>
      <c r="E253" s="15" t="inlineStr">
        <is>
          <t>https://www.tradingview.com/chart/Q1c5VWwD/?symbol=kalu</t>
        </is>
      </c>
    </row>
    <row r="254">
      <c r="A254" s="15" t="n">
        <v>253</v>
      </c>
      <c r="B254" s="34" t="inlineStr">
        <is>
          <t>KDP</t>
        </is>
      </c>
      <c r="C254" s="15" t="inlineStr">
        <is>
          <t>Keurig Dr Pepper Inc.</t>
        </is>
      </c>
      <c r="D254" s="15" t="str">
        <f>IFERROR(INDEX(觀察名單!$AA$2:$AA$533,MATCH($B254,觀察名單!$B$2:$B$533,0)),"")</f>
        <v>A</v>
      </c>
      <c r="E254" s="15" t="inlineStr">
        <is>
          <t>https://www.tradingview.com/chart/Q1c5VWwD/?symbol=kdp</t>
        </is>
      </c>
    </row>
    <row r="255">
      <c r="A255" s="15" t="n">
        <v>254</v>
      </c>
      <c r="B255" s="34" t="inlineStr">
        <is>
          <t>KGC</t>
        </is>
      </c>
      <c r="C255" s="15" t="inlineStr">
        <is>
          <t>Kinross Gold Corporation</t>
        </is>
      </c>
      <c r="D255" s="15" t="str">
        <f>IFERROR(INDEX(觀察名單!$AA$2:$AA$533,MATCH($B255,觀察名單!$B$2:$B$533,0)),"")</f>
        <v>A</v>
      </c>
      <c r="E255" s="15" t="inlineStr">
        <is>
          <t>https://www.tradingview.com/chart/Q1c5VWwD/?symbol=kgc</t>
        </is>
      </c>
    </row>
    <row r="256">
      <c r="A256" s="15" t="n">
        <v>255</v>
      </c>
      <c r="B256" s="34" t="inlineStr">
        <is>
          <t>KHC</t>
        </is>
      </c>
      <c r="C256" s="15" t="inlineStr">
        <is>
          <t>The Kraft Heinz Company</t>
        </is>
      </c>
      <c r="D256" s="15" t="str">
        <f>IFERROR(INDEX(觀察名單!$AA$2:$AA$533,MATCH($B256,觀察名單!$B$2:$B$533,0)),"")</f>
        <v>A</v>
      </c>
      <c r="E256" s="15" t="inlineStr">
        <is>
          <t>https://www.tradingview.com/chart/Q1c5VWwD/?symbol=khc</t>
        </is>
      </c>
    </row>
    <row r="257">
      <c r="A257" s="15" t="n">
        <v>256</v>
      </c>
      <c r="B257" s="34" t="inlineStr">
        <is>
          <t>KIM</t>
        </is>
      </c>
      <c r="C257" s="15" t="inlineStr">
        <is>
          <t>Kimco Realty Corporation</t>
        </is>
      </c>
      <c r="D257" s="15" t="str">
        <f>IFERROR(INDEX(觀察名單!$AA$2:$AA$533,MATCH($B257,觀察名單!$B$2:$B$533,0)),"")</f>
        <v>A</v>
      </c>
      <c r="E257" s="15" t="inlineStr">
        <is>
          <t>https://www.tradingview.com/chart/Q1c5VWwD/?symbol=kim</t>
        </is>
      </c>
    </row>
    <row r="258">
      <c r="A258" s="15" t="n">
        <v>257</v>
      </c>
      <c r="B258" s="34" t="inlineStr">
        <is>
          <t>KKR</t>
        </is>
      </c>
      <c r="C258" s="15" t="inlineStr">
        <is>
          <t>KKR &amp; Co. Inc.</t>
        </is>
      </c>
      <c r="D258" s="15" t="str">
        <f>IFERROR(INDEX(觀察名單!$AA$2:$AA$533,MATCH($B258,觀察名單!$B$2:$B$533,0)),"")</f>
        <v>A</v>
      </c>
      <c r="E258" s="15" t="inlineStr">
        <is>
          <t>https://www.tradingview.com/chart/Q1c5VWwD/?symbol=kkr</t>
        </is>
      </c>
    </row>
    <row r="259">
      <c r="A259" s="15" t="n">
        <v>258</v>
      </c>
      <c r="B259" s="34" t="inlineStr">
        <is>
          <t>KLAC</t>
        </is>
      </c>
      <c r="C259" s="15" t="inlineStr">
        <is>
          <t>KLA Corporation</t>
        </is>
      </c>
      <c r="D259" s="15" t="str">
        <f>IFERROR(INDEX(觀察名單!$AA$2:$AA$533,MATCH($B259,觀察名單!$B$2:$B$533,0)),"")</f>
        <v>A</v>
      </c>
      <c r="E259" s="15" t="inlineStr">
        <is>
          <t>https://www.tradingview.com/chart/Q1c5VWwD/?symbol=klac</t>
        </is>
      </c>
    </row>
    <row r="260">
      <c r="A260" s="15" t="n">
        <v>259</v>
      </c>
      <c r="B260" s="34" t="inlineStr">
        <is>
          <t>KMB</t>
        </is>
      </c>
      <c r="C260" s="15" t="inlineStr">
        <is>
          <t>Kimberly-Clark Corporation</t>
        </is>
      </c>
      <c r="D260" s="15" t="str">
        <f>IFERROR(INDEX(觀察名單!$AA$2:$AA$533,MATCH($B260,觀察名單!$B$2:$B$533,0)),"")</f>
        <v>A</v>
      </c>
      <c r="E260" s="15" t="inlineStr">
        <is>
          <t>https://www.tradingview.com/chart/Q1c5VWwD/?symbol=kmb</t>
        </is>
      </c>
    </row>
    <row r="261">
      <c r="A261" s="15" t="n">
        <v>260</v>
      </c>
      <c r="B261" s="34" t="inlineStr">
        <is>
          <t>KMI</t>
        </is>
      </c>
      <c r="C261" s="15" t="inlineStr">
        <is>
          <t>Kinder Morgan, Inc.</t>
        </is>
      </c>
      <c r="D261" s="15" t="str">
        <f>IFERROR(INDEX(觀察名單!$AA$2:$AA$533,MATCH($B261,觀察名單!$B$2:$B$533,0)),"")</f>
        <v>A</v>
      </c>
      <c r="E261" s="15" t="inlineStr">
        <is>
          <t>https://www.tradingview.com/chart/Q1c5VWwD/?symbol=kmi</t>
        </is>
      </c>
    </row>
    <row r="262">
      <c r="A262" s="15" t="n">
        <v>261</v>
      </c>
      <c r="B262" s="34" t="inlineStr">
        <is>
          <t>KO</t>
        </is>
      </c>
      <c r="C262" s="15" t="inlineStr">
        <is>
          <t>The Coca-Cola Company</t>
        </is>
      </c>
      <c r="D262" s="15" t="str">
        <f>IFERROR(INDEX(觀察名單!$AA$2:$AA$533,MATCH($B262,觀察名單!$B$2:$B$533,0)),"")</f>
        <v>A</v>
      </c>
      <c r="E262" s="15" t="inlineStr">
        <is>
          <t>https://www.tradingview.com/chart/Q1c5VWwD/?symbol=ko</t>
        </is>
      </c>
    </row>
    <row r="263">
      <c r="A263" s="15" t="n">
        <v>262</v>
      </c>
      <c r="B263" s="34" t="inlineStr">
        <is>
          <t>KR</t>
        </is>
      </c>
      <c r="C263" s="15" t="inlineStr">
        <is>
          <t>The Kroger Co.</t>
        </is>
      </c>
      <c r="D263" s="15" t="str">
        <f>IFERROR(INDEX(觀察名單!$AA$2:$AA$533,MATCH($B263,觀察名單!$B$2:$B$533,0)),"")</f>
        <v>B</v>
      </c>
      <c r="E263" s="15" t="inlineStr">
        <is>
          <t>https://www.tradingview.com/chart/Q1c5VWwD/?symbol=kr</t>
        </is>
      </c>
    </row>
    <row r="264">
      <c r="A264" s="15" t="n">
        <v>263</v>
      </c>
      <c r="B264" s="34" t="inlineStr">
        <is>
          <t>KTOS</t>
        </is>
      </c>
      <c r="C264" s="15" t="inlineStr">
        <is>
          <t>Kratos Defense &amp; Security Solutions, Inc.</t>
        </is>
      </c>
      <c r="D264" s="15" t="str">
        <f>IFERROR(INDEX(觀察名單!$AA$2:$AA$533,MATCH($B264,觀察名單!$B$2:$B$533,0)),"")</f>
        <v>D</v>
      </c>
      <c r="E264" s="15" t="inlineStr">
        <is>
          <t>https://www.tradingview.com/chart/Q1c5VWwD/?symbol=ktos</t>
        </is>
      </c>
    </row>
    <row r="265">
      <c r="A265" s="15" t="n">
        <v>264</v>
      </c>
      <c r="B265" s="34" t="inlineStr">
        <is>
          <t>LAMR</t>
        </is>
      </c>
      <c r="C265" s="15" t="inlineStr">
        <is>
          <t>Lamar Advertising Company</t>
        </is>
      </c>
      <c r="D265" s="15" t="str">
        <f>IFERROR(INDEX(觀察名單!$AA$2:$AA$533,MATCH($B265,觀察名單!$B$2:$B$533,0)),"")</f>
        <v>A</v>
      </c>
      <c r="E265" s="15" t="inlineStr">
        <is>
          <t>https://www.tradingview.com/chart/Q1c5VWwD/?symbol=lamr</t>
        </is>
      </c>
    </row>
    <row r="266">
      <c r="A266" s="15" t="n">
        <v>265</v>
      </c>
      <c r="B266" s="34" t="inlineStr">
        <is>
          <t>LASR</t>
        </is>
      </c>
      <c r="C266" s="15" t="inlineStr">
        <is>
          <t>nLIGHT, Inc.</t>
        </is>
      </c>
      <c r="D266" s="15" t="str">
        <f>IFERROR(INDEX(觀察名單!$AA$2:$AA$533,MATCH($B266,觀察名單!$B$2:$B$533,0)),"")</f>
        <v>C</v>
      </c>
      <c r="E266" s="15" t="inlineStr">
        <is>
          <t>https://www.tradingview.com/chart/Q1c5VWwD/?symbol=lasr</t>
        </is>
      </c>
    </row>
    <row r="267">
      <c r="A267" s="15" t="n">
        <v>266</v>
      </c>
      <c r="B267" s="34" t="inlineStr">
        <is>
          <t>LAZ</t>
        </is>
      </c>
      <c r="C267" s="15" t="inlineStr">
        <is>
          <t>Lazard, Inc.</t>
        </is>
      </c>
      <c r="D267" s="15" t="str">
        <f>IFERROR(INDEX(觀察名單!$AA$2:$AA$533,MATCH($B267,觀察名單!$B$2:$B$533,0)),"")</f>
        <v>—</v>
      </c>
      <c r="E267" s="15" t="inlineStr">
        <is>
          <t>https://www.tradingview.com/chart/Q1c5VWwD/?symbol=laz</t>
        </is>
      </c>
    </row>
    <row r="268">
      <c r="A268" s="15" t="n">
        <v>267</v>
      </c>
      <c r="B268" s="34" t="inlineStr">
        <is>
          <t>LCID</t>
        </is>
      </c>
      <c r="C268" s="15" t="inlineStr">
        <is>
          <t>Lucid Group, Inc.</t>
        </is>
      </c>
      <c r="D268" s="15" t="str">
        <f>IFERROR(INDEX(觀察名單!$AA$2:$AA$533,MATCH($B268,觀察名單!$B$2:$B$533,0)),"")</f>
        <v>D</v>
      </c>
      <c r="E268" s="15" t="inlineStr">
        <is>
          <t>https://www.tradingview.com/chart/Q1c5VWwD/?symbol=lcid</t>
        </is>
      </c>
    </row>
    <row r="269">
      <c r="A269" s="15" t="n">
        <v>268</v>
      </c>
      <c r="B269" s="34" t="inlineStr">
        <is>
          <t>LEA</t>
        </is>
      </c>
      <c r="C269" s="15" t="inlineStr">
        <is>
          <t>Lear Corporation</t>
        </is>
      </c>
      <c r="D269" s="15" t="str">
        <f>IFERROR(INDEX(觀察名單!$AA$2:$AA$533,MATCH($B269,觀察名單!$B$2:$B$533,0)),"")</f>
        <v>A</v>
      </c>
      <c r="E269" s="15" t="inlineStr">
        <is>
          <t>https://www.tradingview.com/chart/Q1c5VWwD/?symbol=lea</t>
        </is>
      </c>
    </row>
    <row r="270">
      <c r="A270" s="15" t="n">
        <v>269</v>
      </c>
      <c r="B270" s="34" t="inlineStr">
        <is>
          <t>LEGN</t>
        </is>
      </c>
      <c r="C270" s="15" t="inlineStr">
        <is>
          <t>Legend Biotech Corporation</t>
        </is>
      </c>
      <c r="D270" s="15" t="str">
        <f>IFERROR(INDEX(觀察名單!$AA$2:$AA$533,MATCH($B270,觀察名單!$B$2:$B$533,0)),"")</f>
        <v>B</v>
      </c>
      <c r="E270" s="15" t="inlineStr">
        <is>
          <t>https://www.tradingview.com/chart/Q1c5VWwD/?symbol=legn</t>
        </is>
      </c>
    </row>
    <row r="271">
      <c r="A271" s="15" t="n">
        <v>270</v>
      </c>
      <c r="B271" s="34" t="inlineStr">
        <is>
          <t>LEN</t>
        </is>
      </c>
      <c r="C271" s="15" t="inlineStr">
        <is>
          <t>Lennar Corporation</t>
        </is>
      </c>
      <c r="D271" s="15" t="str">
        <f>IFERROR(INDEX(觀察名單!$AA$2:$AA$533,MATCH($B271,觀察名單!$B$2:$B$533,0)),"")</f>
        <v>A</v>
      </c>
      <c r="E271" s="15" t="inlineStr">
        <is>
          <t>https://www.tradingview.com/chart/Q1c5VWwD/?symbol=len</t>
        </is>
      </c>
    </row>
    <row r="272">
      <c r="A272" s="15" t="n">
        <v>271</v>
      </c>
      <c r="B272" s="34" t="inlineStr">
        <is>
          <t>LEU</t>
        </is>
      </c>
      <c r="C272" s="15" t="inlineStr">
        <is>
          <t>Centrus Energy Corp.</t>
        </is>
      </c>
      <c r="D272" s="15" t="str">
        <f>IFERROR(INDEX(觀察名單!$AA$2:$AA$533,MATCH($B272,觀察名單!$B$2:$B$533,0)),"")</f>
        <v>B</v>
      </c>
      <c r="E272" s="15" t="inlineStr">
        <is>
          <t>https://www.tradingview.com/chart/Q1c5VWwD/?symbol=leu</t>
        </is>
      </c>
    </row>
    <row r="273">
      <c r="A273" s="15" t="n">
        <v>272</v>
      </c>
      <c r="B273" s="34" t="inlineStr">
        <is>
          <t>LHX</t>
        </is>
      </c>
      <c r="C273" s="15" t="inlineStr">
        <is>
          <t>L3Harris Technologies, Inc.</t>
        </is>
      </c>
      <c r="D273" s="15" t="str">
        <f>IFERROR(INDEX(觀察名單!$AA$2:$AA$533,MATCH($B273,觀察名單!$B$2:$B$533,0)),"")</f>
        <v>A</v>
      </c>
      <c r="E273" s="15" t="inlineStr">
        <is>
          <t>https://www.tradingview.com/chart/Q1c5VWwD/?symbol=lhx</t>
        </is>
      </c>
    </row>
    <row r="274">
      <c r="A274" s="15" t="n">
        <v>273</v>
      </c>
      <c r="B274" s="34" t="inlineStr">
        <is>
          <t>LII</t>
        </is>
      </c>
      <c r="C274" s="15" t="inlineStr">
        <is>
          <t>Lennox International Inc.</t>
        </is>
      </c>
      <c r="D274" s="15" t="str">
        <f>IFERROR(INDEX(觀察名單!$AA$2:$AA$533,MATCH($B274,觀察名單!$B$2:$B$533,0)),"")</f>
        <v>A</v>
      </c>
      <c r="E274" s="15" t="inlineStr">
        <is>
          <t>https://www.tradingview.com/chart/Q1c5VWwD/?symbol=lii</t>
        </is>
      </c>
    </row>
    <row r="275">
      <c r="A275" s="15" t="n">
        <v>274</v>
      </c>
      <c r="B275" s="34" t="inlineStr">
        <is>
          <t>LIN</t>
        </is>
      </c>
      <c r="C275" s="15" t="inlineStr">
        <is>
          <t>Linde plc</t>
        </is>
      </c>
      <c r="D275" s="15" t="str">
        <f>IFERROR(INDEX(觀察名單!$AA$2:$AA$533,MATCH($B275,觀察名單!$B$2:$B$533,0)),"")</f>
        <v>A</v>
      </c>
      <c r="E275" s="15" t="inlineStr">
        <is>
          <t>https://www.tradingview.com/chart/Q1c5VWwD/?symbol=lin</t>
        </is>
      </c>
    </row>
    <row r="276">
      <c r="A276" s="15" t="n">
        <v>275</v>
      </c>
      <c r="B276" s="34" t="inlineStr">
        <is>
          <t>LITE</t>
        </is>
      </c>
      <c r="C276" s="15" t="inlineStr">
        <is>
          <t>Lumentum Holdings Inc.</t>
        </is>
      </c>
      <c r="D276" s="15" t="str">
        <f>IFERROR(INDEX(觀察名單!$AA$2:$AA$533,MATCH($B276,觀察名單!$B$2:$B$533,0)),"")</f>
        <v>A</v>
      </c>
      <c r="E276" s="15" t="inlineStr">
        <is>
          <t>https://www.tradingview.com/chart/Q1c5VWwD/?symbol=lite</t>
        </is>
      </c>
    </row>
    <row r="277">
      <c r="A277" s="15" t="n">
        <v>276</v>
      </c>
      <c r="B277" s="34" t="inlineStr">
        <is>
          <t>LLY</t>
        </is>
      </c>
      <c r="C277" s="15" t="inlineStr">
        <is>
          <t>Eli Lilly and Company</t>
        </is>
      </c>
      <c r="D277" s="15" t="str">
        <f>IFERROR(INDEX(觀察名單!$AA$2:$AA$533,MATCH($B277,觀察名單!$B$2:$B$533,0)),"")</f>
        <v>A</v>
      </c>
      <c r="E277" s="15" t="inlineStr">
        <is>
          <t>https://www.tradingview.com/chart/Q1c5VWwD/?symbol=lly</t>
        </is>
      </c>
    </row>
    <row r="278">
      <c r="A278" s="15" t="n">
        <v>277</v>
      </c>
      <c r="B278" s="34" t="inlineStr">
        <is>
          <t>LMT</t>
        </is>
      </c>
      <c r="C278" s="15" t="inlineStr">
        <is>
          <t>Lockheed Martin Corporation</t>
        </is>
      </c>
      <c r="D278" s="15" t="str">
        <f>IFERROR(INDEX(觀察名單!$AA$2:$AA$533,MATCH($B278,觀察名單!$B$2:$B$533,0)),"")</f>
        <v>A</v>
      </c>
      <c r="E278" s="15" t="inlineStr">
        <is>
          <t>https://www.tradingview.com/chart/Q1c5VWwD/?symbol=lmt</t>
        </is>
      </c>
    </row>
    <row r="279">
      <c r="A279" s="15" t="n">
        <v>278</v>
      </c>
      <c r="B279" s="34" t="inlineStr">
        <is>
          <t>LNC</t>
        </is>
      </c>
      <c r="C279" s="15" t="inlineStr">
        <is>
          <t>Lincoln National Corporation</t>
        </is>
      </c>
      <c r="D279" s="15" t="str">
        <f>IFERROR(INDEX(觀察名單!$AA$2:$AA$533,MATCH($B279,觀察名單!$B$2:$B$533,0)),"")</f>
        <v>B</v>
      </c>
      <c r="E279" s="15" t="inlineStr">
        <is>
          <t>https://www.tradingview.com/chart/Q1c5VWwD/?symbol=lnc</t>
        </is>
      </c>
    </row>
    <row r="280">
      <c r="A280" s="15" t="n">
        <v>279</v>
      </c>
      <c r="B280" s="34" t="inlineStr">
        <is>
          <t>LNG</t>
        </is>
      </c>
      <c r="C280" s="15" t="inlineStr">
        <is>
          <t>Cheniere Energy, Inc.</t>
        </is>
      </c>
      <c r="D280" s="15" t="str">
        <f>IFERROR(INDEX(觀察名單!$AA$2:$AA$533,MATCH($B280,觀察名單!$B$2:$B$533,0)),"")</f>
        <v>B</v>
      </c>
      <c r="E280" s="15" t="inlineStr">
        <is>
          <t>https://www.tradingview.com/chart/Q1c5VWwD/?symbol=lng</t>
        </is>
      </c>
    </row>
    <row r="281">
      <c r="A281" s="15" t="n">
        <v>280</v>
      </c>
      <c r="B281" s="34" t="inlineStr">
        <is>
          <t>LOW</t>
        </is>
      </c>
      <c r="C281" s="15" t="inlineStr">
        <is>
          <t>Lowe's Companies, Inc.</t>
        </is>
      </c>
      <c r="D281" s="15" t="str">
        <f>IFERROR(INDEX(觀察名單!$AA$2:$AA$533,MATCH($B281,觀察名單!$B$2:$B$533,0)),"")</f>
        <v>A</v>
      </c>
      <c r="E281" s="15" t="inlineStr">
        <is>
          <t>https://www.tradingview.com/chart/Q1c5VWwD/?symbol=low</t>
        </is>
      </c>
    </row>
    <row r="282">
      <c r="A282" s="15" t="n">
        <v>281</v>
      </c>
      <c r="B282" s="34" t="inlineStr">
        <is>
          <t>LPTH</t>
        </is>
      </c>
      <c r="C282" s="15" t="inlineStr">
        <is>
          <t>LightPath Technologies, Inc.</t>
        </is>
      </c>
      <c r="D282" s="15" t="str">
        <f>IFERROR(INDEX(觀察名單!$AA$2:$AA$533,MATCH($B282,觀察名單!$B$2:$B$533,0)),"")</f>
        <v>C</v>
      </c>
      <c r="E282" s="15" t="inlineStr">
        <is>
          <t>https://www.tradingview.com/chart/Q1c5VWwD/?symbol=lpth</t>
        </is>
      </c>
    </row>
    <row r="283">
      <c r="A283" s="15" t="n">
        <v>282</v>
      </c>
      <c r="B283" s="34" t="inlineStr">
        <is>
          <t>LRCX</t>
        </is>
      </c>
      <c r="C283" s="15" t="inlineStr">
        <is>
          <t>Lam Research Corporation</t>
        </is>
      </c>
      <c r="D283" s="15" t="str">
        <f>IFERROR(INDEX(觀察名單!$AA$2:$AA$533,MATCH($B283,觀察名單!$B$2:$B$533,0)),"")</f>
        <v>A</v>
      </c>
      <c r="E283" s="15" t="inlineStr">
        <is>
          <t>https://www.tradingview.com/chart/Q1c5VWwD/?symbol=lrcx</t>
        </is>
      </c>
    </row>
    <row r="284">
      <c r="A284" s="15" t="n">
        <v>283</v>
      </c>
      <c r="B284" s="34" t="inlineStr">
        <is>
          <t>LRN</t>
        </is>
      </c>
      <c r="C284" s="15" t="inlineStr">
        <is>
          <t>Stride, Inc.</t>
        </is>
      </c>
      <c r="D284" s="15" t="str">
        <f>IFERROR(INDEX(觀察名單!$AA$2:$AA$533,MATCH($B284,觀察名單!$B$2:$B$533,0)),"")</f>
        <v>A</v>
      </c>
      <c r="E284" s="15" t="inlineStr">
        <is>
          <t>https://www.tradingview.com/chart/Q1c5VWwD/?symbol=lrn</t>
        </is>
      </c>
    </row>
    <row r="285">
      <c r="A285" s="15" t="n">
        <v>284</v>
      </c>
      <c r="B285" s="34" t="inlineStr">
        <is>
          <t>LULU</t>
        </is>
      </c>
      <c r="C285" s="15" t="inlineStr">
        <is>
          <t>lululemon athletica inc.</t>
        </is>
      </c>
      <c r="D285" s="15" t="str">
        <f>IFERROR(INDEX(觀察名單!$AA$2:$AA$533,MATCH($B285,觀察名單!$B$2:$B$533,0)),"")</f>
        <v>A</v>
      </c>
      <c r="E285" s="15" t="inlineStr">
        <is>
          <t>https://www.tradingview.com/chart/Q1c5VWwD/?symbol=lulu</t>
        </is>
      </c>
    </row>
    <row r="286">
      <c r="A286" s="15" t="n">
        <v>285</v>
      </c>
      <c r="B286" s="34" t="inlineStr">
        <is>
          <t>LUNR</t>
        </is>
      </c>
      <c r="C286" s="15" t="inlineStr">
        <is>
          <t>Intuitive Machines, Inc.</t>
        </is>
      </c>
      <c r="D286" s="15" t="str">
        <f>IFERROR(INDEX(觀察名單!$AA$2:$AA$533,MATCH($B286,觀察名單!$B$2:$B$533,0)),"")</f>
        <v>D</v>
      </c>
      <c r="E286" s="15" t="inlineStr">
        <is>
          <t>https://www.tradingview.com/chart/Q1c5VWwD/?symbol=lunr</t>
        </is>
      </c>
    </row>
    <row r="287">
      <c r="A287" s="15" t="n">
        <v>286</v>
      </c>
      <c r="B287" s="34" t="inlineStr">
        <is>
          <t>LUV</t>
        </is>
      </c>
      <c r="C287" s="15" t="inlineStr">
        <is>
          <t>Southwest Airlines Co.</t>
        </is>
      </c>
      <c r="D287" s="15" t="str">
        <f>IFERROR(INDEX(觀察名單!$AA$2:$AA$533,MATCH($B287,觀察名單!$B$2:$B$533,0)),"")</f>
        <v>A</v>
      </c>
      <c r="E287" s="15" t="inlineStr">
        <is>
          <t>https://www.tradingview.com/chart/Q1c5VWwD/?symbol=luv</t>
        </is>
      </c>
    </row>
    <row r="288">
      <c r="A288" s="15" t="n">
        <v>287</v>
      </c>
      <c r="B288" s="34" t="inlineStr">
        <is>
          <t>LVS</t>
        </is>
      </c>
      <c r="C288" s="15" t="inlineStr">
        <is>
          <t>Las Vegas Sands Corp.</t>
        </is>
      </c>
      <c r="D288" s="15" t="str">
        <f>IFERROR(INDEX(觀察名單!$AA$2:$AA$533,MATCH($B288,觀察名單!$B$2:$B$533,0)),"")</f>
        <v>A</v>
      </c>
      <c r="E288" s="15" t="inlineStr">
        <is>
          <t>https://www.tradingview.com/chart/Q1c5VWwD/?symbol=lvs</t>
        </is>
      </c>
    </row>
    <row r="289">
      <c r="A289" s="15" t="n">
        <v>288</v>
      </c>
      <c r="B289" s="34" t="inlineStr">
        <is>
          <t>LWLG</t>
        </is>
      </c>
      <c r="C289" s="15" t="inlineStr">
        <is>
          <t>Lightwave Logic, Inc.</t>
        </is>
      </c>
      <c r="D289" s="15" t="str">
        <f>IFERROR(INDEX(觀察名單!$AA$2:$AA$533,MATCH($B289,觀察名單!$B$2:$B$533,0)),"")</f>
        <v>D</v>
      </c>
      <c r="E289" s="15" t="inlineStr">
        <is>
          <t>https://www.tradingview.com/chart/Q1c5VWwD/?symbol=lwlg</t>
        </is>
      </c>
    </row>
    <row r="290">
      <c r="A290" s="15" t="n">
        <v>289</v>
      </c>
      <c r="B290" s="34" t="inlineStr">
        <is>
          <t>LYB</t>
        </is>
      </c>
      <c r="C290" s="15" t="inlineStr">
        <is>
          <t>LyondellBasell Industries N.V.</t>
        </is>
      </c>
      <c r="D290" s="15" t="str">
        <f>IFERROR(INDEX(觀察名單!$AA$2:$AA$533,MATCH($B290,觀察名單!$B$2:$B$533,0)),"")</f>
        <v>B</v>
      </c>
      <c r="E290" s="15" t="inlineStr">
        <is>
          <t>https://www.tradingview.com/chart/Q1c5VWwD/?symbol=lyb</t>
        </is>
      </c>
    </row>
    <row r="291">
      <c r="A291" s="15" t="n">
        <v>290</v>
      </c>
      <c r="B291" s="34" t="inlineStr">
        <is>
          <t>LYV</t>
        </is>
      </c>
      <c r="C291" s="15" t="inlineStr">
        <is>
          <t>Live Nation Entertainment, Inc.</t>
        </is>
      </c>
      <c r="D291" s="15" t="str">
        <f>IFERROR(INDEX(觀察名單!$AA$2:$AA$533,MATCH($B291,觀察名單!$B$2:$B$533,0)),"")</f>
        <v>B</v>
      </c>
      <c r="E291" s="15" t="inlineStr">
        <is>
          <t>https://www.tradingview.com/chart/Q1c5VWwD/?symbol=lyv</t>
        </is>
      </c>
    </row>
    <row r="292">
      <c r="A292" s="15" t="n">
        <v>291</v>
      </c>
      <c r="B292" s="34" t="inlineStr">
        <is>
          <t>MA</t>
        </is>
      </c>
      <c r="C292" s="15" t="inlineStr">
        <is>
          <t>Mastercard Incorporated</t>
        </is>
      </c>
      <c r="D292" s="15" t="str">
        <f>IFERROR(INDEX(觀察名單!$AA$2:$AA$533,MATCH($B292,觀察名單!$B$2:$B$533,0)),"")</f>
        <v>A</v>
      </c>
      <c r="E292" s="15" t="inlineStr">
        <is>
          <t>https://www.tradingview.com/chart/Q1c5VWwD/?symbol=ma</t>
        </is>
      </c>
    </row>
    <row r="293">
      <c r="A293" s="15" t="n">
        <v>292</v>
      </c>
      <c r="B293" s="34" t="inlineStr">
        <is>
          <t>MAA</t>
        </is>
      </c>
      <c r="C293" s="15" t="inlineStr">
        <is>
          <t>Mid-America Apartment Communities, Inc.</t>
        </is>
      </c>
      <c r="D293" s="15" t="str">
        <f>IFERROR(INDEX(觀察名單!$AA$2:$AA$533,MATCH($B293,觀察名單!$B$2:$B$533,0)),"")</f>
        <v>A</v>
      </c>
      <c r="E293" s="15" t="inlineStr">
        <is>
          <t>https://www.tradingview.com/chart/Q1c5VWwD/?symbol=maa</t>
        </is>
      </c>
    </row>
    <row r="294">
      <c r="A294" s="15" t="n">
        <v>293</v>
      </c>
      <c r="B294" s="34" t="inlineStr">
        <is>
          <t>MAN</t>
        </is>
      </c>
      <c r="C294" s="15" t="inlineStr">
        <is>
          <t>ManpowerGroup Inc.</t>
        </is>
      </c>
      <c r="D294" s="15" t="str">
        <f>IFERROR(INDEX(觀察名單!$AA$2:$AA$533,MATCH($B294,觀察名單!$B$2:$B$533,0)),"")</f>
        <v>A</v>
      </c>
      <c r="E294" s="15" t="inlineStr">
        <is>
          <t>https://www.tradingview.com/chart/Q1c5VWwD/?symbol=man</t>
        </is>
      </c>
    </row>
    <row r="295">
      <c r="A295" s="15" t="n">
        <v>294</v>
      </c>
      <c r="B295" s="34" t="inlineStr">
        <is>
          <t>MAR</t>
        </is>
      </c>
      <c r="C295" s="15" t="inlineStr">
        <is>
          <t>Marriott International, Inc.</t>
        </is>
      </c>
      <c r="D295" s="15" t="str">
        <f>IFERROR(INDEX(觀察名單!$AA$2:$AA$533,MATCH($B295,觀察名單!$B$2:$B$533,0)),"")</f>
        <v>A</v>
      </c>
      <c r="E295" s="15" t="inlineStr">
        <is>
          <t>https://www.tradingview.com/chart/Q1c5VWwD/?symbol=mar</t>
        </is>
      </c>
    </row>
    <row r="296">
      <c r="A296" s="15" t="n">
        <v>295</v>
      </c>
      <c r="B296" s="34" t="inlineStr">
        <is>
          <t>MARA</t>
        </is>
      </c>
      <c r="C296" s="15" t="inlineStr">
        <is>
          <t>MARA Holdings, Inc.</t>
        </is>
      </c>
      <c r="D296" s="15" t="str">
        <f>IFERROR(INDEX(觀察名單!$AA$2:$AA$533,MATCH($B296,觀察名單!$B$2:$B$533,0)),"")</f>
        <v>D</v>
      </c>
      <c r="E296" s="15" t="inlineStr">
        <is>
          <t>https://www.tradingview.com/chart/Q1c5VWwD/?symbol=mara</t>
        </is>
      </c>
    </row>
    <row r="297">
      <c r="A297" s="15" t="n">
        <v>296</v>
      </c>
      <c r="B297" s="34" t="inlineStr">
        <is>
          <t>MCD</t>
        </is>
      </c>
      <c r="C297" s="15" t="inlineStr">
        <is>
          <t>McDonald's Corporation</t>
        </is>
      </c>
      <c r="D297" s="15" t="str">
        <f>IFERROR(INDEX(觀察名單!$AA$2:$AA$533,MATCH($B297,觀察名單!$B$2:$B$533,0)),"")</f>
        <v>A</v>
      </c>
      <c r="E297" s="15" t="inlineStr">
        <is>
          <t>https://www.tradingview.com/chart/Q1c5VWwD/?symbol=mcd</t>
        </is>
      </c>
    </row>
    <row r="298">
      <c r="A298" s="15" t="n">
        <v>297</v>
      </c>
      <c r="B298" s="34" t="inlineStr">
        <is>
          <t>MCK</t>
        </is>
      </c>
      <c r="C298" s="15" t="inlineStr">
        <is>
          <t>McKesson Corporation</t>
        </is>
      </c>
      <c r="D298" s="15" t="str">
        <f>IFERROR(INDEX(觀察名單!$AA$2:$AA$533,MATCH($B298,觀察名單!$B$2:$B$533,0)),"")</f>
        <v>A</v>
      </c>
      <c r="E298" s="15" t="inlineStr">
        <is>
          <t>https://www.tradingview.com/chart/Q1c5VWwD/?symbol=mck</t>
        </is>
      </c>
    </row>
    <row r="299">
      <c r="A299" s="15" t="n">
        <v>298</v>
      </c>
      <c r="B299" s="34" t="inlineStr">
        <is>
          <t>MDB</t>
        </is>
      </c>
      <c r="C299" s="15" t="inlineStr">
        <is>
          <t>MongoDB, Inc.</t>
        </is>
      </c>
      <c r="D299" s="15" t="str">
        <f>IFERROR(INDEX(觀察名單!$AA$2:$AA$533,MATCH($B299,觀察名單!$B$2:$B$533,0)),"")</f>
        <v>B</v>
      </c>
      <c r="E299" s="15" t="inlineStr">
        <is>
          <t>https://www.tradingview.com/chart/Q1c5VWwD/?symbol=mdb</t>
        </is>
      </c>
    </row>
    <row r="300">
      <c r="A300" s="15" t="n">
        <v>299</v>
      </c>
      <c r="B300" s="34" t="inlineStr">
        <is>
          <t>MDGL</t>
        </is>
      </c>
      <c r="C300" s="15" t="inlineStr">
        <is>
          <t>Madrigal Pharmaceuticals, Inc.</t>
        </is>
      </c>
      <c r="D300" s="15" t="str">
        <f>IFERROR(INDEX(觀察名單!$AA$2:$AA$533,MATCH($B300,觀察名單!$B$2:$B$533,0)),"")</f>
        <v>C</v>
      </c>
      <c r="E300" s="15" t="inlineStr">
        <is>
          <t>https://www.tradingview.com/chart/Q1c5VWwD/?symbol=mdgl</t>
        </is>
      </c>
    </row>
    <row r="301">
      <c r="A301" s="15" t="n">
        <v>300</v>
      </c>
      <c r="B301" s="34" t="inlineStr">
        <is>
          <t>MDT</t>
        </is>
      </c>
      <c r="C301" s="15" t="inlineStr">
        <is>
          <t>Medtronic plc</t>
        </is>
      </c>
      <c r="D301" s="15" t="str">
        <f>IFERROR(INDEX(觀察名單!$AA$2:$AA$533,MATCH($B301,觀察名單!$B$2:$B$533,0)),"")</f>
        <v>A</v>
      </c>
      <c r="E301" s="15" t="inlineStr">
        <is>
          <t>https://www.tradingview.com/chart/Q1c5VWwD/?symbol=mdt</t>
        </is>
      </c>
    </row>
    <row r="302">
      <c r="A302" s="15" t="n">
        <v>301</v>
      </c>
      <c r="B302" s="34" t="inlineStr">
        <is>
          <t>MET</t>
        </is>
      </c>
      <c r="C302" s="15" t="inlineStr">
        <is>
          <t>MetLife, Inc.</t>
        </is>
      </c>
      <c r="D302" s="15" t="str">
        <f>IFERROR(INDEX(觀察名單!$AA$2:$AA$533,MATCH($B302,觀察名單!$B$2:$B$533,0)),"")</f>
        <v>A</v>
      </c>
      <c r="E302" s="15" t="inlineStr">
        <is>
          <t>https://www.tradingview.com/chart/Q1c5VWwD/?symbol=met</t>
        </is>
      </c>
    </row>
    <row r="303">
      <c r="A303" s="15" t="n">
        <v>302</v>
      </c>
      <c r="B303" s="34" t="inlineStr">
        <is>
          <t>META</t>
        </is>
      </c>
      <c r="C303" s="15" t="inlineStr">
        <is>
          <t>Meta Platforms, Inc.</t>
        </is>
      </c>
      <c r="D303" s="15" t="str">
        <f>IFERROR(INDEX(觀察名單!$AA$2:$AA$533,MATCH($B303,觀察名單!$B$2:$B$533,0)),"")</f>
        <v>A</v>
      </c>
      <c r="E303" s="15" t="inlineStr">
        <is>
          <t>https://www.tradingview.com/chart/Q1c5VWwD/?symbol=meta</t>
        </is>
      </c>
    </row>
    <row r="304">
      <c r="A304" s="15" t="n">
        <v>303</v>
      </c>
      <c r="B304" s="34" t="inlineStr">
        <is>
          <t>METC</t>
        </is>
      </c>
      <c r="C304" s="15" t="inlineStr">
        <is>
          <t>Ramaco Resources, Inc.</t>
        </is>
      </c>
      <c r="D304" s="15" t="str">
        <f>IFERROR(INDEX(觀察名單!$AA$2:$AA$533,MATCH($B304,觀察名單!$B$2:$B$533,0)),"")</f>
        <v>D</v>
      </c>
      <c r="E304" s="15" t="inlineStr">
        <is>
          <t>https://www.tradingview.com/chart/Q1c5VWwD/?symbol=metc</t>
        </is>
      </c>
    </row>
    <row r="305">
      <c r="A305" s="15" t="n">
        <v>304</v>
      </c>
      <c r="B305" s="34" t="inlineStr">
        <is>
          <t>MGA</t>
        </is>
      </c>
      <c r="C305" s="15" t="inlineStr">
        <is>
          <t>Magna International Inc.</t>
        </is>
      </c>
      <c r="D305" s="15" t="str">
        <f>IFERROR(INDEX(觀察名單!$AA$2:$AA$533,MATCH($B305,觀察名單!$B$2:$B$533,0)),"")</f>
        <v>A</v>
      </c>
      <c r="E305" s="15" t="inlineStr">
        <is>
          <t>https://www.tradingview.com/chart/Q1c5VWwD/?symbol=mga</t>
        </is>
      </c>
    </row>
    <row r="306">
      <c r="A306" s="15" t="n">
        <v>305</v>
      </c>
      <c r="B306" s="34" t="inlineStr">
        <is>
          <t>MGM</t>
        </is>
      </c>
      <c r="C306" s="15" t="inlineStr">
        <is>
          <t>MGM Resorts International</t>
        </is>
      </c>
      <c r="D306" s="15" t="str">
        <f>IFERROR(INDEX(觀察名單!$AA$2:$AA$533,MATCH($B306,觀察名單!$B$2:$B$533,0)),"")</f>
        <v>A</v>
      </c>
      <c r="E306" s="15" t="inlineStr">
        <is>
          <t>https://www.tradingview.com/chart/Q1c5VWwD/?symbol=mgm</t>
        </is>
      </c>
    </row>
    <row r="307">
      <c r="A307" s="15" t="n">
        <v>306</v>
      </c>
      <c r="B307" s="34" t="inlineStr">
        <is>
          <t>MHK</t>
        </is>
      </c>
      <c r="C307" s="15" t="inlineStr">
        <is>
          <t>Mohawk Industries, Inc.</t>
        </is>
      </c>
      <c r="D307" s="15" t="str">
        <f>IFERROR(INDEX(觀察名單!$AA$2:$AA$533,MATCH($B307,觀察名單!$B$2:$B$533,0)),"")</f>
        <v>—</v>
      </c>
      <c r="E307" s="15" t="inlineStr">
        <is>
          <t>https://www.tradingview.com/chart/Q1c5VWwD/?symbol=mhk</t>
        </is>
      </c>
    </row>
    <row r="308">
      <c r="A308" s="15" t="n">
        <v>307</v>
      </c>
      <c r="B308" s="34" t="inlineStr">
        <is>
          <t>MLM</t>
        </is>
      </c>
      <c r="C308" s="15" t="inlineStr">
        <is>
          <t>Martin Marietta Materials, Inc.</t>
        </is>
      </c>
      <c r="D308" s="15" t="str">
        <f>IFERROR(INDEX(觀察名單!$AA$2:$AA$533,MATCH($B308,觀察名單!$B$2:$B$533,0)),"")</f>
        <v>A</v>
      </c>
      <c r="E308" s="15" t="inlineStr">
        <is>
          <t>https://www.tradingview.com/chart/Q1c5VWwD/?symbol=mlm</t>
        </is>
      </c>
    </row>
    <row r="309">
      <c r="A309" s="15" t="n">
        <v>308</v>
      </c>
      <c r="B309" s="34" t="inlineStr">
        <is>
          <t>MNST</t>
        </is>
      </c>
      <c r="C309" s="15" t="inlineStr">
        <is>
          <t>Monster Beverage Corporation</t>
        </is>
      </c>
      <c r="D309" s="15" t="str">
        <f>IFERROR(INDEX(觀察名單!$AA$2:$AA$533,MATCH($B309,觀察名單!$B$2:$B$533,0)),"")</f>
        <v>A</v>
      </c>
      <c r="E309" s="15" t="inlineStr">
        <is>
          <t>https://www.tradingview.com/chart/Q1c5VWwD/?symbol=mnst</t>
        </is>
      </c>
    </row>
    <row r="310">
      <c r="A310" s="15" t="n">
        <v>309</v>
      </c>
      <c r="B310" s="34" t="inlineStr">
        <is>
          <t>MO</t>
        </is>
      </c>
      <c r="C310" s="15" t="inlineStr">
        <is>
          <t>Altria Group, Inc.</t>
        </is>
      </c>
      <c r="D310" s="15" t="str">
        <f>IFERROR(INDEX(觀察名單!$AA$2:$AA$533,MATCH($B310,觀察名單!$B$2:$B$533,0)),"")</f>
        <v>A</v>
      </c>
      <c r="E310" s="15" t="inlineStr">
        <is>
          <t>https://www.tradingview.com/chart/Q1c5VWwD/?symbol=mo</t>
        </is>
      </c>
    </row>
    <row r="311">
      <c r="A311" s="15" t="n">
        <v>310</v>
      </c>
      <c r="B311" s="34" t="inlineStr">
        <is>
          <t>MOD</t>
        </is>
      </c>
      <c r="C311" s="15" t="inlineStr">
        <is>
          <t>Modine Manufacturing Company</t>
        </is>
      </c>
      <c r="D311" s="15" t="str">
        <f>IFERROR(INDEX(觀察名單!$AA$2:$AA$533,MATCH($B311,觀察名單!$B$2:$B$533,0)),"")</f>
        <v>A</v>
      </c>
      <c r="E311" s="15" t="inlineStr">
        <is>
          <t>https://www.tradingview.com/chart/Q1c5VWwD/?symbol=mod</t>
        </is>
      </c>
    </row>
    <row r="312">
      <c r="A312" s="15" t="n">
        <v>311</v>
      </c>
      <c r="B312" s="34" t="inlineStr">
        <is>
          <t>MOS</t>
        </is>
      </c>
      <c r="C312" s="15" t="inlineStr">
        <is>
          <t>The Mosaic Company</t>
        </is>
      </c>
      <c r="D312" s="15" t="str">
        <f>IFERROR(INDEX(觀察名單!$AA$2:$AA$533,MATCH($B312,觀察名單!$B$2:$B$533,0)),"")</f>
        <v>D</v>
      </c>
      <c r="E312" s="15" t="inlineStr">
        <is>
          <t>https://www.tradingview.com/chart/Q1c5VWwD/?symbol=mos</t>
        </is>
      </c>
    </row>
    <row r="313">
      <c r="A313" s="15" t="n">
        <v>312</v>
      </c>
      <c r="B313" s="34" t="inlineStr">
        <is>
          <t>MP</t>
        </is>
      </c>
      <c r="C313" s="15" t="inlineStr">
        <is>
          <t>MP Materials Corp.</t>
        </is>
      </c>
      <c r="D313" s="15" t="str">
        <f>IFERROR(INDEX(觀察名單!$AA$2:$AA$533,MATCH($B313,觀察名單!$B$2:$B$533,0)),"")</f>
        <v>C</v>
      </c>
      <c r="E313" s="15" t="inlineStr">
        <is>
          <t>https://www.tradingview.com/chart/Q1c5VWwD/?symbol=mp</t>
        </is>
      </c>
    </row>
    <row r="314">
      <c r="A314" s="15" t="n">
        <v>313</v>
      </c>
      <c r="B314" s="34" t="inlineStr">
        <is>
          <t>MPC</t>
        </is>
      </c>
      <c r="C314" s="15" t="inlineStr">
        <is>
          <t>Marathon Petroleum Corporation</t>
        </is>
      </c>
      <c r="D314" s="15" t="str">
        <f>IFERROR(INDEX(觀察名單!$AA$2:$AA$533,MATCH($B314,觀察名單!$B$2:$B$533,0)),"")</f>
        <v>A</v>
      </c>
      <c r="E314" s="15" t="inlineStr">
        <is>
          <t>https://www.tradingview.com/chart/Q1c5VWwD/?symbol=mpc</t>
        </is>
      </c>
    </row>
    <row r="315">
      <c r="A315" s="15" t="n">
        <v>314</v>
      </c>
      <c r="B315" s="34" t="inlineStr">
        <is>
          <t>MPWR</t>
        </is>
      </c>
      <c r="C315" s="15" t="inlineStr">
        <is>
          <t>Monolithic Power Systems, Inc.</t>
        </is>
      </c>
      <c r="D315" s="15" t="str">
        <f>IFERROR(INDEX(觀察名單!$AA$2:$AA$533,MATCH($B315,觀察名單!$B$2:$B$533,0)),"")</f>
        <v>A</v>
      </c>
      <c r="E315" s="15" t="inlineStr">
        <is>
          <t>https://www.tradingview.com/chart/Q1c5VWwD/?symbol=mpwr</t>
        </is>
      </c>
    </row>
    <row r="316">
      <c r="A316" s="15" t="n">
        <v>315</v>
      </c>
      <c r="B316" s="34" t="inlineStr">
        <is>
          <t>MRK</t>
        </is>
      </c>
      <c r="C316" s="15" t="inlineStr">
        <is>
          <t>Merck &amp; Co., Inc.</t>
        </is>
      </c>
      <c r="D316" s="15" t="str">
        <f>IFERROR(INDEX(觀察名單!$AA$2:$AA$533,MATCH($B316,觀察名單!$B$2:$B$533,0)),"")</f>
        <v>D</v>
      </c>
      <c r="E316" s="15" t="inlineStr">
        <is>
          <t>https://www.tradingview.com/chart/Q1c5VWwD/?symbol=mrk</t>
        </is>
      </c>
    </row>
    <row r="317">
      <c r="A317" s="15" t="n">
        <v>316</v>
      </c>
      <c r="B317" s="34" t="inlineStr">
        <is>
          <t>MRVL</t>
        </is>
      </c>
      <c r="C317" s="15" t="inlineStr">
        <is>
          <t>Marvell Technology, Inc.</t>
        </is>
      </c>
      <c r="D317" s="15" t="str">
        <f>IFERROR(INDEX(觀察名單!$AA$2:$AA$533,MATCH($B317,觀察名單!$B$2:$B$533,0)),"")</f>
        <v>A</v>
      </c>
      <c r="E317" s="15" t="inlineStr">
        <is>
          <t>https://www.tradingview.com/chart/Q1c5VWwD/?symbol=mrvl</t>
        </is>
      </c>
    </row>
    <row r="318">
      <c r="A318" s="15" t="n">
        <v>317</v>
      </c>
      <c r="B318" s="34" t="inlineStr">
        <is>
          <t>MS</t>
        </is>
      </c>
      <c r="C318" s="15" t="inlineStr">
        <is>
          <t>Morgan Stanley</t>
        </is>
      </c>
      <c r="D318" s="15" t="str">
        <f>IFERROR(INDEX(觀察名單!$AA$2:$AA$533,MATCH($B318,觀察名單!$B$2:$B$533,0)),"")</f>
        <v>—</v>
      </c>
      <c r="E318" s="15" t="inlineStr">
        <is>
          <t>https://www.tradingview.com/chart/Q1c5VWwD/?symbol=ms</t>
        </is>
      </c>
    </row>
    <row r="319">
      <c r="A319" s="15" t="n">
        <v>318</v>
      </c>
      <c r="B319" s="34" t="inlineStr">
        <is>
          <t>MSFT</t>
        </is>
      </c>
      <c r="C319" s="15" t="inlineStr">
        <is>
          <t>Microsoft Corporation</t>
        </is>
      </c>
      <c r="D319" s="15" t="str">
        <f>IFERROR(INDEX(觀察名單!$AA$2:$AA$533,MATCH($B319,觀察名單!$B$2:$B$533,0)),"")</f>
        <v>A</v>
      </c>
      <c r="E319" s="15" t="inlineStr">
        <is>
          <t>https://www.tradingview.com/chart/Q1c5VWwD/?symbol=msft</t>
        </is>
      </c>
    </row>
    <row r="320">
      <c r="A320" s="15" t="n">
        <v>319</v>
      </c>
      <c r="B320" s="34" t="inlineStr">
        <is>
          <t>MTB</t>
        </is>
      </c>
      <c r="C320" s="15" t="inlineStr">
        <is>
          <t>M&amp;T Bank Corporation</t>
        </is>
      </c>
      <c r="D320" s="15" t="str">
        <f>IFERROR(INDEX(觀察名單!$AA$2:$AA$533,MATCH($B320,觀察名單!$B$2:$B$533,0)),"")</f>
        <v>—</v>
      </c>
      <c r="E320" s="15" t="inlineStr">
        <is>
          <t>https://www.tradingview.com/chart/Q1c5VWwD/?symbol=mtb</t>
        </is>
      </c>
    </row>
    <row r="321">
      <c r="A321" s="15" t="n">
        <v>320</v>
      </c>
      <c r="B321" s="34" t="inlineStr">
        <is>
          <t>MTCH</t>
        </is>
      </c>
      <c r="C321" s="15" t="inlineStr">
        <is>
          <t>Match Group, Inc.</t>
        </is>
      </c>
      <c r="D321" s="15" t="str">
        <f>IFERROR(INDEX(觀察名單!$AA$2:$AA$533,MATCH($B321,觀察名單!$B$2:$B$533,0)),"")</f>
        <v>A</v>
      </c>
      <c r="E321" s="15" t="inlineStr">
        <is>
          <t>https://www.tradingview.com/chart/Q1c5VWwD/?symbol=mtch</t>
        </is>
      </c>
    </row>
    <row r="322">
      <c r="A322" s="15" t="n">
        <v>321</v>
      </c>
      <c r="B322" s="34" t="inlineStr">
        <is>
          <t>MTSI</t>
        </is>
      </c>
      <c r="C322" s="15" t="inlineStr">
        <is>
          <t>MACOM Technology Solutions Holdings, Inc.</t>
        </is>
      </c>
      <c r="D322" s="15" t="str">
        <f>IFERROR(INDEX(觀察名單!$AA$2:$AA$533,MATCH($B322,觀察名單!$B$2:$B$533,0)),"")</f>
        <v>A</v>
      </c>
      <c r="E322" s="15" t="inlineStr">
        <is>
          <t>https://www.tradingview.com/chart/Q1c5VWwD/?symbol=mtsi</t>
        </is>
      </c>
    </row>
    <row r="323">
      <c r="A323" s="15" t="n">
        <v>322</v>
      </c>
      <c r="B323" s="34" t="inlineStr">
        <is>
          <t>MTZ</t>
        </is>
      </c>
      <c r="C323" s="15" t="inlineStr">
        <is>
          <t>MasTec, Inc.</t>
        </is>
      </c>
      <c r="D323" s="15" t="str">
        <f>IFERROR(INDEX(觀察名單!$AA$2:$AA$533,MATCH($B323,觀察名單!$B$2:$B$533,0)),"")</f>
        <v>A</v>
      </c>
      <c r="E323" s="15" t="inlineStr">
        <is>
          <t>https://www.tradingview.com/chart/Q1c5VWwD/?symbol=mtz</t>
        </is>
      </c>
    </row>
    <row r="324">
      <c r="A324" s="15" t="n">
        <v>323</v>
      </c>
      <c r="B324" s="34" t="inlineStr">
        <is>
          <t>MU</t>
        </is>
      </c>
      <c r="C324" s="15" t="inlineStr">
        <is>
          <t>Micron Technology, Inc.</t>
        </is>
      </c>
      <c r="D324" s="15" t="str">
        <f>IFERROR(INDEX(觀察名單!$AA$2:$AA$533,MATCH($B324,觀察名單!$B$2:$B$533,0)),"")</f>
        <v>A</v>
      </c>
      <c r="E324" s="15" t="inlineStr">
        <is>
          <t>https://www.tradingview.com/chart/Q1c5VWwD/?symbol=mu</t>
        </is>
      </c>
    </row>
    <row r="325">
      <c r="A325" s="15" t="n">
        <v>324</v>
      </c>
      <c r="B325" s="34" t="inlineStr">
        <is>
          <t>NB</t>
        </is>
      </c>
      <c r="C325" s="15" t="inlineStr">
        <is>
          <t>NioCorp Developments Ltd.</t>
        </is>
      </c>
      <c r="D325" s="15" t="str">
        <f>IFERROR(INDEX(觀察名單!$AA$2:$AA$533,MATCH($B325,觀察名單!$B$2:$B$533,0)),"")</f>
        <v>D</v>
      </c>
      <c r="E325" s="15" t="inlineStr">
        <is>
          <t>https://www.tradingview.com/chart/Q1c5VWwD/?symbol=nb</t>
        </is>
      </c>
    </row>
    <row r="326">
      <c r="A326" s="15" t="n">
        <v>325</v>
      </c>
      <c r="B326" s="34" t="inlineStr">
        <is>
          <t>NBIS</t>
        </is>
      </c>
      <c r="C326" s="15" t="inlineStr">
        <is>
          <t>—</t>
        </is>
      </c>
      <c r="D326" s="15" t="str">
        <f>IFERROR(INDEX(觀察名單!$AA$2:$AA$533,MATCH($B326,觀察名單!$B$2:$B$533,0)),"")</f>
        <v>D</v>
      </c>
      <c r="E326" s="15" t="inlineStr">
        <is>
          <t>https://www.tradingview.com/chart/Q1c5VWwD/?symbol=nbis</t>
        </is>
      </c>
    </row>
    <row r="327">
      <c r="A327" s="15" t="n">
        <v>326</v>
      </c>
      <c r="B327" s="34" t="inlineStr">
        <is>
          <t>NCLH</t>
        </is>
      </c>
      <c r="C327" s="15" t="inlineStr">
        <is>
          <t>Norwegian Cruise Line Holdings Ltd.</t>
        </is>
      </c>
      <c r="D327" s="15" t="str">
        <f>IFERROR(INDEX(觀察名單!$AA$2:$AA$533,MATCH($B327,觀察名單!$B$2:$B$533,0)),"")</f>
        <v>A</v>
      </c>
      <c r="E327" s="15" t="inlineStr">
        <is>
          <t>https://www.tradingview.com/chart/Q1c5VWwD/?symbol=nclh</t>
        </is>
      </c>
    </row>
    <row r="328">
      <c r="A328" s="15" t="n">
        <v>327</v>
      </c>
      <c r="B328" s="34" t="inlineStr">
        <is>
          <t>NDAQ</t>
        </is>
      </c>
      <c r="C328" s="15" t="inlineStr">
        <is>
          <t>Nasdaq, Inc.</t>
        </is>
      </c>
      <c r="D328" s="15" t="str">
        <f>IFERROR(INDEX(觀察名單!$AA$2:$AA$533,MATCH($B328,觀察名單!$B$2:$B$533,0)),"")</f>
        <v>A</v>
      </c>
      <c r="E328" s="15" t="inlineStr">
        <is>
          <t>https://www.tradingview.com/chart/Q1c5VWwD/?symbol=ndaq</t>
        </is>
      </c>
    </row>
    <row r="329">
      <c r="A329" s="15" t="n">
        <v>328</v>
      </c>
      <c r="B329" s="34" t="inlineStr">
        <is>
          <t>NDSN</t>
        </is>
      </c>
      <c r="C329" s="15" t="inlineStr">
        <is>
          <t>Nordson Corporation</t>
        </is>
      </c>
      <c r="D329" s="15" t="str">
        <f>IFERROR(INDEX(觀察名單!$AA$2:$AA$533,MATCH($B329,觀察名單!$B$2:$B$533,0)),"")</f>
        <v>A</v>
      </c>
      <c r="E329" s="15" t="inlineStr">
        <is>
          <t>https://www.tradingview.com/chart/Q1c5VWwD/?symbol=ndsn</t>
        </is>
      </c>
    </row>
    <row r="330">
      <c r="A330" s="15" t="n">
        <v>329</v>
      </c>
      <c r="B330" s="34" t="inlineStr">
        <is>
          <t>NE</t>
        </is>
      </c>
      <c r="C330" s="15" t="inlineStr">
        <is>
          <t>Noble Corporation plc</t>
        </is>
      </c>
      <c r="D330" s="15" t="str">
        <f>IFERROR(INDEX(觀察名單!$AA$2:$AA$533,MATCH($B330,觀察名單!$B$2:$B$533,0)),"")</f>
        <v>A</v>
      </c>
      <c r="E330" s="15" t="inlineStr">
        <is>
          <t>https://www.tradingview.com/chart/Q1c5VWwD/?symbol=ne</t>
        </is>
      </c>
    </row>
    <row r="331">
      <c r="A331" s="15" t="n">
        <v>330</v>
      </c>
      <c r="B331" s="34" t="inlineStr">
        <is>
          <t>NEE</t>
        </is>
      </c>
      <c r="C331" s="15" t="inlineStr">
        <is>
          <t>NextEra Energy, Inc.</t>
        </is>
      </c>
      <c r="D331" s="15" t="str">
        <f>IFERROR(INDEX(觀察名單!$AA$2:$AA$533,MATCH($B331,觀察名單!$B$2:$B$533,0)),"")</f>
        <v>A</v>
      </c>
      <c r="E331" s="15" t="inlineStr">
        <is>
          <t>https://www.tradingview.com/chart/Q1c5VWwD/?symbol=nee</t>
        </is>
      </c>
    </row>
    <row r="332">
      <c r="A332" s="15" t="n">
        <v>331</v>
      </c>
      <c r="B332" s="34" t="inlineStr">
        <is>
          <t>NEM</t>
        </is>
      </c>
      <c r="C332" s="15" t="inlineStr">
        <is>
          <t>Newmont Corporation</t>
        </is>
      </c>
      <c r="D332" s="15" t="str">
        <f>IFERROR(INDEX(觀察名單!$AA$2:$AA$533,MATCH($B332,觀察名單!$B$2:$B$533,0)),"")</f>
        <v>A</v>
      </c>
      <c r="E332" s="15" t="inlineStr">
        <is>
          <t>https://www.tradingview.com/chart/Q1c5VWwD/?symbol=nem</t>
        </is>
      </c>
    </row>
    <row r="333">
      <c r="A333" s="15" t="n">
        <v>332</v>
      </c>
      <c r="B333" s="34" t="inlineStr">
        <is>
          <t>NET</t>
        </is>
      </c>
      <c r="C333" s="15" t="inlineStr">
        <is>
          <t>Cloudflare, Inc.</t>
        </is>
      </c>
      <c r="D333" s="15" t="str">
        <f>IFERROR(INDEX(觀察名單!$AA$2:$AA$533,MATCH($B333,觀察名單!$B$2:$B$533,0)),"")</f>
        <v>D</v>
      </c>
      <c r="E333" s="15" t="inlineStr">
        <is>
          <t>https://www.tradingview.com/chart/Q1c5VWwD/?symbol=net</t>
        </is>
      </c>
    </row>
    <row r="334">
      <c r="A334" s="15" t="n">
        <v>333</v>
      </c>
      <c r="B334" s="34" t="inlineStr">
        <is>
          <t>NFE</t>
        </is>
      </c>
      <c r="C334" s="15" t="inlineStr">
        <is>
          <t>New Fortress Energy Inc.</t>
        </is>
      </c>
      <c r="D334" s="15" t="str">
        <f>IFERROR(INDEX(觀察名單!$AA$2:$AA$533,MATCH($B334,觀察名單!$B$2:$B$533,0)),"")</f>
        <v>D</v>
      </c>
      <c r="E334" s="15" t="inlineStr">
        <is>
          <t>https://www.tradingview.com/chart/Q1c5VWwD/?symbol=nfe</t>
        </is>
      </c>
    </row>
    <row r="335">
      <c r="A335" s="15" t="n">
        <v>334</v>
      </c>
      <c r="B335" s="34" t="inlineStr">
        <is>
          <t>NFLX</t>
        </is>
      </c>
      <c r="C335" s="15" t="inlineStr">
        <is>
          <t>Netflix, Inc.</t>
        </is>
      </c>
      <c r="D335" s="15" t="str">
        <f>IFERROR(INDEX(觀察名單!$AA$2:$AA$533,MATCH($B335,觀察名單!$B$2:$B$533,0)),"")</f>
        <v>A</v>
      </c>
      <c r="E335" s="15" t="inlineStr">
        <is>
          <t>https://www.tradingview.com/chart/Q1c5VWwD/?symbol=nflx</t>
        </is>
      </c>
    </row>
    <row r="336">
      <c r="A336" s="15" t="n">
        <v>335</v>
      </c>
      <c r="B336" s="34" t="inlineStr">
        <is>
          <t>NI</t>
        </is>
      </c>
      <c r="C336" s="15" t="inlineStr">
        <is>
          <t>NiSource Inc.</t>
        </is>
      </c>
      <c r="D336" s="15" t="str">
        <f>IFERROR(INDEX(觀察名單!$AA$2:$AA$533,MATCH($B336,觀察名單!$B$2:$B$533,0)),"")</f>
        <v>A</v>
      </c>
      <c r="E336" s="15" t="inlineStr">
        <is>
          <t>https://www.tradingview.com/chart/Q1c5VWwD/?symbol=ni</t>
        </is>
      </c>
    </row>
    <row r="337">
      <c r="A337" s="15" t="n">
        <v>336</v>
      </c>
      <c r="B337" s="34" t="inlineStr">
        <is>
          <t>NJR</t>
        </is>
      </c>
      <c r="C337" s="15" t="inlineStr">
        <is>
          <t>New Jersey Resources Corporation</t>
        </is>
      </c>
      <c r="D337" s="15" t="str">
        <f>IFERROR(INDEX(觀察名單!$AA$2:$AA$533,MATCH($B337,觀察名單!$B$2:$B$533,0)),"")</f>
        <v>A</v>
      </c>
      <c r="E337" s="15" t="inlineStr">
        <is>
          <t>https://www.tradingview.com/chart/Q1c5VWwD/?symbol=njr</t>
        </is>
      </c>
    </row>
    <row r="338">
      <c r="A338" s="15" t="n">
        <v>337</v>
      </c>
      <c r="B338" s="34" t="inlineStr">
        <is>
          <t>NKE</t>
        </is>
      </c>
      <c r="C338" s="15" t="inlineStr">
        <is>
          <t>NIKE, Inc.</t>
        </is>
      </c>
      <c r="D338" s="15" t="str">
        <f>IFERROR(INDEX(觀察名單!$AA$2:$AA$533,MATCH($B338,觀察名單!$B$2:$B$533,0)),"")</f>
        <v>A</v>
      </c>
      <c r="E338" s="15" t="inlineStr">
        <is>
          <t>https://www.tradingview.com/chart/Q1c5VWwD/?symbol=nke</t>
        </is>
      </c>
    </row>
    <row r="339">
      <c r="A339" s="15" t="n">
        <v>338</v>
      </c>
      <c r="B339" s="34" t="inlineStr">
        <is>
          <t>NKTX</t>
        </is>
      </c>
      <c r="C339" s="15" t="inlineStr">
        <is>
          <t>Nkarta, Inc.</t>
        </is>
      </c>
      <c r="D339" s="15" t="str">
        <f>IFERROR(INDEX(觀察名單!$AA$2:$AA$533,MATCH($B339,觀察名單!$B$2:$B$533,0)),"")</f>
        <v>D</v>
      </c>
      <c r="E339" s="15" t="inlineStr">
        <is>
          <t>https://www.tradingview.com/chart/Q1c5VWwD/?symbol=nktx</t>
        </is>
      </c>
    </row>
    <row r="340">
      <c r="A340" s="15" t="n">
        <v>339</v>
      </c>
      <c r="B340" s="34" t="inlineStr">
        <is>
          <t>NNE</t>
        </is>
      </c>
      <c r="C340" s="15" t="inlineStr">
        <is>
          <t>NANO Nuclear Energy Inc.</t>
        </is>
      </c>
      <c r="D340" s="15" t="str">
        <f>IFERROR(INDEX(觀察名單!$AA$2:$AA$533,MATCH($B340,觀察名單!$B$2:$B$533,0)),"")</f>
        <v>D</v>
      </c>
      <c r="E340" s="15" t="inlineStr">
        <is>
          <t>https://www.tradingview.com/chart/Q1c5VWwD/?symbol=nne</t>
        </is>
      </c>
    </row>
    <row r="341">
      <c r="A341" s="15" t="n">
        <v>340</v>
      </c>
      <c r="B341" s="34" t="inlineStr">
        <is>
          <t>NOC</t>
        </is>
      </c>
      <c r="C341" s="15" t="inlineStr">
        <is>
          <t>Northrop Grumman Corporation</t>
        </is>
      </c>
      <c r="D341" s="15" t="str">
        <f>IFERROR(INDEX(觀察名單!$AA$2:$AA$533,MATCH($B341,觀察名單!$B$2:$B$533,0)),"")</f>
        <v>A</v>
      </c>
      <c r="E341" s="15" t="inlineStr">
        <is>
          <t>https://www.tradingview.com/chart/Q1c5VWwD/?symbol=noc</t>
        </is>
      </c>
    </row>
    <row r="342">
      <c r="A342" s="15" t="n">
        <v>341</v>
      </c>
      <c r="B342" s="34" t="inlineStr">
        <is>
          <t>NOW</t>
        </is>
      </c>
      <c r="C342" s="15" t="inlineStr">
        <is>
          <t>ServiceNow, Inc.</t>
        </is>
      </c>
      <c r="D342" s="15" t="str">
        <f>IFERROR(INDEX(觀察名單!$AA$2:$AA$533,MATCH($B342,觀察名單!$B$2:$B$533,0)),"")</f>
        <v>A</v>
      </c>
      <c r="E342" s="15" t="inlineStr">
        <is>
          <t>https://www.tradingview.com/chart/Q1c5VWwD/?symbol=now</t>
        </is>
      </c>
    </row>
    <row r="343">
      <c r="A343" s="15" t="n">
        <v>342</v>
      </c>
      <c r="B343" s="34" t="inlineStr">
        <is>
          <t>NRG</t>
        </is>
      </c>
      <c r="C343" s="15" t="inlineStr">
        <is>
          <t>NRG Energy, Inc.</t>
        </is>
      </c>
      <c r="D343" s="15" t="str">
        <f>IFERROR(INDEX(觀察名單!$AA$2:$AA$533,MATCH($B343,觀察名單!$B$2:$B$533,0)),"")</f>
        <v>A</v>
      </c>
      <c r="E343" s="15" t="inlineStr">
        <is>
          <t>https://www.tradingview.com/chart/Q1c5VWwD/?symbol=nrg</t>
        </is>
      </c>
    </row>
    <row r="344">
      <c r="A344" s="15" t="n">
        <v>343</v>
      </c>
      <c r="B344" s="34" t="inlineStr">
        <is>
          <t>NSC</t>
        </is>
      </c>
      <c r="C344" s="15" t="inlineStr">
        <is>
          <t>Norfolk Southern Corporation</t>
        </is>
      </c>
      <c r="D344" s="15" t="str">
        <f>IFERROR(INDEX(觀察名單!$AA$2:$AA$533,MATCH($B344,觀察名單!$B$2:$B$533,0)),"")</f>
        <v>A</v>
      </c>
      <c r="E344" s="15" t="inlineStr">
        <is>
          <t>https://www.tradingview.com/chart/Q1c5VWwD/?symbol=nsc</t>
        </is>
      </c>
    </row>
    <row r="345">
      <c r="A345" s="15" t="n">
        <v>344</v>
      </c>
      <c r="B345" s="34" t="inlineStr">
        <is>
          <t>NTAP</t>
        </is>
      </c>
      <c r="C345" s="15" t="inlineStr">
        <is>
          <t>NetApp, Inc.</t>
        </is>
      </c>
      <c r="D345" s="15" t="str">
        <f>IFERROR(INDEX(觀察名單!$AA$2:$AA$533,MATCH($B345,觀察名單!$B$2:$B$533,0)),"")</f>
        <v>—</v>
      </c>
      <c r="E345" s="15" t="inlineStr">
        <is>
          <t>https://www.tradingview.com/chart/Q1c5VWwD/?symbol=ntap</t>
        </is>
      </c>
    </row>
    <row r="346">
      <c r="A346" s="15" t="n">
        <v>345</v>
      </c>
      <c r="B346" s="34" t="inlineStr">
        <is>
          <t>NTLA</t>
        </is>
      </c>
      <c r="C346" s="15" t="inlineStr">
        <is>
          <t>Intellia Therapeutics, Inc.</t>
        </is>
      </c>
      <c r="D346" s="15" t="str">
        <f>IFERROR(INDEX(觀察名單!$AA$2:$AA$533,MATCH($B346,觀察名單!$B$2:$B$533,0)),"")</f>
        <v>D</v>
      </c>
      <c r="E346" s="15" t="inlineStr">
        <is>
          <t>https://www.tradingview.com/chart/Q1c5VWwD/?symbol=ntla</t>
        </is>
      </c>
    </row>
    <row r="347">
      <c r="A347" s="15" t="n">
        <v>346</v>
      </c>
      <c r="B347" s="34" t="inlineStr">
        <is>
          <t>NTR</t>
        </is>
      </c>
      <c r="C347" s="15" t="inlineStr">
        <is>
          <t>Nutrien Ltd.</t>
        </is>
      </c>
      <c r="D347" s="15" t="str">
        <f>IFERROR(INDEX(觀察名單!$AA$2:$AA$533,MATCH($B347,觀察名單!$B$2:$B$533,0)),"")</f>
        <v>A</v>
      </c>
      <c r="E347" s="15" t="inlineStr">
        <is>
          <t>https://www.tradingview.com/chart/Q1c5VWwD/?symbol=ntr</t>
        </is>
      </c>
    </row>
    <row r="348">
      <c r="A348" s="15" t="n">
        <v>347</v>
      </c>
      <c r="B348" s="34" t="inlineStr">
        <is>
          <t>NUE</t>
        </is>
      </c>
      <c r="C348" s="15" t="inlineStr">
        <is>
          <t>Nucor Corporation</t>
        </is>
      </c>
      <c r="D348" s="15" t="str">
        <f>IFERROR(INDEX(觀察名單!$AA$2:$AA$533,MATCH($B348,觀察名單!$B$2:$B$533,0)),"")</f>
        <v>A</v>
      </c>
      <c r="E348" s="15" t="inlineStr">
        <is>
          <t>https://www.tradingview.com/chart/Q1c5VWwD/?symbol=nue</t>
        </is>
      </c>
    </row>
    <row r="349">
      <c r="A349" s="15" t="n">
        <v>348</v>
      </c>
      <c r="B349" s="34" t="inlineStr">
        <is>
          <t>NVDA</t>
        </is>
      </c>
      <c r="C349" s="15" t="inlineStr">
        <is>
          <t>NVIDIA Corporation</t>
        </is>
      </c>
      <c r="D349" s="15" t="str">
        <f>IFERROR(INDEX(觀察名單!$AA$2:$AA$533,MATCH($B349,觀察名單!$B$2:$B$533,0)),"")</f>
        <v>A</v>
      </c>
      <c r="E349" s="15" t="inlineStr">
        <is>
          <t>https://www.tradingview.com/chart/Q1c5VWwD/?symbol=nvda</t>
        </is>
      </c>
    </row>
    <row r="350">
      <c r="A350" s="15" t="n">
        <v>349</v>
      </c>
      <c r="B350" s="34" t="inlineStr">
        <is>
          <t>NVO</t>
        </is>
      </c>
      <c r="C350" s="15" t="inlineStr">
        <is>
          <t>Novo Nordisk A/S</t>
        </is>
      </c>
      <c r="D350" s="15" t="str">
        <f>IFERROR(INDEX(觀察名單!$AA$2:$AA$533,MATCH($B350,觀察名單!$B$2:$B$533,0)),"")</f>
        <v>A</v>
      </c>
      <c r="E350" s="15" t="inlineStr">
        <is>
          <t>https://www.tradingview.com/chart/Q1c5VWwD/?symbol=nvo</t>
        </is>
      </c>
    </row>
    <row r="351">
      <c r="A351" s="15" t="n">
        <v>350</v>
      </c>
      <c r="B351" s="34" t="inlineStr">
        <is>
          <t>NVR</t>
        </is>
      </c>
      <c r="C351" s="15" t="inlineStr">
        <is>
          <t>NVR, Inc.</t>
        </is>
      </c>
      <c r="D351" s="15" t="str">
        <f>IFERROR(INDEX(觀察名單!$AA$2:$AA$533,MATCH($B351,觀察名單!$B$2:$B$533,0)),"")</f>
        <v>A</v>
      </c>
      <c r="E351" s="15" t="inlineStr">
        <is>
          <t>https://www.tradingview.com/chart/Q1c5VWwD/?symbol=nvr</t>
        </is>
      </c>
    </row>
    <row r="352">
      <c r="A352" s="15" t="n">
        <v>351</v>
      </c>
      <c r="B352" s="34" t="inlineStr">
        <is>
          <t>NWSA</t>
        </is>
      </c>
      <c r="C352" s="15" t="inlineStr">
        <is>
          <t>News Corporation</t>
        </is>
      </c>
      <c r="D352" s="15" t="str">
        <f>IFERROR(INDEX(觀察名單!$AA$2:$AA$533,MATCH($B352,觀察名單!$B$2:$B$533,0)),"")</f>
        <v>A</v>
      </c>
      <c r="E352" s="15" t="inlineStr">
        <is>
          <t>https://www.tradingview.com/chart/Q1c5VWwD/?symbol=nwsa</t>
        </is>
      </c>
    </row>
    <row r="353">
      <c r="A353" s="15" t="n">
        <v>352</v>
      </c>
      <c r="B353" s="34" t="inlineStr">
        <is>
          <t>NXPI</t>
        </is>
      </c>
      <c r="C353" s="15" t="inlineStr">
        <is>
          <t>NXP Semiconductors N.V.</t>
        </is>
      </c>
      <c r="D353" s="15" t="str">
        <f>IFERROR(INDEX(觀察名單!$AA$2:$AA$533,MATCH($B353,觀察名單!$B$2:$B$533,0)),"")</f>
        <v>A</v>
      </c>
      <c r="E353" s="15" t="inlineStr">
        <is>
          <t>https://www.tradingview.com/chart/Q1c5VWwD/?symbol=nxpi</t>
        </is>
      </c>
    </row>
    <row r="354">
      <c r="A354" s="15" t="n">
        <v>353</v>
      </c>
      <c r="B354" s="34" t="inlineStr">
        <is>
          <t>NXT</t>
        </is>
      </c>
      <c r="C354" s="15" t="inlineStr">
        <is>
          <t>Nextpower Inc.</t>
        </is>
      </c>
      <c r="D354" s="15" t="str">
        <f>IFERROR(INDEX(觀察名單!$AA$2:$AA$533,MATCH($B354,觀察名單!$B$2:$B$533,0)),"")</f>
        <v>A</v>
      </c>
      <c r="E354" s="15" t="inlineStr">
        <is>
          <t>https://www.tradingview.com/chart/Q1c5VWwD/?symbol=nxt</t>
        </is>
      </c>
    </row>
    <row r="355">
      <c r="A355" s="15" t="n">
        <v>354</v>
      </c>
      <c r="B355" s="34" t="inlineStr">
        <is>
          <t>O</t>
        </is>
      </c>
      <c r="C355" s="15" t="inlineStr">
        <is>
          <t>Realty Income Corporation</t>
        </is>
      </c>
      <c r="D355" s="15" t="str">
        <f>IFERROR(INDEX(觀察名單!$AA$2:$AA$533,MATCH($B355,觀察名單!$B$2:$B$533,0)),"")</f>
        <v>A</v>
      </c>
      <c r="E355" s="15" t="inlineStr">
        <is>
          <t>https://www.tradingview.com/chart/Q1c5VWwD/?symbol=o</t>
        </is>
      </c>
    </row>
    <row r="356">
      <c r="A356" s="15" t="n">
        <v>355</v>
      </c>
      <c r="B356" s="34" t="inlineStr">
        <is>
          <t>ODFL</t>
        </is>
      </c>
      <c r="C356" s="15" t="inlineStr">
        <is>
          <t>Old Dominion Freight Line, Inc.</t>
        </is>
      </c>
      <c r="D356" s="15" t="str">
        <f>IFERROR(INDEX(觀察名單!$AA$2:$AA$533,MATCH($B356,觀察名單!$B$2:$B$533,0)),"")</f>
        <v>A</v>
      </c>
      <c r="E356" s="15" t="inlineStr">
        <is>
          <t>https://www.tradingview.com/chart/Q1c5VWwD/?symbol=odfl</t>
        </is>
      </c>
    </row>
    <row r="357">
      <c r="A357" s="15" t="n">
        <v>356</v>
      </c>
      <c r="B357" s="34" t="inlineStr">
        <is>
          <t>OHI</t>
        </is>
      </c>
      <c r="C357" s="15" t="inlineStr">
        <is>
          <t>Omega Healthcare Investors, Inc.</t>
        </is>
      </c>
      <c r="D357" s="15" t="str">
        <f>IFERROR(INDEX(觀察名單!$AA$2:$AA$533,MATCH($B357,觀察名單!$B$2:$B$533,0)),"")</f>
        <v>A</v>
      </c>
      <c r="E357" s="15" t="inlineStr">
        <is>
          <t>https://www.tradingview.com/chart/Q1c5VWwD/?symbol=ohi</t>
        </is>
      </c>
    </row>
    <row r="358">
      <c r="A358" s="15" t="n">
        <v>357</v>
      </c>
      <c r="B358" s="34" t="inlineStr">
        <is>
          <t>OKE</t>
        </is>
      </c>
      <c r="C358" s="15" t="inlineStr">
        <is>
          <t>ONEOK, Inc.</t>
        </is>
      </c>
      <c r="D358" s="15" t="str">
        <f>IFERROR(INDEX(觀察名單!$AA$2:$AA$533,MATCH($B358,觀察名單!$B$2:$B$533,0)),"")</f>
        <v>A</v>
      </c>
      <c r="E358" s="15" t="inlineStr">
        <is>
          <t>https://www.tradingview.com/chart/Q1c5VWwD/?symbol=oke</t>
        </is>
      </c>
    </row>
    <row r="359">
      <c r="A359" s="15" t="n">
        <v>358</v>
      </c>
      <c r="B359" s="34" t="inlineStr">
        <is>
          <t>OKLO</t>
        </is>
      </c>
      <c r="C359" s="15" t="inlineStr">
        <is>
          <t>Oklo Inc.</t>
        </is>
      </c>
      <c r="D359" s="15" t="str">
        <f>IFERROR(INDEX(觀察名單!$AA$2:$AA$533,MATCH($B359,觀察名單!$B$2:$B$533,0)),"")</f>
        <v>D</v>
      </c>
      <c r="E359" s="15" t="inlineStr">
        <is>
          <t>https://www.tradingview.com/chart/Q1c5VWwD/?symbol=oklo</t>
        </is>
      </c>
    </row>
    <row r="360">
      <c r="A360" s="15" t="n">
        <v>359</v>
      </c>
      <c r="B360" s="34" t="inlineStr">
        <is>
          <t>ON</t>
        </is>
      </c>
      <c r="C360" s="15" t="inlineStr">
        <is>
          <t>ON Semiconductor Corporation</t>
        </is>
      </c>
      <c r="D360" s="15" t="str">
        <f>IFERROR(INDEX(觀察名單!$AA$2:$AA$533,MATCH($B360,觀察名單!$B$2:$B$533,0)),"")</f>
        <v>A</v>
      </c>
      <c r="E360" s="15" t="inlineStr">
        <is>
          <t>https://www.tradingview.com/chart/Q1c5VWwD/?symbol=on</t>
        </is>
      </c>
    </row>
    <row r="361">
      <c r="A361" s="15" t="n">
        <v>360</v>
      </c>
      <c r="B361" s="34" t="inlineStr">
        <is>
          <t>ONDS</t>
        </is>
      </c>
      <c r="C361" s="15" t="inlineStr">
        <is>
          <t>Ondas Inc.</t>
        </is>
      </c>
      <c r="D361" s="15" t="str">
        <f>IFERROR(INDEX(觀察名單!$AA$2:$AA$533,MATCH($B361,觀察名單!$B$2:$B$533,0)),"")</f>
        <v>D</v>
      </c>
      <c r="E361" s="15" t="inlineStr">
        <is>
          <t>https://www.tradingview.com/chart/Q1c5VWwD/?symbol=onds</t>
        </is>
      </c>
    </row>
    <row r="362">
      <c r="A362" s="15" t="n">
        <v>361</v>
      </c>
      <c r="B362" s="34" t="inlineStr">
        <is>
          <t>ONON</t>
        </is>
      </c>
      <c r="C362" s="15" t="inlineStr">
        <is>
          <t>On Holding AG</t>
        </is>
      </c>
      <c r="D362" s="15" t="str">
        <f>IFERROR(INDEX(觀察名單!$AA$2:$AA$533,MATCH($B362,觀察名單!$B$2:$B$533,0)),"")</f>
        <v>A</v>
      </c>
      <c r="E362" s="15" t="inlineStr">
        <is>
          <t>https://www.tradingview.com/chart/Q1c5VWwD/?symbol=onon</t>
        </is>
      </c>
    </row>
    <row r="363">
      <c r="A363" s="15" t="n">
        <v>362</v>
      </c>
      <c r="B363" s="34" t="inlineStr">
        <is>
          <t>ONTO</t>
        </is>
      </c>
      <c r="C363" s="15" t="inlineStr">
        <is>
          <t>Onto Innovation Inc.</t>
        </is>
      </c>
      <c r="D363" s="15" t="str">
        <f>IFERROR(INDEX(觀察名單!$AA$2:$AA$533,MATCH($B363,觀察名單!$B$2:$B$533,0)),"")</f>
        <v>A</v>
      </c>
      <c r="E363" s="15" t="inlineStr">
        <is>
          <t>https://www.tradingview.com/chart/Q1c5VWwD/?symbol=onto</t>
        </is>
      </c>
    </row>
    <row r="364">
      <c r="A364" s="15" t="n">
        <v>363</v>
      </c>
      <c r="B364" s="34" t="inlineStr">
        <is>
          <t>OPEN</t>
        </is>
      </c>
      <c r="C364" s="15" t="inlineStr">
        <is>
          <t>Opendoor Technologies Inc.</t>
        </is>
      </c>
      <c r="D364" s="15" t="str">
        <f>IFERROR(INDEX(觀察名單!$AA$2:$AA$533,MATCH($B364,觀察名單!$B$2:$B$533,0)),"")</f>
        <v>D</v>
      </c>
      <c r="E364" s="15" t="inlineStr">
        <is>
          <t>https://www.tradingview.com/chart/Q1c5VWwD/?symbol=open</t>
        </is>
      </c>
    </row>
    <row r="365">
      <c r="A365" s="15" t="n">
        <v>364</v>
      </c>
      <c r="B365" s="34" t="inlineStr">
        <is>
          <t>ORCL</t>
        </is>
      </c>
      <c r="C365" s="15" t="inlineStr">
        <is>
          <t>Oracle Corporation</t>
        </is>
      </c>
      <c r="D365" s="15" t="str">
        <f>IFERROR(INDEX(觀察名單!$AA$2:$AA$533,MATCH($B365,觀察名單!$B$2:$B$533,0)),"")</f>
        <v>A</v>
      </c>
      <c r="E365" s="15" t="inlineStr">
        <is>
          <t>https://www.tradingview.com/chart/Q1c5VWwD/?symbol=orcl</t>
        </is>
      </c>
    </row>
    <row r="366">
      <c r="A366" s="15" t="n">
        <v>365</v>
      </c>
      <c r="B366" s="34" t="inlineStr">
        <is>
          <t>OSCR</t>
        </is>
      </c>
      <c r="C366" s="15" t="inlineStr">
        <is>
          <t>Oscar Health, Inc.</t>
        </is>
      </c>
      <c r="D366" s="15" t="str">
        <f>IFERROR(INDEX(觀察名單!$AA$2:$AA$533,MATCH($B366,觀察名單!$B$2:$B$533,0)),"")</f>
        <v>B</v>
      </c>
      <c r="E366" s="15" t="inlineStr">
        <is>
          <t>https://www.tradingview.com/chart/Q1c5VWwD/?symbol=oscr</t>
        </is>
      </c>
    </row>
    <row r="367">
      <c r="A367" s="15" t="n">
        <v>366</v>
      </c>
      <c r="B367" s="34" t="inlineStr">
        <is>
          <t>OWL</t>
        </is>
      </c>
      <c r="C367" s="15" t="inlineStr">
        <is>
          <t>Blue Owl Capital Inc.</t>
        </is>
      </c>
      <c r="D367" s="15" t="str">
        <f>IFERROR(INDEX(觀察名單!$AA$2:$AA$533,MATCH($B367,觀察名單!$B$2:$B$533,0)),"")</f>
        <v>A</v>
      </c>
      <c r="E367" s="15" t="inlineStr">
        <is>
          <t>https://www.tradingview.com/chart/Q1c5VWwD/?symbol=owl</t>
        </is>
      </c>
    </row>
    <row r="368">
      <c r="A368" s="15" t="n">
        <v>367</v>
      </c>
      <c r="B368" s="34" t="inlineStr">
        <is>
          <t>OXY</t>
        </is>
      </c>
      <c r="C368" s="15" t="inlineStr">
        <is>
          <t>Occidental Petroleum Corporation</t>
        </is>
      </c>
      <c r="D368" s="15" t="str">
        <f>IFERROR(INDEX(觀察名單!$AA$2:$AA$533,MATCH($B368,觀察名單!$B$2:$B$533,0)),"")</f>
        <v>A</v>
      </c>
      <c r="E368" s="15" t="inlineStr">
        <is>
          <t>https://www.tradingview.com/chart/Q1c5VWwD/?symbol=oxy</t>
        </is>
      </c>
    </row>
    <row r="369">
      <c r="A369" s="15" t="n">
        <v>368</v>
      </c>
      <c r="B369" s="34" t="inlineStr">
        <is>
          <t>PAAS</t>
        </is>
      </c>
      <c r="C369" s="15" t="inlineStr">
        <is>
          <t>Pan American Silver Corp.</t>
        </is>
      </c>
      <c r="D369" s="15" t="str">
        <f>IFERROR(INDEX(觀察名單!$AA$2:$AA$533,MATCH($B369,觀察名單!$B$2:$B$533,0)),"")</f>
        <v>A</v>
      </c>
      <c r="E369" s="15" t="inlineStr">
        <is>
          <t>https://www.tradingview.com/chart/Q1c5VWwD/?symbol=paas</t>
        </is>
      </c>
    </row>
    <row r="370">
      <c r="A370" s="15" t="n">
        <v>369</v>
      </c>
      <c r="B370" s="34" t="inlineStr">
        <is>
          <t>PANW</t>
        </is>
      </c>
      <c r="C370" s="15" t="inlineStr">
        <is>
          <t>Palo Alto Networks, Inc.</t>
        </is>
      </c>
      <c r="D370" s="15" t="str">
        <f>IFERROR(INDEX(觀察名單!$AA$2:$AA$533,MATCH($B370,觀察名單!$B$2:$B$533,0)),"")</f>
        <v>D</v>
      </c>
      <c r="E370" s="15" t="inlineStr">
        <is>
          <t>https://www.tradingview.com/chart/Q1c5VWwD/?symbol=panw</t>
        </is>
      </c>
    </row>
    <row r="371">
      <c r="A371" s="15" t="n">
        <v>370</v>
      </c>
      <c r="B371" s="34" t="inlineStr">
        <is>
          <t>PARA</t>
        </is>
      </c>
      <c r="C371" s="15" t="inlineStr">
        <is>
          <t>Banzai International, Inc.</t>
        </is>
      </c>
      <c r="D371" s="15" t="str">
        <f>IFERROR(INDEX(觀察名單!$AA$2:$AA$533,MATCH($B371,觀察名單!$B$2:$B$533,0)),"")</f>
        <v>C</v>
      </c>
      <c r="E371" s="15" t="inlineStr">
        <is>
          <t>https://www.tradingview.com/chart/Q1c5VWwD/?symbol=para</t>
        </is>
      </c>
    </row>
    <row r="372">
      <c r="A372" s="15" t="n">
        <v>371</v>
      </c>
      <c r="B372" s="34" t="inlineStr">
        <is>
          <t>PAYX</t>
        </is>
      </c>
      <c r="C372" s="15" t="inlineStr">
        <is>
          <t>Paychex, Inc.</t>
        </is>
      </c>
      <c r="D372" s="15" t="str">
        <f>IFERROR(INDEX(觀察名單!$AA$2:$AA$533,MATCH($B372,觀察名單!$B$2:$B$533,0)),"")</f>
        <v>A</v>
      </c>
      <c r="E372" s="15" t="inlineStr">
        <is>
          <t>https://www.tradingview.com/chart/Q1c5VWwD/?symbol=payx</t>
        </is>
      </c>
    </row>
    <row r="373">
      <c r="A373" s="15" t="n">
        <v>372</v>
      </c>
      <c r="B373" s="34" t="inlineStr">
        <is>
          <t>PCAR</t>
        </is>
      </c>
      <c r="C373" s="15" t="inlineStr">
        <is>
          <t>PACCAR Inc</t>
        </is>
      </c>
      <c r="D373" s="15" t="str">
        <f>IFERROR(INDEX(觀察名單!$AA$2:$AA$533,MATCH($B373,觀察名單!$B$2:$B$533,0)),"")</f>
        <v>A</v>
      </c>
      <c r="E373" s="15" t="inlineStr">
        <is>
          <t>https://www.tradingview.com/chart/Q1c5VWwD/?symbol=pcar</t>
        </is>
      </c>
    </row>
    <row r="374">
      <c r="A374" s="15" t="n">
        <v>373</v>
      </c>
      <c r="B374" s="34" t="inlineStr">
        <is>
          <t>PEP</t>
        </is>
      </c>
      <c r="C374" s="15" t="inlineStr">
        <is>
          <t>PepsiCo, Inc.</t>
        </is>
      </c>
      <c r="D374" s="15" t="str">
        <f>IFERROR(INDEX(觀察名單!$AA$2:$AA$533,MATCH($B374,觀察名單!$B$2:$B$533,0)),"")</f>
        <v>A</v>
      </c>
      <c r="E374" s="15" t="inlineStr">
        <is>
          <t>https://www.tradingview.com/chart/Q1c5VWwD/?symbol=pep</t>
        </is>
      </c>
    </row>
    <row r="375">
      <c r="A375" s="15" t="n">
        <v>374</v>
      </c>
      <c r="B375" s="34" t="inlineStr">
        <is>
          <t>PFE</t>
        </is>
      </c>
      <c r="C375" s="15" t="inlineStr">
        <is>
          <t>Pfizer Inc.</t>
        </is>
      </c>
      <c r="D375" s="15" t="str">
        <f>IFERROR(INDEX(觀察名單!$AA$2:$AA$533,MATCH($B375,觀察名單!$B$2:$B$533,0)),"")</f>
        <v>A</v>
      </c>
      <c r="E375" s="15" t="inlineStr">
        <is>
          <t>https://www.tradingview.com/chart/Q1c5VWwD/?symbol=pfe</t>
        </is>
      </c>
    </row>
    <row r="376">
      <c r="A376" s="15" t="n">
        <v>375</v>
      </c>
      <c r="B376" s="34" t="inlineStr">
        <is>
          <t>PFGC</t>
        </is>
      </c>
      <c r="C376" s="15" t="inlineStr">
        <is>
          <t>Performance Food Group Company</t>
        </is>
      </c>
      <c r="D376" s="15" t="str">
        <f>IFERROR(INDEX(觀察名單!$AA$2:$AA$533,MATCH($B376,觀察名單!$B$2:$B$533,0)),"")</f>
        <v>A</v>
      </c>
      <c r="E376" s="15" t="inlineStr">
        <is>
          <t>https://www.tradingview.com/chart/Q1c5VWwD/?symbol=pfgc</t>
        </is>
      </c>
    </row>
    <row r="377">
      <c r="A377" s="15" t="n">
        <v>376</v>
      </c>
      <c r="B377" s="34" t="inlineStr">
        <is>
          <t>PG</t>
        </is>
      </c>
      <c r="C377" s="15" t="inlineStr">
        <is>
          <t>The Procter &amp; Gamble Company</t>
        </is>
      </c>
      <c r="D377" s="15" t="str">
        <f>IFERROR(INDEX(觀察名單!$AA$2:$AA$533,MATCH($B377,觀察名單!$B$2:$B$533,0)),"")</f>
        <v>A</v>
      </c>
      <c r="E377" s="15" t="inlineStr">
        <is>
          <t>https://www.tradingview.com/chart/Q1c5VWwD/?symbol=pg</t>
        </is>
      </c>
    </row>
    <row r="378">
      <c r="A378" s="15" t="n">
        <v>377</v>
      </c>
      <c r="B378" s="34" t="inlineStr">
        <is>
          <t>PGR</t>
        </is>
      </c>
      <c r="C378" s="15" t="inlineStr">
        <is>
          <t>The Progressive Corporation</t>
        </is>
      </c>
      <c r="D378" s="15" t="str">
        <f>IFERROR(INDEX(觀察名單!$AA$2:$AA$533,MATCH($B378,觀察名單!$B$2:$B$533,0)),"")</f>
        <v>A</v>
      </c>
      <c r="E378" s="15" t="inlineStr">
        <is>
          <t>https://www.tradingview.com/chart/Q1c5VWwD/?symbol=pgr</t>
        </is>
      </c>
    </row>
    <row r="379">
      <c r="A379" s="15" t="n">
        <v>378</v>
      </c>
      <c r="B379" s="34" t="inlineStr">
        <is>
          <t>PHM</t>
        </is>
      </c>
      <c r="C379" s="15" t="inlineStr">
        <is>
          <t>PulteGroup, Inc.</t>
        </is>
      </c>
      <c r="D379" s="15" t="str">
        <f>IFERROR(INDEX(觀察名單!$AA$2:$AA$533,MATCH($B379,觀察名單!$B$2:$B$533,0)),"")</f>
        <v>A</v>
      </c>
      <c r="E379" s="15" t="inlineStr">
        <is>
          <t>https://www.tradingview.com/chart/Q1c5VWwD/?symbol=phm</t>
        </is>
      </c>
    </row>
    <row r="380">
      <c r="A380" s="15" t="n">
        <v>379</v>
      </c>
      <c r="B380" s="34" t="inlineStr">
        <is>
          <t>PINS</t>
        </is>
      </c>
      <c r="C380" s="15" t="inlineStr">
        <is>
          <t>Pinterest, Inc.</t>
        </is>
      </c>
      <c r="D380" s="15" t="str">
        <f>IFERROR(INDEX(觀察名單!$AA$2:$AA$533,MATCH($B380,觀察名單!$B$2:$B$533,0)),"")</f>
        <v>D</v>
      </c>
      <c r="E380" s="15" t="inlineStr">
        <is>
          <t>https://www.tradingview.com/chart/Q1c5VWwD/?symbol=pins</t>
        </is>
      </c>
    </row>
    <row r="381">
      <c r="A381" s="15" t="n">
        <v>380</v>
      </c>
      <c r="B381" s="34" t="inlineStr">
        <is>
          <t>PKG</t>
        </is>
      </c>
      <c r="C381" s="15" t="inlineStr">
        <is>
          <t>Packaging Corporation of America</t>
        </is>
      </c>
      <c r="D381" s="15" t="str">
        <f>IFERROR(INDEX(觀察名單!$AA$2:$AA$533,MATCH($B381,觀察名單!$B$2:$B$533,0)),"")</f>
        <v>A</v>
      </c>
      <c r="E381" s="15" t="inlineStr">
        <is>
          <t>https://www.tradingview.com/chart/Q1c5VWwD/?symbol=pkg</t>
        </is>
      </c>
    </row>
    <row r="382">
      <c r="A382" s="15" t="n">
        <v>381</v>
      </c>
      <c r="B382" s="34" t="inlineStr">
        <is>
          <t>PL</t>
        </is>
      </c>
      <c r="C382" s="15" t="inlineStr">
        <is>
          <t>Planet Labs PBC</t>
        </is>
      </c>
      <c r="D382" s="15" t="str">
        <f>IFERROR(INDEX(觀察名單!$AA$2:$AA$533,MATCH($B382,觀察名單!$B$2:$B$533,0)),"")</f>
        <v>C</v>
      </c>
      <c r="E382" s="15" t="inlineStr">
        <is>
          <t>https://www.tradingview.com/chart/Q1c5VWwD/?symbol=pl</t>
        </is>
      </c>
    </row>
    <row r="383">
      <c r="A383" s="15" t="n">
        <v>382</v>
      </c>
      <c r="B383" s="34" t="inlineStr">
        <is>
          <t>PLD</t>
        </is>
      </c>
      <c r="C383" s="15" t="inlineStr">
        <is>
          <t>Prologis, Inc.</t>
        </is>
      </c>
      <c r="D383" s="15" t="str">
        <f>IFERROR(INDEX(觀察名單!$AA$2:$AA$533,MATCH($B383,觀察名單!$B$2:$B$533,0)),"")</f>
        <v>A</v>
      </c>
      <c r="E383" s="15" t="inlineStr">
        <is>
          <t>https://www.tradingview.com/chart/Q1c5VWwD/?symbol=pld</t>
        </is>
      </c>
    </row>
    <row r="384">
      <c r="A384" s="15" t="n">
        <v>383</v>
      </c>
      <c r="B384" s="34" t="inlineStr">
        <is>
          <t>PLTK</t>
        </is>
      </c>
      <c r="C384" s="15" t="inlineStr">
        <is>
          <t>Playtika Holding Corp.</t>
        </is>
      </c>
      <c r="D384" s="15" t="str">
        <f>IFERROR(INDEX(觀察名單!$AA$2:$AA$533,MATCH($B384,觀察名單!$B$2:$B$533,0)),"")</f>
        <v>B</v>
      </c>
      <c r="E384" s="15" t="inlineStr">
        <is>
          <t>https://www.tradingview.com/chart/Q1c5VWwD/?symbol=pltk</t>
        </is>
      </c>
    </row>
    <row r="385">
      <c r="A385" s="15" t="n">
        <v>384</v>
      </c>
      <c r="B385" s="34" t="inlineStr">
        <is>
          <t>PLTR</t>
        </is>
      </c>
      <c r="C385" s="15" t="inlineStr">
        <is>
          <t>Palantir Technologies Inc.</t>
        </is>
      </c>
      <c r="D385" s="15" t="str">
        <f>IFERROR(INDEX(觀察名單!$AA$2:$AA$533,MATCH($B385,觀察名單!$B$2:$B$533,0)),"")</f>
        <v>A</v>
      </c>
      <c r="E385" s="15" t="inlineStr">
        <is>
          <t>https://www.tradingview.com/chart/Q1c5VWwD/?symbol=pltr</t>
        </is>
      </c>
    </row>
    <row r="386">
      <c r="A386" s="15" t="n">
        <v>385</v>
      </c>
      <c r="B386" s="34" t="inlineStr">
        <is>
          <t>PM</t>
        </is>
      </c>
      <c r="C386" s="15" t="inlineStr">
        <is>
          <t>Philip Morris International Inc.</t>
        </is>
      </c>
      <c r="D386" s="15" t="str">
        <f>IFERROR(INDEX(觀察名單!$AA$2:$AA$533,MATCH($B386,觀察名單!$B$2:$B$533,0)),"")</f>
        <v>A</v>
      </c>
      <c r="E386" s="15" t="inlineStr">
        <is>
          <t>https://www.tradingview.com/chart/Q1c5VWwD/?symbol=pm</t>
        </is>
      </c>
    </row>
    <row r="387">
      <c r="A387" s="15" t="n">
        <v>386</v>
      </c>
      <c r="B387" s="34" t="inlineStr">
        <is>
          <t>PNC</t>
        </is>
      </c>
      <c r="C387" s="15" t="inlineStr">
        <is>
          <t>The PNC Financial Services Group, Inc.</t>
        </is>
      </c>
      <c r="D387" s="15" t="str">
        <f>IFERROR(INDEX(觀察名單!$AA$2:$AA$533,MATCH($B387,觀察名單!$B$2:$B$533,0)),"")</f>
        <v>—</v>
      </c>
      <c r="E387" s="15" t="inlineStr">
        <is>
          <t>https://www.tradingview.com/chart/Q1c5VWwD/?symbol=pnc</t>
        </is>
      </c>
    </row>
    <row r="388">
      <c r="A388" s="15" t="n">
        <v>387</v>
      </c>
      <c r="B388" s="34" t="inlineStr">
        <is>
          <t>POET</t>
        </is>
      </c>
      <c r="C388" s="15" t="inlineStr">
        <is>
          <t>POET Technologies Inc.</t>
        </is>
      </c>
      <c r="D388" s="15" t="str">
        <f>IFERROR(INDEX(觀察名單!$AA$2:$AA$533,MATCH($B388,觀察名單!$B$2:$B$533,0)),"")</f>
        <v>D</v>
      </c>
      <c r="E388" s="15" t="inlineStr">
        <is>
          <t>https://www.tradingview.com/chart/Q1c5VWwD/?symbol=poet</t>
        </is>
      </c>
    </row>
    <row r="389">
      <c r="A389" s="15" t="n">
        <v>388</v>
      </c>
      <c r="B389" s="34" t="inlineStr">
        <is>
          <t>POOL</t>
        </is>
      </c>
      <c r="C389" s="15" t="inlineStr">
        <is>
          <t>Pool Corporation</t>
        </is>
      </c>
      <c r="D389" s="15" t="str">
        <f>IFERROR(INDEX(觀察名單!$AA$2:$AA$533,MATCH($B389,觀察名單!$B$2:$B$533,0)),"")</f>
        <v>A</v>
      </c>
      <c r="E389" s="15" t="inlineStr">
        <is>
          <t>https://www.tradingview.com/chart/Q1c5VWwD/?symbol=pool</t>
        </is>
      </c>
    </row>
    <row r="390">
      <c r="A390" s="15" t="n">
        <v>389</v>
      </c>
      <c r="B390" s="34" t="inlineStr">
        <is>
          <t>PRIM</t>
        </is>
      </c>
      <c r="C390" s="15" t="inlineStr">
        <is>
          <t>Primoris Services Corporation</t>
        </is>
      </c>
      <c r="D390" s="15" t="str">
        <f>IFERROR(INDEX(觀察名單!$AA$2:$AA$533,MATCH($B390,觀察名單!$B$2:$B$533,0)),"")</f>
        <v>D</v>
      </c>
      <c r="E390" s="15" t="inlineStr">
        <is>
          <t>https://www.tradingview.com/chart/Q1c5VWwD/?symbol=prim</t>
        </is>
      </c>
    </row>
    <row r="391">
      <c r="A391" s="15" t="n">
        <v>390</v>
      </c>
      <c r="B391" s="34" t="inlineStr">
        <is>
          <t>PRU</t>
        </is>
      </c>
      <c r="C391" s="15" t="inlineStr">
        <is>
          <t>Prudential Financial, Inc.</t>
        </is>
      </c>
      <c r="D391" s="15" t="str">
        <f>IFERROR(INDEX(觀察名單!$AA$2:$AA$533,MATCH($B391,觀察名單!$B$2:$B$533,0)),"")</f>
        <v>—</v>
      </c>
      <c r="E391" s="15" t="inlineStr">
        <is>
          <t>https://www.tradingview.com/chart/Q1c5VWwD/?symbol=pru</t>
        </is>
      </c>
    </row>
    <row r="392">
      <c r="A392" s="15" t="n">
        <v>391</v>
      </c>
      <c r="B392" s="34" t="inlineStr">
        <is>
          <t>PSA</t>
        </is>
      </c>
      <c r="C392" s="15" t="inlineStr">
        <is>
          <t>Public Storage</t>
        </is>
      </c>
      <c r="D392" s="15" t="str">
        <f>IFERROR(INDEX(觀察名單!$AA$2:$AA$533,MATCH($B392,觀察名單!$B$2:$B$533,0)),"")</f>
        <v>A</v>
      </c>
      <c r="E392" s="15" t="inlineStr">
        <is>
          <t>https://www.tradingview.com/chart/Q1c5VWwD/?symbol=psa</t>
        </is>
      </c>
    </row>
    <row r="393">
      <c r="A393" s="15" t="n">
        <v>392</v>
      </c>
      <c r="B393" s="34" t="inlineStr">
        <is>
          <t>PSX</t>
        </is>
      </c>
      <c r="C393" s="15" t="inlineStr">
        <is>
          <t>Phillips 66</t>
        </is>
      </c>
      <c r="D393" s="15" t="str">
        <f>IFERROR(INDEX(觀察名單!$AA$2:$AA$533,MATCH($B393,觀察名單!$B$2:$B$533,0)),"")</f>
        <v>A</v>
      </c>
      <c r="E393" s="15" t="inlineStr">
        <is>
          <t>https://www.tradingview.com/chart/Q1c5VWwD/?symbol=psx</t>
        </is>
      </c>
    </row>
    <row r="394">
      <c r="A394" s="15" t="n">
        <v>393</v>
      </c>
      <c r="B394" s="34" t="inlineStr">
        <is>
          <t>PWR</t>
        </is>
      </c>
      <c r="C394" s="15" t="inlineStr">
        <is>
          <t>Quanta Services, Inc.</t>
        </is>
      </c>
      <c r="D394" s="15" t="str">
        <f>IFERROR(INDEX(觀察名單!$AA$2:$AA$533,MATCH($B394,觀察名單!$B$2:$B$533,0)),"")</f>
        <v>A</v>
      </c>
      <c r="E394" s="15" t="inlineStr">
        <is>
          <t>https://www.tradingview.com/chart/Q1c5VWwD/?symbol=pwr</t>
        </is>
      </c>
    </row>
    <row r="395">
      <c r="A395" s="15" t="n">
        <v>394</v>
      </c>
      <c r="B395" s="34" t="inlineStr">
        <is>
          <t>PYPL</t>
        </is>
      </c>
      <c r="C395" s="15" t="inlineStr">
        <is>
          <t>PayPal Holdings, Inc.</t>
        </is>
      </c>
      <c r="D395" s="15" t="str">
        <f>IFERROR(INDEX(觀察名單!$AA$2:$AA$533,MATCH($B395,觀察名單!$B$2:$B$533,0)),"")</f>
        <v>A</v>
      </c>
      <c r="E395" s="15" t="inlineStr">
        <is>
          <t>https://www.tradingview.com/chart/Q1c5VWwD/?symbol=pypl</t>
        </is>
      </c>
    </row>
    <row r="396">
      <c r="A396" s="15" t="n">
        <v>395</v>
      </c>
      <c r="B396" s="34" t="inlineStr">
        <is>
          <t>QBTS</t>
        </is>
      </c>
      <c r="C396" s="15" t="inlineStr">
        <is>
          <t>D-Wave Quantum Inc.</t>
        </is>
      </c>
      <c r="D396" s="15" t="str">
        <f>IFERROR(INDEX(觀察名單!$AA$2:$AA$533,MATCH($B396,觀察名單!$B$2:$B$533,0)),"")</f>
        <v>D</v>
      </c>
      <c r="E396" s="15" t="inlineStr">
        <is>
          <t>https://www.tradingview.com/chart/Q1c5VWwD/?symbol=qbts</t>
        </is>
      </c>
    </row>
    <row r="397">
      <c r="A397" s="15" t="n">
        <v>396</v>
      </c>
      <c r="B397" s="34" t="inlineStr">
        <is>
          <t>QCOM</t>
        </is>
      </c>
      <c r="C397" s="15" t="inlineStr">
        <is>
          <t>QUALCOMM Incorporated</t>
        </is>
      </c>
      <c r="D397" s="15" t="str">
        <f>IFERROR(INDEX(觀察名單!$AA$2:$AA$533,MATCH($B397,觀察名單!$B$2:$B$533,0)),"")</f>
        <v>A</v>
      </c>
      <c r="E397" s="15" t="inlineStr">
        <is>
          <t>https://www.tradingview.com/chart/Q1c5VWwD/?symbol=qcom</t>
        </is>
      </c>
    </row>
    <row r="398">
      <c r="A398" s="15" t="n">
        <v>397</v>
      </c>
      <c r="B398" s="34" t="inlineStr">
        <is>
          <t>QUBT</t>
        </is>
      </c>
      <c r="C398" s="15" t="inlineStr">
        <is>
          <t>Quantum Computing Inc.</t>
        </is>
      </c>
      <c r="D398" s="15" t="str">
        <f>IFERROR(INDEX(觀察名單!$AA$2:$AA$533,MATCH($B398,觀察名單!$B$2:$B$533,0)),"")</f>
        <v>D</v>
      </c>
      <c r="E398" s="15" t="inlineStr">
        <is>
          <t>https://www.tradingview.com/chart/Q1c5VWwD/?symbol=qubt</t>
        </is>
      </c>
    </row>
    <row r="399">
      <c r="A399" s="15" t="n">
        <v>398</v>
      </c>
      <c r="B399" s="34" t="inlineStr">
        <is>
          <t>RBLX</t>
        </is>
      </c>
      <c r="C399" s="15" t="inlineStr">
        <is>
          <t>Roblox Corporation</t>
        </is>
      </c>
      <c r="D399" s="15" t="str">
        <f>IFERROR(INDEX(觀察名單!$AA$2:$AA$533,MATCH($B399,觀察名單!$B$2:$B$533,0)),"")</f>
        <v>C</v>
      </c>
      <c r="E399" s="15" t="inlineStr">
        <is>
          <t>https://www.tradingview.com/chart/Q1c5VWwD/?symbol=rblx</t>
        </is>
      </c>
    </row>
    <row r="400">
      <c r="A400" s="15" t="n">
        <v>399</v>
      </c>
      <c r="B400" s="34" t="inlineStr">
        <is>
          <t>RCAT</t>
        </is>
      </c>
      <c r="C400" s="15" t="inlineStr">
        <is>
          <t>Red Cat Holdings, Inc.</t>
        </is>
      </c>
      <c r="D400" s="15" t="str">
        <f>IFERROR(INDEX(觀察名單!$AA$2:$AA$533,MATCH($B400,觀察名單!$B$2:$B$533,0)),"")</f>
        <v>D</v>
      </c>
      <c r="E400" s="15" t="inlineStr">
        <is>
          <t>https://www.tradingview.com/chart/Q1c5VWwD/?symbol=rcat</t>
        </is>
      </c>
    </row>
    <row r="401">
      <c r="A401" s="15" t="n">
        <v>400</v>
      </c>
      <c r="B401" s="34" t="inlineStr">
        <is>
          <t>RCL</t>
        </is>
      </c>
      <c r="C401" s="15" t="inlineStr">
        <is>
          <t>Royal Caribbean Cruises Ltd.</t>
        </is>
      </c>
      <c r="D401" s="15" t="str">
        <f>IFERROR(INDEX(觀察名單!$AA$2:$AA$533,MATCH($B401,觀察名單!$B$2:$B$533,0)),"")</f>
        <v>A</v>
      </c>
      <c r="E401" s="15" t="inlineStr">
        <is>
          <t>https://www.tradingview.com/chart/Q1c5VWwD/?symbol=rcl</t>
        </is>
      </c>
    </row>
    <row r="402">
      <c r="A402" s="15" t="n">
        <v>401</v>
      </c>
      <c r="B402" s="34" t="inlineStr">
        <is>
          <t>RDDT</t>
        </is>
      </c>
      <c r="C402" s="15" t="inlineStr">
        <is>
          <t>Reddit, Inc.</t>
        </is>
      </c>
      <c r="D402" s="15" t="str">
        <f>IFERROR(INDEX(觀察名單!$AA$2:$AA$533,MATCH($B402,觀察名單!$B$2:$B$533,0)),"")</f>
        <v>A</v>
      </c>
      <c r="E402" s="15" t="inlineStr">
        <is>
          <t>https://www.tradingview.com/chart/Q1c5VWwD/?symbol=rddt</t>
        </is>
      </c>
    </row>
    <row r="403">
      <c r="A403" s="15" t="n">
        <v>402</v>
      </c>
      <c r="B403" s="34" t="inlineStr">
        <is>
          <t>RDW</t>
        </is>
      </c>
      <c r="C403" s="15" t="inlineStr">
        <is>
          <t>Redwire Corporation</t>
        </is>
      </c>
      <c r="D403" s="15" t="str">
        <f>IFERROR(INDEX(觀察名單!$AA$2:$AA$533,MATCH($B403,觀察名單!$B$2:$B$533,0)),"")</f>
        <v>C</v>
      </c>
      <c r="E403" s="15" t="inlineStr">
        <is>
          <t>https://www.tradingview.com/chart/Q1c5VWwD/?symbol=rdw</t>
        </is>
      </c>
    </row>
    <row r="404">
      <c r="A404" s="15" t="n">
        <v>403</v>
      </c>
      <c r="B404" s="34" t="inlineStr">
        <is>
          <t>REG</t>
        </is>
      </c>
      <c r="C404" s="15" t="inlineStr">
        <is>
          <t>Regency Centers Corporation</t>
        </is>
      </c>
      <c r="D404" s="15" t="str">
        <f>IFERROR(INDEX(觀察名單!$AA$2:$AA$533,MATCH($B404,觀察名單!$B$2:$B$533,0)),"")</f>
        <v>—</v>
      </c>
      <c r="E404" s="15" t="inlineStr">
        <is>
          <t>https://www.tradingview.com/chart/Q1c5VWwD/?symbol=reg</t>
        </is>
      </c>
    </row>
    <row r="405">
      <c r="A405" s="15" t="n">
        <v>404</v>
      </c>
      <c r="B405" s="34" t="inlineStr">
        <is>
          <t>REGN</t>
        </is>
      </c>
      <c r="C405" s="15" t="inlineStr">
        <is>
          <t>Regeneron Pharmaceuticals, Inc.</t>
        </is>
      </c>
      <c r="D405" s="15" t="str">
        <f>IFERROR(INDEX(觀察名單!$AA$2:$AA$533,MATCH($B405,觀察名單!$B$2:$B$533,0)),"")</f>
        <v>A</v>
      </c>
      <c r="E405" s="15" t="inlineStr">
        <is>
          <t>https://www.tradingview.com/chart/Q1c5VWwD/?symbol=regn</t>
        </is>
      </c>
    </row>
    <row r="406">
      <c r="A406" s="15" t="n">
        <v>405</v>
      </c>
      <c r="B406" s="34" t="inlineStr">
        <is>
          <t>RGLD</t>
        </is>
      </c>
      <c r="C406" s="15" t="inlineStr">
        <is>
          <t>Royal Gold, Inc.</t>
        </is>
      </c>
      <c r="D406" s="15" t="str">
        <f>IFERROR(INDEX(觀察名單!$AA$2:$AA$533,MATCH($B406,觀察名單!$B$2:$B$533,0)),"")</f>
        <v>A</v>
      </c>
      <c r="E406" s="15" t="inlineStr">
        <is>
          <t>https://www.tradingview.com/chart/Q1c5VWwD/?symbol=rgld</t>
        </is>
      </c>
    </row>
    <row r="407">
      <c r="A407" s="15" t="n">
        <v>406</v>
      </c>
      <c r="B407" s="34" t="inlineStr">
        <is>
          <t>RGTI</t>
        </is>
      </c>
      <c r="C407" s="15" t="inlineStr">
        <is>
          <t>Rigetti Computing, Inc.</t>
        </is>
      </c>
      <c r="D407" s="15" t="str">
        <f>IFERROR(INDEX(觀察名單!$AA$2:$AA$533,MATCH($B407,觀察名單!$B$2:$B$533,0)),"")</f>
        <v>D</v>
      </c>
      <c r="E407" s="15" t="inlineStr">
        <is>
          <t>https://www.tradingview.com/chart/Q1c5VWwD/?symbol=rgti</t>
        </is>
      </c>
    </row>
    <row r="408">
      <c r="A408" s="15" t="n">
        <v>407</v>
      </c>
      <c r="B408" s="34" t="inlineStr">
        <is>
          <t>RHI</t>
        </is>
      </c>
      <c r="C408" s="15" t="inlineStr">
        <is>
          <t>Robert Half Inc.</t>
        </is>
      </c>
      <c r="D408" s="15" t="str">
        <f>IFERROR(INDEX(觀察名單!$AA$2:$AA$533,MATCH($B408,觀察名單!$B$2:$B$533,0)),"")</f>
        <v>D</v>
      </c>
      <c r="E408" s="15" t="inlineStr">
        <is>
          <t>https://www.tradingview.com/chart/Q1c5VWwD/?symbol=rhi</t>
        </is>
      </c>
    </row>
    <row r="409">
      <c r="A409" s="15" t="n">
        <v>408</v>
      </c>
      <c r="B409" s="34" t="inlineStr">
        <is>
          <t>RIG</t>
        </is>
      </c>
      <c r="C409" s="15" t="inlineStr">
        <is>
          <t>Transocean Ltd.</t>
        </is>
      </c>
      <c r="D409" s="15" t="str">
        <f>IFERROR(INDEX(觀察名單!$AA$2:$AA$533,MATCH($B409,觀察名單!$B$2:$B$533,0)),"")</f>
        <v>A</v>
      </c>
      <c r="E409" s="15" t="inlineStr">
        <is>
          <t>https://www.tradingview.com/chart/Q1c5VWwD/?symbol=rig</t>
        </is>
      </c>
    </row>
    <row r="410">
      <c r="A410" s="15" t="n">
        <v>409</v>
      </c>
      <c r="B410" s="34" t="inlineStr">
        <is>
          <t>RIOT</t>
        </is>
      </c>
      <c r="C410" s="15" t="inlineStr">
        <is>
          <t>Riot Platforms, Inc.</t>
        </is>
      </c>
      <c r="D410" s="15" t="str">
        <f>IFERROR(INDEX(觀察名單!$AA$2:$AA$533,MATCH($B410,觀察名單!$B$2:$B$533,0)),"")</f>
        <v>D</v>
      </c>
      <c r="E410" s="15" t="inlineStr">
        <is>
          <t>https://www.tradingview.com/chart/Q1c5VWwD/?symbol=riot</t>
        </is>
      </c>
    </row>
    <row r="411">
      <c r="A411" s="15" t="n">
        <v>410</v>
      </c>
      <c r="B411" s="34" t="inlineStr">
        <is>
          <t>RIVN</t>
        </is>
      </c>
      <c r="C411" s="15" t="inlineStr">
        <is>
          <t>Rivian Automotive, Inc.</t>
        </is>
      </c>
      <c r="D411" s="15" t="str">
        <f>IFERROR(INDEX(觀察名單!$AA$2:$AA$533,MATCH($B411,觀察名單!$B$2:$B$533,0)),"")</f>
        <v>C</v>
      </c>
      <c r="E411" s="15" t="inlineStr">
        <is>
          <t>https://www.tradingview.com/chart/Q1c5VWwD/?symbol=rivn</t>
        </is>
      </c>
    </row>
    <row r="412">
      <c r="A412" s="15" t="n">
        <v>411</v>
      </c>
      <c r="B412" s="34" t="inlineStr">
        <is>
          <t>RKLB</t>
        </is>
      </c>
      <c r="C412" s="15" t="inlineStr">
        <is>
          <t>Rocket Lab Corporation</t>
        </is>
      </c>
      <c r="D412" s="15" t="str">
        <f>IFERROR(INDEX(觀察名單!$AA$2:$AA$533,MATCH($B412,觀察名單!$B$2:$B$533,0)),"")</f>
        <v>C</v>
      </c>
      <c r="E412" s="15" t="inlineStr">
        <is>
          <t>https://www.tradingview.com/chart/Q1c5VWwD/?symbol=rklb</t>
        </is>
      </c>
    </row>
    <row r="413">
      <c r="A413" s="15" t="n">
        <v>412</v>
      </c>
      <c r="B413" s="34" t="inlineStr">
        <is>
          <t>RL</t>
        </is>
      </c>
      <c r="C413" s="15" t="inlineStr">
        <is>
          <t>Ralph Lauren Corporation</t>
        </is>
      </c>
      <c r="D413" s="15" t="str">
        <f>IFERROR(INDEX(觀察名單!$AA$2:$AA$533,MATCH($B413,觀察名單!$B$2:$B$533,0)),"")</f>
        <v>A</v>
      </c>
      <c r="E413" s="15" t="inlineStr">
        <is>
          <t>https://www.tradingview.com/chart/Q1c5VWwD/?symbol=rl</t>
        </is>
      </c>
    </row>
    <row r="414">
      <c r="A414" s="15" t="n">
        <v>413</v>
      </c>
      <c r="B414" s="34" t="inlineStr">
        <is>
          <t>RMBS</t>
        </is>
      </c>
      <c r="C414" s="15" t="inlineStr">
        <is>
          <t>Rambus Inc.</t>
        </is>
      </c>
      <c r="D414" s="15" t="str">
        <f>IFERROR(INDEX(觀察名單!$AA$2:$AA$533,MATCH($B414,觀察名單!$B$2:$B$533,0)),"")</f>
        <v>A</v>
      </c>
      <c r="E414" s="15" t="inlineStr">
        <is>
          <t>https://www.tradingview.com/chart/Q1c5VWwD/?symbol=rmbs</t>
        </is>
      </c>
    </row>
    <row r="415">
      <c r="A415" s="15" t="n">
        <v>414</v>
      </c>
      <c r="B415" s="34" t="inlineStr">
        <is>
          <t>RNR</t>
        </is>
      </c>
      <c r="C415" s="15" t="inlineStr">
        <is>
          <t>RenaissanceRe Holdings Ltd.</t>
        </is>
      </c>
      <c r="D415" s="15" t="str">
        <f>IFERROR(INDEX(觀察名單!$AA$2:$AA$533,MATCH($B415,觀察名單!$B$2:$B$533,0)),"")</f>
        <v>A</v>
      </c>
      <c r="E415" s="15" t="inlineStr">
        <is>
          <t>https://www.tradingview.com/chart/Q1c5VWwD/?symbol=rnr</t>
        </is>
      </c>
    </row>
    <row r="416">
      <c r="A416" s="15" t="n">
        <v>415</v>
      </c>
      <c r="B416" s="34" t="inlineStr">
        <is>
          <t>ROK</t>
        </is>
      </c>
      <c r="C416" s="15" t="inlineStr">
        <is>
          <t>Rockwell Automation, Inc.</t>
        </is>
      </c>
      <c r="D416" s="15" t="str">
        <f>IFERROR(INDEX(觀察名單!$AA$2:$AA$533,MATCH($B416,觀察名單!$B$2:$B$533,0)),"")</f>
        <v>A</v>
      </c>
      <c r="E416" s="15" t="inlineStr">
        <is>
          <t>https://www.tradingview.com/chart/Q1c5VWwD/?symbol=rok</t>
        </is>
      </c>
    </row>
    <row r="417">
      <c r="A417" s="15" t="n">
        <v>416</v>
      </c>
      <c r="B417" s="34" t="inlineStr">
        <is>
          <t>ROKU</t>
        </is>
      </c>
      <c r="C417" s="15" t="inlineStr">
        <is>
          <t>Roku, Inc.</t>
        </is>
      </c>
      <c r="D417" s="15" t="str">
        <f>IFERROR(INDEX(觀察名單!$AA$2:$AA$533,MATCH($B417,觀察名單!$B$2:$B$533,0)),"")</f>
        <v>A</v>
      </c>
      <c r="E417" s="15" t="inlineStr">
        <is>
          <t>https://www.tradingview.com/chart/Q1c5VWwD/?symbol=roku</t>
        </is>
      </c>
    </row>
    <row r="418">
      <c r="A418" s="15" t="n">
        <v>417</v>
      </c>
      <c r="B418" s="34" t="inlineStr">
        <is>
          <t>ROST</t>
        </is>
      </c>
      <c r="C418" s="15" t="inlineStr">
        <is>
          <t>Ross Stores, Inc.</t>
        </is>
      </c>
      <c r="D418" s="15" t="str">
        <f>IFERROR(INDEX(觀察名單!$AA$2:$AA$533,MATCH($B418,觀察名單!$B$2:$B$533,0)),"")</f>
        <v>A</v>
      </c>
      <c r="E418" s="15" t="inlineStr">
        <is>
          <t>https://www.tradingview.com/chart/Q1c5VWwD/?symbol=rost</t>
        </is>
      </c>
    </row>
    <row r="419">
      <c r="A419" s="15" t="n">
        <v>418</v>
      </c>
      <c r="B419" s="34" t="inlineStr">
        <is>
          <t>RS</t>
        </is>
      </c>
      <c r="C419" s="15" t="inlineStr">
        <is>
          <t>Reliance, Inc.</t>
        </is>
      </c>
      <c r="D419" s="15" t="str">
        <f>IFERROR(INDEX(觀察名單!$AA$2:$AA$533,MATCH($B419,觀察名單!$B$2:$B$533,0)),"")</f>
        <v>A</v>
      </c>
      <c r="E419" s="15" t="inlineStr">
        <is>
          <t>https://www.tradingview.com/chart/Q1c5VWwD/?symbol=rs</t>
        </is>
      </c>
    </row>
    <row r="420">
      <c r="A420" s="15" t="n">
        <v>419</v>
      </c>
      <c r="B420" s="34" t="inlineStr">
        <is>
          <t>RSG</t>
        </is>
      </c>
      <c r="C420" s="15" t="inlineStr">
        <is>
          <t>Republic Services, Inc.</t>
        </is>
      </c>
      <c r="D420" s="15" t="str">
        <f>IFERROR(INDEX(觀察名單!$AA$2:$AA$533,MATCH($B420,觀察名單!$B$2:$B$533,0)),"")</f>
        <v>A</v>
      </c>
      <c r="E420" s="15" t="inlineStr">
        <is>
          <t>https://www.tradingview.com/chart/Q1c5VWwD/?symbol=rsg</t>
        </is>
      </c>
    </row>
    <row r="421">
      <c r="A421" s="15" t="n">
        <v>420</v>
      </c>
      <c r="B421" s="34" t="inlineStr">
        <is>
          <t>RTX</t>
        </is>
      </c>
      <c r="C421" s="15" t="inlineStr">
        <is>
          <t>RTX Corporation</t>
        </is>
      </c>
      <c r="D421" s="15" t="str">
        <f>IFERROR(INDEX(觀察名單!$AA$2:$AA$533,MATCH($B421,觀察名單!$B$2:$B$533,0)),"")</f>
        <v>A</v>
      </c>
      <c r="E421" s="15" t="inlineStr">
        <is>
          <t>https://www.tradingview.com/chart/Q1c5VWwD/?symbol=rtx</t>
        </is>
      </c>
    </row>
    <row r="422">
      <c r="A422" s="15" t="n">
        <v>421</v>
      </c>
      <c r="B422" s="34" t="inlineStr">
        <is>
          <t>RUN</t>
        </is>
      </c>
      <c r="C422" s="15" t="inlineStr">
        <is>
          <t>Sunrun Inc.</t>
        </is>
      </c>
      <c r="D422" s="15" t="str">
        <f>IFERROR(INDEX(觀察名單!$AA$2:$AA$533,MATCH($B422,觀察名單!$B$2:$B$533,0)),"")</f>
        <v>B</v>
      </c>
      <c r="E422" s="15" t="inlineStr">
        <is>
          <t>https://www.tradingview.com/chart/Q1c5VWwD/?symbol=run</t>
        </is>
      </c>
    </row>
    <row r="423">
      <c r="A423" s="15" t="n">
        <v>422</v>
      </c>
      <c r="B423" s="34" t="inlineStr">
        <is>
          <t>RVMD</t>
        </is>
      </c>
      <c r="C423" s="15" t="inlineStr">
        <is>
          <t>Revolution Medicines, Inc.</t>
        </is>
      </c>
      <c r="D423" s="15" t="str">
        <f>IFERROR(INDEX(觀察名單!$AA$2:$AA$533,MATCH($B423,觀察名單!$B$2:$B$533,0)),"")</f>
        <v>D</v>
      </c>
      <c r="E423" s="15" t="inlineStr">
        <is>
          <t>https://www.tradingview.com/chart/Q1c5VWwD/?symbol=rvmd</t>
        </is>
      </c>
    </row>
    <row r="424">
      <c r="A424" s="15" t="n">
        <v>423</v>
      </c>
      <c r="B424" s="34" t="inlineStr">
        <is>
          <t>RXT</t>
        </is>
      </c>
      <c r="C424" s="15" t="inlineStr">
        <is>
          <t>Rackspace Technology, Inc.</t>
        </is>
      </c>
      <c r="D424" s="15" t="str">
        <f>IFERROR(INDEX(觀察名單!$AA$2:$AA$533,MATCH($B424,觀察名單!$B$2:$B$533,0)),"")</f>
        <v>C</v>
      </c>
      <c r="E424" s="15" t="inlineStr">
        <is>
          <t>https://www.tradingview.com/chart/Q1c5VWwD/?symbol=rxt</t>
        </is>
      </c>
    </row>
    <row r="425">
      <c r="A425" s="15" t="n">
        <v>424</v>
      </c>
      <c r="B425" s="34" t="inlineStr">
        <is>
          <t>S</t>
        </is>
      </c>
      <c r="C425" s="15" t="inlineStr">
        <is>
          <t>SentinelOne, Inc.</t>
        </is>
      </c>
      <c r="D425" s="15" t="str">
        <f>IFERROR(INDEX(觀察名單!$AA$2:$AA$533,MATCH($B425,觀察名單!$B$2:$B$533,0)),"")</f>
        <v>C</v>
      </c>
      <c r="E425" s="15" t="inlineStr">
        <is>
          <t>https://www.tradingview.com/chart/Q1c5VWwD/?symbol=s</t>
        </is>
      </c>
    </row>
    <row r="426">
      <c r="A426" s="15" t="n">
        <v>425</v>
      </c>
      <c r="B426" s="34" t="inlineStr">
        <is>
          <t>SANA</t>
        </is>
      </c>
      <c r="C426" s="15" t="inlineStr">
        <is>
          <t>Sana Biotechnology, Inc.</t>
        </is>
      </c>
      <c r="D426" s="15" t="str">
        <f>IFERROR(INDEX(觀察名單!$AA$2:$AA$533,MATCH($B426,觀察名單!$B$2:$B$533,0)),"")</f>
        <v>D</v>
      </c>
      <c r="E426" s="15" t="inlineStr">
        <is>
          <t>https://www.tradingview.com/chart/Q1c5VWwD/?symbol=sana</t>
        </is>
      </c>
    </row>
    <row r="427">
      <c r="A427" s="15" t="n">
        <v>426</v>
      </c>
      <c r="B427" s="34" t="inlineStr">
        <is>
          <t>SBAC</t>
        </is>
      </c>
      <c r="C427" s="15" t="inlineStr">
        <is>
          <t>SBA Communications Corporation</t>
        </is>
      </c>
      <c r="D427" s="15" t="str">
        <f>IFERROR(INDEX(觀察名單!$AA$2:$AA$533,MATCH($B427,觀察名單!$B$2:$B$533,0)),"")</f>
        <v>A</v>
      </c>
      <c r="E427" s="15" t="inlineStr">
        <is>
          <t>https://www.tradingview.com/chart/Q1c5VWwD/?symbol=sbac</t>
        </is>
      </c>
    </row>
    <row r="428">
      <c r="A428" s="15" t="n">
        <v>427</v>
      </c>
      <c r="B428" s="34" t="inlineStr">
        <is>
          <t>SBGSY</t>
        </is>
      </c>
      <c r="C428" s="15" t="inlineStr">
        <is>
          <t>Schneider Electric S.E.</t>
        </is>
      </c>
      <c r="D428" s="15" t="str">
        <f>IFERROR(INDEX(觀察名單!$AA$2:$AA$533,MATCH($B428,觀察名單!$B$2:$B$533,0)),"")</f>
        <v>—</v>
      </c>
      <c r="E428" s="15" t="inlineStr">
        <is>
          <t>https://www.tradingview.com/chart/Q1c5VWwD/?symbol=sbgsy</t>
        </is>
      </c>
    </row>
    <row r="429">
      <c r="A429" s="15" t="n">
        <v>428</v>
      </c>
      <c r="B429" s="34" t="inlineStr">
        <is>
          <t>SBUX</t>
        </is>
      </c>
      <c r="C429" s="15" t="inlineStr">
        <is>
          <t>Starbucks Corporation</t>
        </is>
      </c>
      <c r="D429" s="15" t="str">
        <f>IFERROR(INDEX(觀察名單!$AA$2:$AA$533,MATCH($B429,觀察名單!$B$2:$B$533,0)),"")</f>
        <v>A</v>
      </c>
      <c r="E429" s="15" t="inlineStr">
        <is>
          <t>https://www.tradingview.com/chart/Q1c5VWwD/?symbol=sbux</t>
        </is>
      </c>
    </row>
    <row r="430">
      <c r="A430" s="15" t="n">
        <v>429</v>
      </c>
      <c r="B430" s="34" t="inlineStr">
        <is>
          <t>SCCO</t>
        </is>
      </c>
      <c r="C430" s="15" t="inlineStr">
        <is>
          <t>Southern Copper Corporation</t>
        </is>
      </c>
      <c r="D430" s="15" t="str">
        <f>IFERROR(INDEX(觀察名單!$AA$2:$AA$533,MATCH($B430,觀察名單!$B$2:$B$533,0)),"")</f>
        <v>A</v>
      </c>
      <c r="E430" s="15" t="inlineStr">
        <is>
          <t>https://www.tradingview.com/chart/Q1c5VWwD/?symbol=scco</t>
        </is>
      </c>
    </row>
    <row r="431">
      <c r="A431" s="15" t="n">
        <v>430</v>
      </c>
      <c r="B431" s="34" t="inlineStr">
        <is>
          <t>SCI</t>
        </is>
      </c>
      <c r="C431" s="15" t="inlineStr">
        <is>
          <t>Service Corporation International</t>
        </is>
      </c>
      <c r="D431" s="15" t="str">
        <f>IFERROR(INDEX(觀察名單!$AA$2:$AA$533,MATCH($B431,觀察名單!$B$2:$B$533,0)),"")</f>
        <v>A</v>
      </c>
      <c r="E431" s="15" t="inlineStr">
        <is>
          <t>https://www.tradingview.com/chart/Q1c5VWwD/?symbol=sci</t>
        </is>
      </c>
    </row>
    <row r="432">
      <c r="A432" s="15" t="n">
        <v>431</v>
      </c>
      <c r="B432" s="34" t="inlineStr">
        <is>
          <t>SHOP</t>
        </is>
      </c>
      <c r="C432" s="15" t="inlineStr">
        <is>
          <t>Shopify Inc.</t>
        </is>
      </c>
      <c r="D432" s="15" t="str">
        <f>IFERROR(INDEX(觀察名單!$AA$2:$AA$533,MATCH($B432,觀察名單!$B$2:$B$533,0)),"")</f>
        <v>A</v>
      </c>
      <c r="E432" s="15" t="inlineStr">
        <is>
          <t>https://www.tradingview.com/chart/Q1c5VWwD/?symbol=shop</t>
        </is>
      </c>
    </row>
    <row r="433">
      <c r="A433" s="15" t="n">
        <v>432</v>
      </c>
      <c r="B433" s="34" t="inlineStr">
        <is>
          <t>SHW</t>
        </is>
      </c>
      <c r="C433" s="15" t="inlineStr">
        <is>
          <t>The Sherwin-Williams Company</t>
        </is>
      </c>
      <c r="D433" s="15" t="str">
        <f>IFERROR(INDEX(觀察名單!$AA$2:$AA$533,MATCH($B433,觀察名單!$B$2:$B$533,0)),"")</f>
        <v>A</v>
      </c>
      <c r="E433" s="15" t="inlineStr">
        <is>
          <t>https://www.tradingview.com/chart/Q1c5VWwD/?symbol=shw</t>
        </is>
      </c>
    </row>
    <row r="434">
      <c r="A434" s="15" t="n">
        <v>433</v>
      </c>
      <c r="B434" s="34" t="inlineStr">
        <is>
          <t>SIMO</t>
        </is>
      </c>
      <c r="C434" s="15" t="inlineStr">
        <is>
          <t>Silicon Motion Technology Corporation</t>
        </is>
      </c>
      <c r="D434" s="15" t="str">
        <f>IFERROR(INDEX(觀察名單!$AA$2:$AA$533,MATCH($B434,觀察名單!$B$2:$B$533,0)),"")</f>
        <v>A</v>
      </c>
      <c r="E434" s="15" t="inlineStr">
        <is>
          <t>https://www.tradingview.com/chart/Q1c5VWwD/?symbol=simo</t>
        </is>
      </c>
    </row>
    <row r="435">
      <c r="A435" s="15" t="n">
        <v>434</v>
      </c>
      <c r="B435" s="34" t="inlineStr">
        <is>
          <t>SLB</t>
        </is>
      </c>
      <c r="C435" s="15" t="inlineStr">
        <is>
          <t>SLB N.V.</t>
        </is>
      </c>
      <c r="D435" s="15" t="str">
        <f>IFERROR(INDEX(觀察名單!$AA$2:$AA$533,MATCH($B435,觀察名單!$B$2:$B$533,0)),"")</f>
        <v>A</v>
      </c>
      <c r="E435" s="15" t="inlineStr">
        <is>
          <t>https://www.tradingview.com/chart/Q1c5VWwD/?symbol=slb</t>
        </is>
      </c>
    </row>
    <row r="436">
      <c r="A436" s="15" t="n">
        <v>435</v>
      </c>
      <c r="B436" s="34" t="inlineStr">
        <is>
          <t>SLG</t>
        </is>
      </c>
      <c r="C436" s="15" t="inlineStr">
        <is>
          <t>SL Green Realty Corp.</t>
        </is>
      </c>
      <c r="D436" s="15" t="str">
        <f>IFERROR(INDEX(觀察名單!$AA$2:$AA$533,MATCH($B436,觀察名單!$B$2:$B$533,0)),"")</f>
        <v>B</v>
      </c>
      <c r="E436" s="15" t="inlineStr">
        <is>
          <t>https://www.tradingview.com/chart/Q1c5VWwD/?symbol=slg</t>
        </is>
      </c>
    </row>
    <row r="437">
      <c r="A437" s="15" t="n">
        <v>436</v>
      </c>
      <c r="B437" s="34" t="inlineStr">
        <is>
          <t>SMCI</t>
        </is>
      </c>
      <c r="C437" s="15" t="inlineStr">
        <is>
          <t>Super Micro Computer, Inc.</t>
        </is>
      </c>
      <c r="D437" s="15" t="str">
        <f>IFERROR(INDEX(觀察名單!$AA$2:$AA$533,MATCH($B437,觀察名單!$B$2:$B$533,0)),"")</f>
        <v>A</v>
      </c>
      <c r="E437" s="15" t="inlineStr">
        <is>
          <t>https://www.tradingview.com/chart/Q1c5VWwD/?symbol=smci</t>
        </is>
      </c>
    </row>
    <row r="438">
      <c r="A438" s="15" t="n">
        <v>437</v>
      </c>
      <c r="B438" s="34" t="inlineStr">
        <is>
          <t>SMR</t>
        </is>
      </c>
      <c r="C438" s="15" t="inlineStr">
        <is>
          <t>NuScale Power Corporation</t>
        </is>
      </c>
      <c r="D438" s="15" t="str">
        <f>IFERROR(INDEX(觀察名單!$AA$2:$AA$533,MATCH($B438,觀察名單!$B$2:$B$533,0)),"")</f>
        <v>C</v>
      </c>
      <c r="E438" s="15" t="inlineStr">
        <is>
          <t>https://www.tradingview.com/chart/Q1c5VWwD/?symbol=smr</t>
        </is>
      </c>
    </row>
    <row r="439">
      <c r="A439" s="15" t="n">
        <v>438</v>
      </c>
      <c r="B439" s="34" t="inlineStr">
        <is>
          <t>SMTC</t>
        </is>
      </c>
      <c r="C439" s="15" t="inlineStr">
        <is>
          <t>Semtech Corporation</t>
        </is>
      </c>
      <c r="D439" s="15" t="str">
        <f>IFERROR(INDEX(觀察名單!$AA$2:$AA$533,MATCH($B439,觀察名單!$B$2:$B$533,0)),"")</f>
        <v>A</v>
      </c>
      <c r="E439" s="15" t="inlineStr">
        <is>
          <t>https://www.tradingview.com/chart/Q1c5VWwD/?symbol=smtc</t>
        </is>
      </c>
    </row>
    <row r="440">
      <c r="A440" s="15" t="n">
        <v>439</v>
      </c>
      <c r="B440" s="34" t="inlineStr">
        <is>
          <t>SNAP</t>
        </is>
      </c>
      <c r="C440" s="15" t="inlineStr">
        <is>
          <t>Snap Inc.</t>
        </is>
      </c>
      <c r="D440" s="15" t="str">
        <f>IFERROR(INDEX(觀察名單!$AA$2:$AA$533,MATCH($B440,觀察名單!$B$2:$B$533,0)),"")</f>
        <v>D</v>
      </c>
      <c r="E440" s="15" t="inlineStr">
        <is>
          <t>https://www.tradingview.com/chart/Q1c5VWwD/?symbol=snap</t>
        </is>
      </c>
    </row>
    <row r="441">
      <c r="A441" s="15" t="n">
        <v>440</v>
      </c>
      <c r="B441" s="34" t="inlineStr">
        <is>
          <t>SNDK</t>
        </is>
      </c>
      <c r="C441" s="15" t="inlineStr">
        <is>
          <t>Sandisk Corporation</t>
        </is>
      </c>
      <c r="D441" s="15" t="str">
        <f>IFERROR(INDEX(觀察名單!$AA$2:$AA$533,MATCH($B441,觀察名單!$B$2:$B$533,0)),"")</f>
        <v>A</v>
      </c>
      <c r="E441" s="15" t="inlineStr">
        <is>
          <t>https://www.tradingview.com/chart/Q1c5VWwD/?symbol=sndk</t>
        </is>
      </c>
    </row>
    <row r="442">
      <c r="A442" s="15" t="n">
        <v>441</v>
      </c>
      <c r="B442" s="34" t="inlineStr">
        <is>
          <t>SNOW</t>
        </is>
      </c>
      <c r="C442" s="15" t="inlineStr">
        <is>
          <t>Snowflake Inc.</t>
        </is>
      </c>
      <c r="D442" s="15" t="str">
        <f>IFERROR(INDEX(觀察名單!$AA$2:$AA$533,MATCH($B442,觀察名單!$B$2:$B$533,0)),"")</f>
        <v>—</v>
      </c>
      <c r="E442" s="15" t="inlineStr">
        <is>
          <t>https://www.tradingview.com/chart/Q1c5VWwD/?symbol=snow</t>
        </is>
      </c>
    </row>
    <row r="443">
      <c r="A443" s="15" t="n">
        <v>442</v>
      </c>
      <c r="B443" s="34" t="inlineStr">
        <is>
          <t>SNPS</t>
        </is>
      </c>
      <c r="C443" s="15" t="inlineStr">
        <is>
          <t>Synopsys, Inc.</t>
        </is>
      </c>
      <c r="D443" s="15" t="str">
        <f>IFERROR(INDEX(觀察名單!$AA$2:$AA$533,MATCH($B443,觀察名單!$B$2:$B$533,0)),"")</f>
        <v>A</v>
      </c>
      <c r="E443" s="15" t="inlineStr">
        <is>
          <t>https://www.tradingview.com/chart/Q1c5VWwD/?symbol=snps</t>
        </is>
      </c>
    </row>
    <row r="444">
      <c r="A444" s="15" t="n">
        <v>443</v>
      </c>
      <c r="B444" s="34" t="inlineStr">
        <is>
          <t>SO</t>
        </is>
      </c>
      <c r="C444" s="15" t="inlineStr">
        <is>
          <t>The Southern Company</t>
        </is>
      </c>
      <c r="D444" s="15" t="str">
        <f>IFERROR(INDEX(觀察名單!$AA$2:$AA$533,MATCH($B444,觀察名單!$B$2:$B$533,0)),"")</f>
        <v>A</v>
      </c>
      <c r="E444" s="15" t="inlineStr">
        <is>
          <t>https://www.tradingview.com/chart/Q1c5VWwD/?symbol=so</t>
        </is>
      </c>
    </row>
    <row r="445">
      <c r="A445" s="15" t="n">
        <v>444</v>
      </c>
      <c r="B445" s="34" t="inlineStr">
        <is>
          <t>SOFI</t>
        </is>
      </c>
      <c r="C445" s="15" t="inlineStr">
        <is>
          <t>SoFi Technologies, Inc.</t>
        </is>
      </c>
      <c r="D445" s="15" t="str">
        <f>IFERROR(INDEX(觀察名單!$AA$2:$AA$533,MATCH($B445,觀察名單!$B$2:$B$533,0)),"")</f>
        <v>—</v>
      </c>
      <c r="E445" s="15" t="inlineStr">
        <is>
          <t>https://www.tradingview.com/chart/Q1c5VWwD/?symbol=sofi</t>
        </is>
      </c>
    </row>
    <row r="446">
      <c r="A446" s="15" t="n">
        <v>445</v>
      </c>
      <c r="B446" s="34" t="inlineStr">
        <is>
          <t>SOUN</t>
        </is>
      </c>
      <c r="C446" s="15" t="inlineStr">
        <is>
          <t>SoundHound AI, Inc.</t>
        </is>
      </c>
      <c r="D446" s="15" t="str">
        <f>IFERROR(INDEX(觀察名單!$AA$2:$AA$533,MATCH($B446,觀察名單!$B$2:$B$533,0)),"")</f>
        <v>C</v>
      </c>
      <c r="E446" s="15" t="inlineStr">
        <is>
          <t>https://www.tradingview.com/chart/Q1c5VWwD/?symbol=soun</t>
        </is>
      </c>
    </row>
    <row r="447">
      <c r="A447" s="15" t="n">
        <v>446</v>
      </c>
      <c r="B447" s="34" t="inlineStr">
        <is>
          <t>SPG</t>
        </is>
      </c>
      <c r="C447" s="15" t="inlineStr">
        <is>
          <t>Simon Property Group, Inc.</t>
        </is>
      </c>
      <c r="D447" s="15" t="str">
        <f>IFERROR(INDEX(觀察名單!$AA$2:$AA$533,MATCH($B447,觀察名單!$B$2:$B$533,0)),"")</f>
        <v>A</v>
      </c>
      <c r="E447" s="15" t="inlineStr">
        <is>
          <t>https://www.tradingview.com/chart/Q1c5VWwD/?symbol=spg</t>
        </is>
      </c>
    </row>
    <row r="448">
      <c r="A448" s="15" t="n">
        <v>447</v>
      </c>
      <c r="B448" s="34" t="inlineStr">
        <is>
          <t>SPGI</t>
        </is>
      </c>
      <c r="C448" s="15" t="inlineStr">
        <is>
          <t>S&amp;P Global Inc.</t>
        </is>
      </c>
      <c r="D448" s="15" t="str">
        <f>IFERROR(INDEX(觀察名單!$AA$2:$AA$533,MATCH($B448,觀察名單!$B$2:$B$533,0)),"")</f>
        <v>A</v>
      </c>
      <c r="E448" s="15" t="inlineStr">
        <is>
          <t>https://www.tradingview.com/chart/Q1c5VWwD/?symbol=spgi</t>
        </is>
      </c>
    </row>
    <row r="449">
      <c r="A449" s="15" t="n">
        <v>448</v>
      </c>
      <c r="B449" s="34" t="inlineStr">
        <is>
          <t>SR</t>
        </is>
      </c>
      <c r="C449" s="15" t="inlineStr">
        <is>
          <t>Spire Inc.</t>
        </is>
      </c>
      <c r="D449" s="15" t="str">
        <f>IFERROR(INDEX(觀察名單!$AA$2:$AA$533,MATCH($B449,觀察名單!$B$2:$B$533,0)),"")</f>
        <v>B</v>
      </c>
      <c r="E449" s="15" t="inlineStr">
        <is>
          <t>https://www.tradingview.com/chart/Q1c5VWwD/?symbol=sr</t>
        </is>
      </c>
    </row>
    <row r="450">
      <c r="A450" s="15" t="n">
        <v>449</v>
      </c>
      <c r="B450" s="34" t="inlineStr">
        <is>
          <t>STAG</t>
        </is>
      </c>
      <c r="C450" s="15" t="inlineStr">
        <is>
          <t>STAG Industrial, Inc.</t>
        </is>
      </c>
      <c r="D450" s="15" t="str">
        <f>IFERROR(INDEX(觀察名單!$AA$2:$AA$533,MATCH($B450,觀察名單!$B$2:$B$533,0)),"")</f>
        <v>A</v>
      </c>
      <c r="E450" s="15" t="inlineStr">
        <is>
          <t>https://www.tradingview.com/chart/Q1c5VWwD/?symbol=stag</t>
        </is>
      </c>
    </row>
    <row r="451">
      <c r="A451" s="15" t="n">
        <v>450</v>
      </c>
      <c r="B451" s="34" t="inlineStr">
        <is>
          <t>STLD</t>
        </is>
      </c>
      <c r="C451" s="15" t="inlineStr">
        <is>
          <t>Steel Dynamics, Inc.</t>
        </is>
      </c>
      <c r="D451" s="15" t="str">
        <f>IFERROR(INDEX(觀察名單!$AA$2:$AA$533,MATCH($B451,觀察名單!$B$2:$B$533,0)),"")</f>
        <v>A</v>
      </c>
      <c r="E451" s="15" t="inlineStr">
        <is>
          <t>https://www.tradingview.com/chart/Q1c5VWwD/?symbol=stld</t>
        </is>
      </c>
    </row>
    <row r="452">
      <c r="A452" s="15" t="n">
        <v>451</v>
      </c>
      <c r="B452" s="34" t="inlineStr">
        <is>
          <t>STX</t>
        </is>
      </c>
      <c r="C452" s="15" t="inlineStr">
        <is>
          <t>Seagate Technology Holdings plc</t>
        </is>
      </c>
      <c r="D452" s="15" t="str">
        <f>IFERROR(INDEX(觀察名單!$AA$2:$AA$533,MATCH($B452,觀察名單!$B$2:$B$533,0)),"")</f>
        <v>A</v>
      </c>
      <c r="E452" s="15" t="inlineStr">
        <is>
          <t>https://www.tradingview.com/chart/Q1c5VWwD/?symbol=stx</t>
        </is>
      </c>
    </row>
    <row r="453">
      <c r="A453" s="15" t="n">
        <v>452</v>
      </c>
      <c r="B453" s="34" t="inlineStr">
        <is>
          <t>STZ</t>
        </is>
      </c>
      <c r="C453" s="15" t="inlineStr">
        <is>
          <t>Constellation Brands, Inc.</t>
        </is>
      </c>
      <c r="D453" s="15" t="str">
        <f>IFERROR(INDEX(觀察名單!$AA$2:$AA$533,MATCH($B453,觀察名單!$B$2:$B$533,0)),"")</f>
        <v>A</v>
      </c>
      <c r="E453" s="15" t="inlineStr">
        <is>
          <t>https://www.tradingview.com/chart/Q1c5VWwD/?symbol=stz</t>
        </is>
      </c>
    </row>
    <row r="454">
      <c r="A454" s="15" t="n">
        <v>453</v>
      </c>
      <c r="B454" s="34" t="inlineStr">
        <is>
          <t>SYF</t>
        </is>
      </c>
      <c r="C454" s="15" t="inlineStr">
        <is>
          <t>Synchrony Financial</t>
        </is>
      </c>
      <c r="D454" s="15" t="str">
        <f>IFERROR(INDEX(觀察名單!$AA$2:$AA$533,MATCH($B454,觀察名單!$B$2:$B$533,0)),"")</f>
        <v>—</v>
      </c>
      <c r="E454" s="15" t="inlineStr">
        <is>
          <t>https://www.tradingview.com/chart/Q1c5VWwD/?symbol=syf</t>
        </is>
      </c>
    </row>
    <row r="455">
      <c r="A455" s="15" t="n">
        <v>454</v>
      </c>
      <c r="B455" s="34" t="inlineStr">
        <is>
          <t>SYK</t>
        </is>
      </c>
      <c r="C455" s="15" t="inlineStr">
        <is>
          <t>Stryker Corporation</t>
        </is>
      </c>
      <c r="D455" s="15" t="str">
        <f>IFERROR(INDEX(觀察名單!$AA$2:$AA$533,MATCH($B455,觀察名單!$B$2:$B$533,0)),"")</f>
        <v>A</v>
      </c>
      <c r="E455" s="15" t="inlineStr">
        <is>
          <t>https://www.tradingview.com/chart/Q1c5VWwD/?symbol=syk</t>
        </is>
      </c>
    </row>
    <row r="456">
      <c r="A456" s="15" t="n">
        <v>455</v>
      </c>
      <c r="B456" s="34" t="inlineStr">
        <is>
          <t>SYM</t>
        </is>
      </c>
      <c r="C456" s="15" t="inlineStr">
        <is>
          <t>Symbotic Inc.</t>
        </is>
      </c>
      <c r="D456" s="15" t="str">
        <f>IFERROR(INDEX(觀察名單!$AA$2:$AA$533,MATCH($B456,觀察名單!$B$2:$B$533,0)),"")</f>
        <v>B</v>
      </c>
      <c r="E456" s="15" t="inlineStr">
        <is>
          <t>https://www.tradingview.com/chart/Q1c5VWwD/?symbol=sym</t>
        </is>
      </c>
    </row>
    <row r="457">
      <c r="A457" s="15" t="n">
        <v>456</v>
      </c>
      <c r="B457" s="34" t="inlineStr">
        <is>
          <t>SYY</t>
        </is>
      </c>
      <c r="C457" s="15" t="inlineStr">
        <is>
          <t>Sysco Corporation</t>
        </is>
      </c>
      <c r="D457" s="15" t="str">
        <f>IFERROR(INDEX(觀察名單!$AA$2:$AA$533,MATCH($B457,觀察名單!$B$2:$B$533,0)),"")</f>
        <v>A</v>
      </c>
      <c r="E457" s="15" t="inlineStr">
        <is>
          <t>https://www.tradingview.com/chart/Q1c5VWwD/?symbol=syy</t>
        </is>
      </c>
    </row>
    <row r="458">
      <c r="A458" s="15" t="n">
        <v>457</v>
      </c>
      <c r="B458" s="34" t="inlineStr">
        <is>
          <t>T</t>
        </is>
      </c>
      <c r="C458" s="15" t="inlineStr">
        <is>
          <t>AT&amp;T Inc.</t>
        </is>
      </c>
      <c r="D458" s="15" t="str">
        <f>IFERROR(INDEX(觀察名單!$AA$2:$AA$533,MATCH($B458,觀察名單!$B$2:$B$533,0)),"")</f>
        <v>A</v>
      </c>
      <c r="E458" s="15" t="inlineStr">
        <is>
          <t>https://www.tradingview.com/chart/Q1c5VWwD/?symbol=t</t>
        </is>
      </c>
    </row>
    <row r="459">
      <c r="A459" s="15" t="n">
        <v>458</v>
      </c>
      <c r="B459" s="34" t="inlineStr">
        <is>
          <t>TAP</t>
        </is>
      </c>
      <c r="C459" s="15" t="inlineStr">
        <is>
          <t>Molson Coors Beverage Company</t>
        </is>
      </c>
      <c r="D459" s="15" t="str">
        <f>IFERROR(INDEX(觀察名單!$AA$2:$AA$533,MATCH($B459,觀察名單!$B$2:$B$533,0)),"")</f>
        <v>A</v>
      </c>
      <c r="E459" s="15" t="inlineStr">
        <is>
          <t>https://www.tradingview.com/chart/Q1c5VWwD/?symbol=tap</t>
        </is>
      </c>
    </row>
    <row r="460">
      <c r="A460" s="15" t="n">
        <v>459</v>
      </c>
      <c r="B460" s="34" t="inlineStr">
        <is>
          <t>TCEHY</t>
        </is>
      </c>
      <c r="C460" s="15" t="inlineStr">
        <is>
          <t>Tencent Holdings Limited</t>
        </is>
      </c>
      <c r="D460" s="15" t="str">
        <f>IFERROR(INDEX(觀察名單!$AA$2:$AA$533,MATCH($B460,觀察名單!$B$2:$B$533,0)),"")</f>
        <v>—</v>
      </c>
      <c r="E460" s="15" t="inlineStr">
        <is>
          <t>https://www.tradingview.com/chart/Q1c5VWwD/?symbol=tcehy</t>
        </is>
      </c>
    </row>
    <row r="461">
      <c r="A461" s="15" t="n">
        <v>460</v>
      </c>
      <c r="B461" s="34" t="inlineStr">
        <is>
          <t>TDOC</t>
        </is>
      </c>
      <c r="C461" s="15" t="inlineStr">
        <is>
          <t>Teladoc Health, Inc.</t>
        </is>
      </c>
      <c r="D461" s="15" t="str">
        <f>IFERROR(INDEX(觀察名單!$AA$2:$AA$533,MATCH($B461,觀察名單!$B$2:$B$533,0)),"")</f>
        <v>C</v>
      </c>
      <c r="E461" s="15" t="inlineStr">
        <is>
          <t>https://www.tradingview.com/chart/Q1c5VWwD/?symbol=tdoc</t>
        </is>
      </c>
    </row>
    <row r="462">
      <c r="A462" s="15" t="n">
        <v>461</v>
      </c>
      <c r="B462" s="34" t="inlineStr">
        <is>
          <t>TDW</t>
        </is>
      </c>
      <c r="C462" s="15" t="inlineStr">
        <is>
          <t>Tidewater Inc.</t>
        </is>
      </c>
      <c r="D462" s="15" t="str">
        <f>IFERROR(INDEX(觀察名單!$AA$2:$AA$533,MATCH($B462,觀察名單!$B$2:$B$533,0)),"")</f>
        <v>A</v>
      </c>
      <c r="E462" s="15" t="inlineStr">
        <is>
          <t>https://www.tradingview.com/chart/Q1c5VWwD/?symbol=tdw</t>
        </is>
      </c>
    </row>
    <row r="463">
      <c r="A463" s="15" t="n">
        <v>462</v>
      </c>
      <c r="B463" s="34" t="inlineStr">
        <is>
          <t>TEAM</t>
        </is>
      </c>
      <c r="C463" s="15" t="inlineStr">
        <is>
          <t>Atlassian Corporation</t>
        </is>
      </c>
      <c r="D463" s="15" t="str">
        <f>IFERROR(INDEX(觀察名單!$AA$2:$AA$533,MATCH($B463,觀察名單!$B$2:$B$533,0)),"")</f>
        <v>B</v>
      </c>
      <c r="E463" s="15" t="inlineStr">
        <is>
          <t>https://www.tradingview.com/chart/Q1c5VWwD/?symbol=team</t>
        </is>
      </c>
    </row>
    <row r="464">
      <c r="A464" s="15" t="n">
        <v>463</v>
      </c>
      <c r="B464" s="34" t="inlineStr">
        <is>
          <t>TECK</t>
        </is>
      </c>
      <c r="C464" s="15" t="inlineStr">
        <is>
          <t>Teck Resources Limited</t>
        </is>
      </c>
      <c r="D464" s="15" t="str">
        <f>IFERROR(INDEX(觀察名單!$AA$2:$AA$533,MATCH($B464,觀察名單!$B$2:$B$533,0)),"")</f>
        <v>A</v>
      </c>
      <c r="E464" s="15" t="inlineStr">
        <is>
          <t>https://www.tradingview.com/chart/Q1c5VWwD/?symbol=teck</t>
        </is>
      </c>
    </row>
    <row r="465">
      <c r="A465" s="15" t="n">
        <v>464</v>
      </c>
      <c r="B465" s="34" t="inlineStr">
        <is>
          <t>TEL</t>
        </is>
      </c>
      <c r="C465" s="15" t="inlineStr">
        <is>
          <t>TE Connectivity plc</t>
        </is>
      </c>
      <c r="D465" s="15" t="str">
        <f>IFERROR(INDEX(觀察名單!$AA$2:$AA$533,MATCH($B465,觀察名單!$B$2:$B$533,0)),"")</f>
        <v>A</v>
      </c>
      <c r="E465" s="15" t="inlineStr">
        <is>
          <t>https://www.tradingview.com/chart/Q1c5VWwD/?symbol=tel</t>
        </is>
      </c>
    </row>
    <row r="466">
      <c r="A466" s="15" t="n">
        <v>465</v>
      </c>
      <c r="B466" s="34" t="inlineStr">
        <is>
          <t>TER</t>
        </is>
      </c>
      <c r="C466" s="15" t="inlineStr">
        <is>
          <t>Teradyne, Inc.</t>
        </is>
      </c>
      <c r="D466" s="15" t="str">
        <f>IFERROR(INDEX(觀察名單!$AA$2:$AA$533,MATCH($B466,觀察名單!$B$2:$B$533,0)),"")</f>
        <v>A</v>
      </c>
      <c r="E466" s="15" t="inlineStr">
        <is>
          <t>https://www.tradingview.com/chart/Q1c5VWwD/?symbol=ter</t>
        </is>
      </c>
    </row>
    <row r="467">
      <c r="A467" s="15" t="n">
        <v>466</v>
      </c>
      <c r="B467" s="34" t="inlineStr">
        <is>
          <t>TFC</t>
        </is>
      </c>
      <c r="C467" s="15" t="inlineStr">
        <is>
          <t>Truist Financial Corporation</t>
        </is>
      </c>
      <c r="D467" s="15" t="str">
        <f>IFERROR(INDEX(觀察名單!$AA$2:$AA$533,MATCH($B467,觀察名單!$B$2:$B$533,0)),"")</f>
        <v>—</v>
      </c>
      <c r="E467" s="15" t="inlineStr">
        <is>
          <t>https://www.tradingview.com/chart/Q1c5VWwD/?symbol=tfc</t>
        </is>
      </c>
    </row>
    <row r="468">
      <c r="A468" s="15" t="n">
        <v>467</v>
      </c>
      <c r="B468" s="34" t="inlineStr">
        <is>
          <t>THC</t>
        </is>
      </c>
      <c r="C468" s="15" t="inlineStr">
        <is>
          <t>Tenet Healthcare Corporation</t>
        </is>
      </c>
      <c r="D468" s="15" t="str">
        <f>IFERROR(INDEX(觀察名單!$AA$2:$AA$533,MATCH($B468,觀察名單!$B$2:$B$533,0)),"")</f>
        <v>A</v>
      </c>
      <c r="E468" s="15" t="inlineStr">
        <is>
          <t>https://www.tradingview.com/chart/Q1c5VWwD/?symbol=thc</t>
        </is>
      </c>
    </row>
    <row r="469">
      <c r="A469" s="15" t="n">
        <v>468</v>
      </c>
      <c r="B469" s="34" t="inlineStr">
        <is>
          <t>TJX</t>
        </is>
      </c>
      <c r="C469" s="15" t="inlineStr">
        <is>
          <t>The TJX Companies, Inc.</t>
        </is>
      </c>
      <c r="D469" s="15" t="str">
        <f>IFERROR(INDEX(觀察名單!$AA$2:$AA$533,MATCH($B469,觀察名單!$B$2:$B$533,0)),"")</f>
        <v>A</v>
      </c>
      <c r="E469" s="15" t="inlineStr">
        <is>
          <t>https://www.tradingview.com/chart/Q1c5VWwD/?symbol=tjx</t>
        </is>
      </c>
    </row>
    <row r="470">
      <c r="A470" s="15" t="n">
        <v>469</v>
      </c>
      <c r="B470" s="34" t="inlineStr">
        <is>
          <t>TLN</t>
        </is>
      </c>
      <c r="C470" s="15" t="inlineStr">
        <is>
          <t>Talen Energy Corporation</t>
        </is>
      </c>
      <c r="D470" s="15" t="str">
        <f>IFERROR(INDEX(觀察名單!$AA$2:$AA$533,MATCH($B470,觀察名單!$B$2:$B$533,0)),"")</f>
        <v>B</v>
      </c>
      <c r="E470" s="15" t="inlineStr">
        <is>
          <t>https://www.tradingview.com/chart/Q1c5VWwD/?symbol=tln</t>
        </is>
      </c>
    </row>
    <row r="471">
      <c r="A471" s="15" t="n">
        <v>470</v>
      </c>
      <c r="B471" s="34" t="inlineStr">
        <is>
          <t>TMC</t>
        </is>
      </c>
      <c r="C471" s="15" t="inlineStr">
        <is>
          <t>TMC the metals company Inc.</t>
        </is>
      </c>
      <c r="D471" s="15" t="str">
        <f>IFERROR(INDEX(觀察名單!$AA$2:$AA$533,MATCH($B471,觀察名單!$B$2:$B$533,0)),"")</f>
        <v>D</v>
      </c>
      <c r="E471" s="15" t="inlineStr">
        <is>
          <t>https://www.tradingview.com/chart/Q1c5VWwD/?symbol=tmc</t>
        </is>
      </c>
    </row>
    <row r="472">
      <c r="A472" s="15" t="n">
        <v>471</v>
      </c>
      <c r="B472" s="34" t="inlineStr">
        <is>
          <t>TMO</t>
        </is>
      </c>
      <c r="C472" s="15" t="inlineStr">
        <is>
          <t>Thermo Fisher Scientific Inc.</t>
        </is>
      </c>
      <c r="D472" s="15" t="str">
        <f>IFERROR(INDEX(觀察名單!$AA$2:$AA$533,MATCH($B472,觀察名單!$B$2:$B$533,0)),"")</f>
        <v>A</v>
      </c>
      <c r="E472" s="15" t="inlineStr">
        <is>
          <t>https://www.tradingview.com/chart/Q1c5VWwD/?symbol=tmo</t>
        </is>
      </c>
    </row>
    <row r="473">
      <c r="A473" s="15" t="n">
        <v>472</v>
      </c>
      <c r="B473" s="34" t="inlineStr">
        <is>
          <t>TMUS</t>
        </is>
      </c>
      <c r="C473" s="15" t="inlineStr">
        <is>
          <t>T-Mobile US, Inc.</t>
        </is>
      </c>
      <c r="D473" s="15" t="str">
        <f>IFERROR(INDEX(觀察名單!$AA$2:$AA$533,MATCH($B473,觀察名單!$B$2:$B$533,0)),"")</f>
        <v>A</v>
      </c>
      <c r="E473" s="15" t="inlineStr">
        <is>
          <t>https://www.tradingview.com/chart/Q1c5VWwD/?symbol=tmus</t>
        </is>
      </c>
    </row>
    <row r="474">
      <c r="A474" s="15" t="n">
        <v>473</v>
      </c>
      <c r="B474" s="34" t="inlineStr">
        <is>
          <t>TOL</t>
        </is>
      </c>
      <c r="C474" s="15" t="inlineStr">
        <is>
          <t>Toll Brothers, Inc.</t>
        </is>
      </c>
      <c r="D474" s="15" t="str">
        <f>IFERROR(INDEX(觀察名單!$AA$2:$AA$533,MATCH($B474,觀察名單!$B$2:$B$533,0)),"")</f>
        <v>A</v>
      </c>
      <c r="E474" s="15" t="inlineStr">
        <is>
          <t>https://www.tradingview.com/chart/Q1c5VWwD/?symbol=tol</t>
        </is>
      </c>
    </row>
    <row r="475">
      <c r="A475" s="15" t="n">
        <v>474</v>
      </c>
      <c r="B475" s="34" t="inlineStr">
        <is>
          <t>TOST</t>
        </is>
      </c>
      <c r="C475" s="15" t="inlineStr">
        <is>
          <t>Toast, Inc.</t>
        </is>
      </c>
      <c r="D475" s="15" t="str">
        <f>IFERROR(INDEX(觀察名單!$AA$2:$AA$533,MATCH($B475,觀察名單!$B$2:$B$533,0)),"")</f>
        <v>A</v>
      </c>
      <c r="E475" s="15" t="inlineStr">
        <is>
          <t>https://www.tradingview.com/chart/Q1c5VWwD/?symbol=tost</t>
        </is>
      </c>
    </row>
    <row r="476">
      <c r="A476" s="15" t="n">
        <v>475</v>
      </c>
      <c r="B476" s="34" t="inlineStr">
        <is>
          <t>TPB</t>
        </is>
      </c>
      <c r="C476" s="15" t="inlineStr">
        <is>
          <t>Turning Point Brands, Inc.</t>
        </is>
      </c>
      <c r="D476" s="15" t="str">
        <f>IFERROR(INDEX(觀察名單!$AA$2:$AA$533,MATCH($B476,觀察名單!$B$2:$B$533,0)),"")</f>
        <v>A</v>
      </c>
      <c r="E476" s="15" t="inlineStr">
        <is>
          <t>https://www.tradingview.com/chart/Q1c5VWwD/?symbol=tpb</t>
        </is>
      </c>
    </row>
    <row r="477">
      <c r="A477" s="15" t="n">
        <v>476</v>
      </c>
      <c r="B477" s="34" t="inlineStr">
        <is>
          <t>TROW</t>
        </is>
      </c>
      <c r="C477" s="15" t="inlineStr">
        <is>
          <t>T. Rowe Price Group, Inc.</t>
        </is>
      </c>
      <c r="D477" s="15" t="str">
        <f>IFERROR(INDEX(觀察名單!$AA$2:$AA$533,MATCH($B477,觀察名單!$B$2:$B$533,0)),"")</f>
        <v>A</v>
      </c>
      <c r="E477" s="15" t="inlineStr">
        <is>
          <t>https://www.tradingview.com/chart/Q1c5VWwD/?symbol=trow</t>
        </is>
      </c>
    </row>
    <row r="478">
      <c r="A478" s="15" t="n">
        <v>477</v>
      </c>
      <c r="B478" s="34" t="inlineStr">
        <is>
          <t>TRV</t>
        </is>
      </c>
      <c r="C478" s="15" t="inlineStr">
        <is>
          <t>The Travelers Companies, Inc.</t>
        </is>
      </c>
      <c r="D478" s="15" t="str">
        <f>IFERROR(INDEX(觀察名單!$AA$2:$AA$533,MATCH($B478,觀察名單!$B$2:$B$533,0)),"")</f>
        <v>A</v>
      </c>
      <c r="E478" s="15" t="inlineStr">
        <is>
          <t>https://www.tradingview.com/chart/Q1c5VWwD/?symbol=trv</t>
        </is>
      </c>
    </row>
    <row r="479">
      <c r="A479" s="15" t="n">
        <v>478</v>
      </c>
      <c r="B479" s="34" t="inlineStr">
        <is>
          <t>TSEM</t>
        </is>
      </c>
      <c r="C479" s="15" t="inlineStr">
        <is>
          <t>Tower Semiconductor Ltd.</t>
        </is>
      </c>
      <c r="D479" s="15" t="str">
        <f>IFERROR(INDEX(觀察名單!$AA$2:$AA$533,MATCH($B479,觀察名單!$B$2:$B$533,0)),"")</f>
        <v>A</v>
      </c>
      <c r="E479" s="15" t="inlineStr">
        <is>
          <t>https://www.tradingview.com/chart/Q1c5VWwD/?symbol=tsem</t>
        </is>
      </c>
    </row>
    <row r="480">
      <c r="A480" s="15" t="n">
        <v>479</v>
      </c>
      <c r="B480" s="34" t="inlineStr">
        <is>
          <t>TSLA</t>
        </is>
      </c>
      <c r="C480" s="15" t="inlineStr">
        <is>
          <t>Tesla, Inc.</t>
        </is>
      </c>
      <c r="D480" s="15" t="str">
        <f>IFERROR(INDEX(觀察名單!$AA$2:$AA$533,MATCH($B480,觀察名單!$B$2:$B$533,0)),"")</f>
        <v>A</v>
      </c>
      <c r="E480" s="15" t="inlineStr">
        <is>
          <t>https://www.tradingview.com/chart/Q1c5VWwD/?symbol=tsla</t>
        </is>
      </c>
    </row>
    <row r="481">
      <c r="A481" s="15" t="n">
        <v>480</v>
      </c>
      <c r="B481" s="34" t="inlineStr">
        <is>
          <t>TSM</t>
        </is>
      </c>
      <c r="C481" s="15" t="inlineStr">
        <is>
          <t>Taiwan Semiconductor Manufacturing Company Limited</t>
        </is>
      </c>
      <c r="D481" s="15" t="str">
        <f>IFERROR(INDEX(觀察名單!$AA$2:$AA$533,MATCH($B481,觀察名單!$B$2:$B$533,0)),"")</f>
        <v>A</v>
      </c>
      <c r="E481" s="15" t="inlineStr">
        <is>
          <t>https://www.tradingview.com/chart/Q1c5VWwD/?symbol=tsm</t>
        </is>
      </c>
    </row>
    <row r="482">
      <c r="A482" s="15" t="n">
        <v>481</v>
      </c>
      <c r="B482" s="34" t="inlineStr">
        <is>
          <t>TSN</t>
        </is>
      </c>
      <c r="C482" s="15" t="inlineStr">
        <is>
          <t>Tyson Foods, Inc.</t>
        </is>
      </c>
      <c r="D482" s="15" t="str">
        <f>IFERROR(INDEX(觀察名單!$AA$2:$AA$533,MATCH($B482,觀察名單!$B$2:$B$533,0)),"")</f>
        <v>A</v>
      </c>
      <c r="E482" s="15" t="inlineStr">
        <is>
          <t>https://www.tradingview.com/chart/Q1c5VWwD/?symbol=tsn</t>
        </is>
      </c>
    </row>
    <row r="483">
      <c r="A483" s="15" t="n">
        <v>482</v>
      </c>
      <c r="B483" s="34" t="inlineStr">
        <is>
          <t>TT</t>
        </is>
      </c>
      <c r="C483" s="15" t="inlineStr">
        <is>
          <t>Trane Technologies plc</t>
        </is>
      </c>
      <c r="D483" s="15" t="str">
        <f>IFERROR(INDEX(觀察名單!$AA$2:$AA$533,MATCH($B483,觀察名單!$B$2:$B$533,0)),"")</f>
        <v>A</v>
      </c>
      <c r="E483" s="15" t="inlineStr">
        <is>
          <t>https://www.tradingview.com/chart/Q1c5VWwD/?symbol=tt</t>
        </is>
      </c>
    </row>
    <row r="484">
      <c r="A484" s="15" t="n">
        <v>483</v>
      </c>
      <c r="B484" s="34" t="inlineStr">
        <is>
          <t>TTWO</t>
        </is>
      </c>
      <c r="C484" s="15" t="inlineStr">
        <is>
          <t>Take-Two Interactive Software, Inc.</t>
        </is>
      </c>
      <c r="D484" s="15" t="str">
        <f>IFERROR(INDEX(觀察名單!$AA$2:$AA$533,MATCH($B484,觀察名單!$B$2:$B$533,0)),"")</f>
        <v>C</v>
      </c>
      <c r="E484" s="15" t="inlineStr">
        <is>
          <t>https://www.tradingview.com/chart/Q1c5VWwD/?symbol=ttwo</t>
        </is>
      </c>
    </row>
    <row r="485">
      <c r="A485" s="15" t="n">
        <v>484</v>
      </c>
      <c r="B485" s="34" t="inlineStr">
        <is>
          <t>TXN</t>
        </is>
      </c>
      <c r="C485" s="15" t="inlineStr">
        <is>
          <t>Texas Instruments Incorporated</t>
        </is>
      </c>
      <c r="D485" s="15" t="str">
        <f>IFERROR(INDEX(觀察名單!$AA$2:$AA$533,MATCH($B485,觀察名單!$B$2:$B$533,0)),"")</f>
        <v>A</v>
      </c>
      <c r="E485" s="15" t="inlineStr">
        <is>
          <t>https://www.tradingview.com/chart/Q1c5VWwD/?symbol=txn</t>
        </is>
      </c>
    </row>
    <row r="486">
      <c r="A486" s="15" t="n">
        <v>485</v>
      </c>
      <c r="B486" s="34" t="inlineStr">
        <is>
          <t>UAL</t>
        </is>
      </c>
      <c r="C486" s="15" t="inlineStr">
        <is>
          <t>United Airlines Holdings, Inc.</t>
        </is>
      </c>
      <c r="D486" s="15" t="str">
        <f>IFERROR(INDEX(觀察名單!$AA$2:$AA$533,MATCH($B486,觀察名單!$B$2:$B$533,0)),"")</f>
        <v>A</v>
      </c>
      <c r="E486" s="15" t="inlineStr">
        <is>
          <t>https://www.tradingview.com/chart/Q1c5VWwD/?symbol=ual</t>
        </is>
      </c>
    </row>
    <row r="487">
      <c r="A487" s="15" t="n">
        <v>486</v>
      </c>
      <c r="B487" s="34" t="inlineStr">
        <is>
          <t>UEC</t>
        </is>
      </c>
      <c r="C487" s="15" t="inlineStr">
        <is>
          <t>Uranium Energy Corp.</t>
        </is>
      </c>
      <c r="D487" s="15" t="str">
        <f>IFERROR(INDEX(觀察名單!$AA$2:$AA$533,MATCH($B487,觀察名單!$B$2:$B$533,0)),"")</f>
        <v>D</v>
      </c>
      <c r="E487" s="15" t="inlineStr">
        <is>
          <t>https://www.tradingview.com/chart/Q1c5VWwD/?symbol=uec</t>
        </is>
      </c>
    </row>
    <row r="488">
      <c r="A488" s="15" t="n">
        <v>487</v>
      </c>
      <c r="B488" s="34" t="inlineStr">
        <is>
          <t>UHS</t>
        </is>
      </c>
      <c r="C488" s="15" t="inlineStr">
        <is>
          <t>Universal Health Services, Inc.</t>
        </is>
      </c>
      <c r="D488" s="15" t="str">
        <f>IFERROR(INDEX(觀察名單!$AA$2:$AA$533,MATCH($B488,觀察名單!$B$2:$B$533,0)),"")</f>
        <v>A</v>
      </c>
      <c r="E488" s="15" t="inlineStr">
        <is>
          <t>https://www.tradingview.com/chart/Q1c5VWwD/?symbol=uhs</t>
        </is>
      </c>
    </row>
    <row r="489">
      <c r="A489" s="15" t="n">
        <v>488</v>
      </c>
      <c r="B489" s="34" t="inlineStr">
        <is>
          <t>UMC</t>
        </is>
      </c>
      <c r="C489" s="15" t="inlineStr">
        <is>
          <t>United Microelectronics Corporation</t>
        </is>
      </c>
      <c r="D489" s="15" t="str">
        <f>IFERROR(INDEX(觀察名單!$AA$2:$AA$533,MATCH($B489,觀察名單!$B$2:$B$533,0)),"")</f>
        <v>A</v>
      </c>
      <c r="E489" s="15" t="inlineStr">
        <is>
          <t>https://www.tradingview.com/chart/Q1c5VWwD/?symbol=umc</t>
        </is>
      </c>
    </row>
    <row r="490">
      <c r="A490" s="15" t="n">
        <v>489</v>
      </c>
      <c r="B490" s="34" t="inlineStr">
        <is>
          <t>UNH</t>
        </is>
      </c>
      <c r="C490" s="15" t="inlineStr">
        <is>
          <t>UnitedHealth Group Incorporated</t>
        </is>
      </c>
      <c r="D490" s="15" t="str">
        <f>IFERROR(INDEX(觀察名單!$AA$2:$AA$533,MATCH($B490,觀察名單!$B$2:$B$533,0)),"")</f>
        <v>A</v>
      </c>
      <c r="E490" s="15" t="inlineStr">
        <is>
          <t>https://www.tradingview.com/chart/Q1c5VWwD/?symbol=unh</t>
        </is>
      </c>
    </row>
    <row r="491">
      <c r="A491" s="15" t="n">
        <v>490</v>
      </c>
      <c r="B491" s="34" t="inlineStr">
        <is>
          <t>UNP</t>
        </is>
      </c>
      <c r="C491" s="15" t="inlineStr">
        <is>
          <t>Union Pacific Corporation</t>
        </is>
      </c>
      <c r="D491" s="15" t="str">
        <f>IFERROR(INDEX(觀察名單!$AA$2:$AA$533,MATCH($B491,觀察名單!$B$2:$B$533,0)),"")</f>
        <v>A</v>
      </c>
      <c r="E491" s="15" t="inlineStr">
        <is>
          <t>https://www.tradingview.com/chart/Q1c5VWwD/?symbol=unp</t>
        </is>
      </c>
    </row>
    <row r="492">
      <c r="A492" s="15" t="n">
        <v>491</v>
      </c>
      <c r="B492" s="34" t="inlineStr">
        <is>
          <t>UPS</t>
        </is>
      </c>
      <c r="C492" s="15" t="inlineStr">
        <is>
          <t>United Parcel Service, Inc.</t>
        </is>
      </c>
      <c r="D492" s="15" t="str">
        <f>IFERROR(INDEX(觀察名單!$AA$2:$AA$533,MATCH($B492,觀察名單!$B$2:$B$533,0)),"")</f>
        <v>A</v>
      </c>
      <c r="E492" s="15" t="inlineStr">
        <is>
          <t>https://www.tradingview.com/chart/Q1c5VWwD/?symbol=ups</t>
        </is>
      </c>
    </row>
    <row r="493">
      <c r="A493" s="15" t="n">
        <v>492</v>
      </c>
      <c r="B493" s="34" t="inlineStr">
        <is>
          <t>UPST</t>
        </is>
      </c>
      <c r="C493" s="15" t="inlineStr">
        <is>
          <t>Upstart Holdings, Inc.</t>
        </is>
      </c>
      <c r="D493" s="15" t="str">
        <f>IFERROR(INDEX(觀察名單!$AA$2:$AA$533,MATCH($B493,觀察名單!$B$2:$B$533,0)),"")</f>
        <v>—</v>
      </c>
      <c r="E493" s="15" t="inlineStr">
        <is>
          <t>https://www.tradingview.com/chart/Q1c5VWwD/?symbol=upst</t>
        </is>
      </c>
    </row>
    <row r="494">
      <c r="A494" s="15" t="n">
        <v>493</v>
      </c>
      <c r="B494" s="34" t="inlineStr">
        <is>
          <t>USAR</t>
        </is>
      </c>
      <c r="C494" s="15" t="inlineStr">
        <is>
          <t>USA Rare Earth, Inc.</t>
        </is>
      </c>
      <c r="D494" s="15" t="str">
        <f>IFERROR(INDEX(觀察名單!$AA$2:$AA$533,MATCH($B494,觀察名單!$B$2:$B$533,0)),"")</f>
        <v>D</v>
      </c>
      <c r="E494" s="15" t="inlineStr">
        <is>
          <t>https://www.tradingview.com/chart/Q1c5VWwD/?symbol=usar</t>
        </is>
      </c>
    </row>
    <row r="495">
      <c r="A495" s="15" t="n">
        <v>494</v>
      </c>
      <c r="B495" s="34" t="inlineStr">
        <is>
          <t>USB</t>
        </is>
      </c>
      <c r="C495" s="15" t="inlineStr">
        <is>
          <t>U.S. Bancorp</t>
        </is>
      </c>
      <c r="D495" s="15" t="str">
        <f>IFERROR(INDEX(觀察名單!$AA$2:$AA$533,MATCH($B495,觀察名單!$B$2:$B$533,0)),"")</f>
        <v>—</v>
      </c>
      <c r="E495" s="15" t="inlineStr">
        <is>
          <t>https://www.tradingview.com/chart/Q1c5VWwD/?symbol=usb</t>
        </is>
      </c>
    </row>
    <row r="496">
      <c r="A496" s="15" t="n">
        <v>495</v>
      </c>
      <c r="B496" s="34" t="inlineStr">
        <is>
          <t>USFD</t>
        </is>
      </c>
      <c r="C496" s="15" t="inlineStr">
        <is>
          <t>US Foods Holding Corp.</t>
        </is>
      </c>
      <c r="D496" s="15" t="str">
        <f>IFERROR(INDEX(觀察名單!$AA$2:$AA$533,MATCH($B496,觀察名單!$B$2:$B$533,0)),"")</f>
        <v>A</v>
      </c>
      <c r="E496" s="15" t="inlineStr">
        <is>
          <t>https://www.tradingview.com/chart/Q1c5VWwD/?symbol=usfd</t>
        </is>
      </c>
    </row>
    <row r="497">
      <c r="A497" s="15" t="n">
        <v>496</v>
      </c>
      <c r="B497" s="34" t="inlineStr">
        <is>
          <t>UUUU</t>
        </is>
      </c>
      <c r="C497" s="15" t="inlineStr">
        <is>
          <t>Energy Fuels Inc.</t>
        </is>
      </c>
      <c r="D497" s="15" t="str">
        <f>IFERROR(INDEX(觀察名單!$AA$2:$AA$533,MATCH($B497,觀察名單!$B$2:$B$533,0)),"")</f>
        <v>C</v>
      </c>
      <c r="E497" s="15" t="inlineStr">
        <is>
          <t>https://www.tradingview.com/chart/Q1c5VWwD/?symbol=uuuu</t>
        </is>
      </c>
    </row>
    <row r="498">
      <c r="A498" s="15" t="n">
        <v>497</v>
      </c>
      <c r="B498" s="34" t="inlineStr">
        <is>
          <t>V</t>
        </is>
      </c>
      <c r="C498" s="15" t="inlineStr">
        <is>
          <t>Visa Inc.</t>
        </is>
      </c>
      <c r="D498" s="15" t="str">
        <f>IFERROR(INDEX(觀察名單!$AA$2:$AA$533,MATCH($B498,觀察名單!$B$2:$B$533,0)),"")</f>
        <v>A</v>
      </c>
      <c r="E498" s="15" t="inlineStr">
        <is>
          <t>https://www.tradingview.com/chart/Q1c5VWwD/?symbol=v</t>
        </is>
      </c>
    </row>
    <row r="499">
      <c r="A499" s="15" t="n">
        <v>498</v>
      </c>
      <c r="B499" s="34" t="inlineStr">
        <is>
          <t>VAL</t>
        </is>
      </c>
      <c r="C499" s="15" t="inlineStr">
        <is>
          <t>Valaris Limited</t>
        </is>
      </c>
      <c r="D499" s="15" t="str">
        <f>IFERROR(INDEX(觀察名單!$AA$2:$AA$533,MATCH($B499,觀察名單!$B$2:$B$533,0)),"")</f>
        <v>A</v>
      </c>
      <c r="E499" s="15" t="inlineStr">
        <is>
          <t>https://www.tradingview.com/chart/Q1c5VWwD/?symbol=val</t>
        </is>
      </c>
    </row>
    <row r="500">
      <c r="A500" s="15" t="n">
        <v>499</v>
      </c>
      <c r="B500" s="34" t="inlineStr">
        <is>
          <t>VECO</t>
        </is>
      </c>
      <c r="C500" s="15" t="inlineStr">
        <is>
          <t>Veeco Instruments Inc.</t>
        </is>
      </c>
      <c r="D500" s="15" t="str">
        <f>IFERROR(INDEX(觀察名單!$AA$2:$AA$533,MATCH($B500,觀察名單!$B$2:$B$533,0)),"")</f>
        <v>D</v>
      </c>
      <c r="E500" s="15" t="inlineStr">
        <is>
          <t>https://www.tradingview.com/chart/Q1c5VWwD/?symbol=veco</t>
        </is>
      </c>
    </row>
    <row r="501">
      <c r="A501" s="15" t="n">
        <v>500</v>
      </c>
      <c r="B501" s="34" t="inlineStr">
        <is>
          <t>VG</t>
        </is>
      </c>
      <c r="C501" s="15" t="inlineStr">
        <is>
          <t>Venture Global, Inc.</t>
        </is>
      </c>
      <c r="D501" s="15" t="str">
        <f>IFERROR(INDEX(觀察名單!$AA$2:$AA$533,MATCH($B501,觀察名單!$B$2:$B$533,0)),"")</f>
        <v>A</v>
      </c>
      <c r="E501" s="15" t="inlineStr">
        <is>
          <t>https://www.tradingview.com/chart/Q1c5VWwD/?symbol=vg</t>
        </is>
      </c>
    </row>
    <row r="502">
      <c r="A502" s="15" t="n">
        <v>501</v>
      </c>
      <c r="B502" s="34" t="inlineStr">
        <is>
          <t>VIAV</t>
        </is>
      </c>
      <c r="C502" s="15" t="inlineStr">
        <is>
          <t>Viavi Solutions Inc.</t>
        </is>
      </c>
      <c r="D502" s="15" t="str">
        <f>IFERROR(INDEX(觀察名單!$AA$2:$AA$533,MATCH($B502,觀察名單!$B$2:$B$533,0)),"")</f>
        <v>A</v>
      </c>
      <c r="E502" s="15" t="inlineStr">
        <is>
          <t>https://www.tradingview.com/chart/Q1c5VWwD/?symbol=viav</t>
        </is>
      </c>
    </row>
    <row r="503">
      <c r="A503" s="15" t="n">
        <v>502</v>
      </c>
      <c r="B503" s="34" t="inlineStr">
        <is>
          <t>VICI</t>
        </is>
      </c>
      <c r="C503" s="15" t="inlineStr">
        <is>
          <t>VICI Properties Inc.</t>
        </is>
      </c>
      <c r="D503" s="15" t="str">
        <f>IFERROR(INDEX(觀察名單!$AA$2:$AA$533,MATCH($B503,觀察名單!$B$2:$B$533,0)),"")</f>
        <v>A</v>
      </c>
      <c r="E503" s="15" t="inlineStr">
        <is>
          <t>https://www.tradingview.com/chart/Q1c5VWwD/?symbol=vici</t>
        </is>
      </c>
    </row>
    <row r="504">
      <c r="A504" s="15" t="n">
        <v>503</v>
      </c>
      <c r="B504" s="34" t="inlineStr">
        <is>
          <t>VKTX</t>
        </is>
      </c>
      <c r="C504" s="15" t="inlineStr">
        <is>
          <t>Viking Therapeutics, Inc.</t>
        </is>
      </c>
      <c r="D504" s="15" t="str">
        <f>IFERROR(INDEX(觀察名單!$AA$2:$AA$533,MATCH($B504,觀察名單!$B$2:$B$533,0)),"")</f>
        <v>D</v>
      </c>
      <c r="E504" s="15" t="inlineStr">
        <is>
          <t>https://www.tradingview.com/chart/Q1c5VWwD/?symbol=vktx</t>
        </is>
      </c>
    </row>
    <row r="505">
      <c r="A505" s="15" t="n">
        <v>504</v>
      </c>
      <c r="B505" s="34" t="inlineStr">
        <is>
          <t>VLO</t>
        </is>
      </c>
      <c r="C505" s="15" t="inlineStr">
        <is>
          <t>Valero Energy Corporation</t>
        </is>
      </c>
      <c r="D505" s="15" t="str">
        <f>IFERROR(INDEX(觀察名單!$AA$2:$AA$533,MATCH($B505,觀察名單!$B$2:$B$533,0)),"")</f>
        <v>A</v>
      </c>
      <c r="E505" s="15" t="inlineStr">
        <is>
          <t>https://www.tradingview.com/chart/Q1c5VWwD/?symbol=vlo</t>
        </is>
      </c>
    </row>
    <row r="506">
      <c r="A506" s="15" t="n">
        <v>505</v>
      </c>
      <c r="B506" s="34" t="inlineStr">
        <is>
          <t>VMC</t>
        </is>
      </c>
      <c r="C506" s="15" t="inlineStr">
        <is>
          <t>Vulcan Materials Company</t>
        </is>
      </c>
      <c r="D506" s="15" t="str">
        <f>IFERROR(INDEX(觀察名單!$AA$2:$AA$533,MATCH($B506,觀察名單!$B$2:$B$533,0)),"")</f>
        <v>A</v>
      </c>
      <c r="E506" s="15" t="inlineStr">
        <is>
          <t>https://www.tradingview.com/chart/Q1c5VWwD/?symbol=vmc</t>
        </is>
      </c>
    </row>
    <row r="507">
      <c r="A507" s="15" t="n">
        <v>506</v>
      </c>
      <c r="B507" s="34" t="inlineStr">
        <is>
          <t>VNO</t>
        </is>
      </c>
      <c r="C507" s="15" t="inlineStr">
        <is>
          <t>Vornado Realty Trust</t>
        </is>
      </c>
      <c r="D507" s="15" t="str">
        <f>IFERROR(INDEX(觀察名單!$AA$2:$AA$533,MATCH($B507,觀察名單!$B$2:$B$533,0)),"")</f>
        <v>A</v>
      </c>
      <c r="E507" s="15" t="inlineStr">
        <is>
          <t>https://www.tradingview.com/chart/Q1c5VWwD/?symbol=vno</t>
        </is>
      </c>
    </row>
    <row r="508">
      <c r="A508" s="15" t="n">
        <v>507</v>
      </c>
      <c r="B508" s="34" t="inlineStr">
        <is>
          <t>VRT</t>
        </is>
      </c>
      <c r="C508" s="15" t="inlineStr">
        <is>
          <t>Vertiv Holdings Co</t>
        </is>
      </c>
      <c r="D508" s="15" t="str">
        <f>IFERROR(INDEX(觀察名單!$AA$2:$AA$533,MATCH($B508,觀察名單!$B$2:$B$533,0)),"")</f>
        <v>A</v>
      </c>
      <c r="E508" s="15" t="inlineStr">
        <is>
          <t>https://www.tradingview.com/chart/Q1c5VWwD/?symbol=vrt</t>
        </is>
      </c>
    </row>
    <row r="509">
      <c r="A509" s="15" t="n">
        <v>508</v>
      </c>
      <c r="B509" s="34" t="inlineStr">
        <is>
          <t>VRTX</t>
        </is>
      </c>
      <c r="C509" s="15" t="inlineStr">
        <is>
          <t>Vertex Pharmaceuticals Incorporated</t>
        </is>
      </c>
      <c r="D509" s="15" t="str">
        <f>IFERROR(INDEX(觀察名單!$AA$2:$AA$533,MATCH($B509,觀察名單!$B$2:$B$533,0)),"")</f>
        <v>A</v>
      </c>
      <c r="E509" s="15" t="inlineStr">
        <is>
          <t>https://www.tradingview.com/chart/Q1c5VWwD/?symbol=vrtx</t>
        </is>
      </c>
    </row>
    <row r="510">
      <c r="A510" s="15" t="n">
        <v>509</v>
      </c>
      <c r="B510" s="34" t="inlineStr">
        <is>
          <t>VST</t>
        </is>
      </c>
      <c r="C510" s="15" t="inlineStr">
        <is>
          <t>Vistra Corp.</t>
        </is>
      </c>
      <c r="D510" s="15" t="str">
        <f>IFERROR(INDEX(觀察名單!$AA$2:$AA$533,MATCH($B510,觀察名單!$B$2:$B$533,0)),"")</f>
        <v>A</v>
      </c>
      <c r="E510" s="15" t="inlineStr">
        <is>
          <t>https://www.tradingview.com/chart/Q1c5VWwD/?symbol=vst</t>
        </is>
      </c>
    </row>
    <row r="511">
      <c r="A511" s="15" t="n">
        <v>510</v>
      </c>
      <c r="B511" s="34" t="inlineStr">
        <is>
          <t>VTR</t>
        </is>
      </c>
      <c r="C511" s="15" t="inlineStr">
        <is>
          <t>Ventas, Inc.</t>
        </is>
      </c>
      <c r="D511" s="15" t="str">
        <f>IFERROR(INDEX(觀察名單!$AA$2:$AA$533,MATCH($B511,觀察名單!$B$2:$B$533,0)),"")</f>
        <v>A</v>
      </c>
      <c r="E511" s="15" t="inlineStr">
        <is>
          <t>https://www.tradingview.com/chart/Q1c5VWwD/?symbol=vtr</t>
        </is>
      </c>
    </row>
    <row r="512">
      <c r="A512" s="15" t="n">
        <v>511</v>
      </c>
      <c r="B512" s="34" t="inlineStr">
        <is>
          <t>VZ</t>
        </is>
      </c>
      <c r="C512" s="15" t="inlineStr">
        <is>
          <t>Verizon Communications Inc.</t>
        </is>
      </c>
      <c r="D512" s="15" t="str">
        <f>IFERROR(INDEX(觀察名單!$AA$2:$AA$533,MATCH($B512,觀察名單!$B$2:$B$533,0)),"")</f>
        <v>A</v>
      </c>
      <c r="E512" s="15" t="inlineStr">
        <is>
          <t>https://www.tradingview.com/chart/Q1c5VWwD/?symbol=vz</t>
        </is>
      </c>
    </row>
    <row r="513">
      <c r="A513" s="15" t="n">
        <v>512</v>
      </c>
      <c r="B513" s="34" t="inlineStr">
        <is>
          <t>W</t>
        </is>
      </c>
      <c r="C513" s="15" t="inlineStr">
        <is>
          <t>Wayfair Inc.</t>
        </is>
      </c>
      <c r="D513" s="15" t="str">
        <f>IFERROR(INDEX(觀察名單!$AA$2:$AA$533,MATCH($B513,觀察名單!$B$2:$B$533,0)),"")</f>
        <v>A</v>
      </c>
      <c r="E513" s="15" t="inlineStr">
        <is>
          <t>https://www.tradingview.com/chart/Q1c5VWwD/?symbol=w</t>
        </is>
      </c>
    </row>
    <row r="514">
      <c r="A514" s="15" t="n">
        <v>513</v>
      </c>
      <c r="B514" s="34" t="inlineStr">
        <is>
          <t>WBD</t>
        </is>
      </c>
      <c r="C514" s="15" t="inlineStr">
        <is>
          <t>Warner Bros. Discovery, Inc.</t>
        </is>
      </c>
      <c r="D514" s="15" t="str">
        <f>IFERROR(INDEX(觀察名單!$AA$2:$AA$533,MATCH($B514,觀察名單!$B$2:$B$533,0)),"")</f>
        <v>A</v>
      </c>
      <c r="E514" s="15" t="inlineStr">
        <is>
          <t>https://www.tradingview.com/chart/Q1c5VWwD/?symbol=wbd</t>
        </is>
      </c>
    </row>
    <row r="515">
      <c r="A515" s="15" t="n">
        <v>514</v>
      </c>
      <c r="B515" s="34" t="inlineStr">
        <is>
          <t>WCN</t>
        </is>
      </c>
      <c r="C515" s="15" t="inlineStr">
        <is>
          <t>Waste Connections, Inc.</t>
        </is>
      </c>
      <c r="D515" s="15" t="str">
        <f>IFERROR(INDEX(觀察名單!$AA$2:$AA$533,MATCH($B515,觀察名單!$B$2:$B$533,0)),"")</f>
        <v>A</v>
      </c>
      <c r="E515" s="15" t="inlineStr">
        <is>
          <t>https://www.tradingview.com/chart/Q1c5VWwD/?symbol=wcn</t>
        </is>
      </c>
    </row>
    <row r="516">
      <c r="A516" s="15" t="n">
        <v>515</v>
      </c>
      <c r="B516" s="34" t="inlineStr">
        <is>
          <t>WDAY</t>
        </is>
      </c>
      <c r="C516" s="15" t="inlineStr">
        <is>
          <t>Workday, Inc.</t>
        </is>
      </c>
      <c r="D516" s="15" t="str">
        <f>IFERROR(INDEX(觀察名單!$AA$2:$AA$533,MATCH($B516,觀察名單!$B$2:$B$533,0)),"")</f>
        <v>A</v>
      </c>
      <c r="E516" s="15" t="inlineStr">
        <is>
          <t>https://www.tradingview.com/chart/Q1c5VWwD/?symbol=wday</t>
        </is>
      </c>
    </row>
    <row r="517">
      <c r="A517" s="15" t="n">
        <v>516</v>
      </c>
      <c r="B517" s="34" t="inlineStr">
        <is>
          <t>WDC</t>
        </is>
      </c>
      <c r="C517" s="15" t="inlineStr">
        <is>
          <t>Western Digital Corporation</t>
        </is>
      </c>
      <c r="D517" s="15" t="str">
        <f>IFERROR(INDEX(觀察名單!$AA$2:$AA$533,MATCH($B517,觀察名單!$B$2:$B$533,0)),"")</f>
        <v>A</v>
      </c>
      <c r="E517" s="15" t="inlineStr">
        <is>
          <t>https://www.tradingview.com/chart/Q1c5VWwD/?symbol=wdc</t>
        </is>
      </c>
    </row>
    <row r="518">
      <c r="A518" s="15" t="n">
        <v>517</v>
      </c>
      <c r="B518" s="34" t="inlineStr">
        <is>
          <t>WELL</t>
        </is>
      </c>
      <c r="C518" s="15" t="inlineStr">
        <is>
          <t>Welltower Inc.</t>
        </is>
      </c>
      <c r="D518" s="15" t="str">
        <f>IFERROR(INDEX(觀察名單!$AA$2:$AA$533,MATCH($B518,觀察名單!$B$2:$B$533,0)),"")</f>
        <v>—</v>
      </c>
      <c r="E518" s="15" t="inlineStr">
        <is>
          <t>https://www.tradingview.com/chart/Q1c5VWwD/?symbol=well</t>
        </is>
      </c>
    </row>
    <row r="519">
      <c r="A519" s="15" t="n">
        <v>518</v>
      </c>
      <c r="B519" s="34" t="inlineStr">
        <is>
          <t>WFC</t>
        </is>
      </c>
      <c r="C519" s="15" t="inlineStr">
        <is>
          <t>Wells Fargo &amp; Company</t>
        </is>
      </c>
      <c r="D519" s="15" t="str">
        <f>IFERROR(INDEX(觀察名單!$AA$2:$AA$533,MATCH($B519,觀察名單!$B$2:$B$533,0)),"")</f>
        <v>—</v>
      </c>
      <c r="E519" s="15" t="inlineStr">
        <is>
          <t>https://www.tradingview.com/chart/Q1c5VWwD/?symbol=wfc</t>
        </is>
      </c>
    </row>
    <row r="520">
      <c r="A520" s="15" t="n">
        <v>519</v>
      </c>
      <c r="B520" s="34" t="inlineStr">
        <is>
          <t>WFRD</t>
        </is>
      </c>
      <c r="C520" s="15" t="inlineStr">
        <is>
          <t>Weatherford International plc</t>
        </is>
      </c>
      <c r="D520" s="15" t="str">
        <f>IFERROR(INDEX(觀察名單!$AA$2:$AA$533,MATCH($B520,觀察名單!$B$2:$B$533,0)),"")</f>
        <v>A</v>
      </c>
      <c r="E520" s="15" t="inlineStr">
        <is>
          <t>https://www.tradingview.com/chart/Q1c5VWwD/?symbol=wfrd</t>
        </is>
      </c>
    </row>
    <row r="521">
      <c r="A521" s="15" t="n">
        <v>520</v>
      </c>
      <c r="B521" s="34" t="inlineStr">
        <is>
          <t>WHR</t>
        </is>
      </c>
      <c r="C521" s="15" t="inlineStr">
        <is>
          <t>Whirlpool Corporation</t>
        </is>
      </c>
      <c r="D521" s="15" t="str">
        <f>IFERROR(INDEX(觀察名單!$AA$2:$AA$533,MATCH($B521,觀察名單!$B$2:$B$533,0)),"")</f>
        <v>A</v>
      </c>
      <c r="E521" s="15" t="inlineStr">
        <is>
          <t>https://www.tradingview.com/chart/Q1c5VWwD/?symbol=whr</t>
        </is>
      </c>
    </row>
    <row r="522">
      <c r="A522" s="15" t="n">
        <v>521</v>
      </c>
      <c r="B522" s="34" t="inlineStr">
        <is>
          <t>WM</t>
        </is>
      </c>
      <c r="C522" s="15" t="inlineStr">
        <is>
          <t>Waste Management, Inc.</t>
        </is>
      </c>
      <c r="D522" s="15" t="str">
        <f>IFERROR(INDEX(觀察名單!$AA$2:$AA$533,MATCH($B522,觀察名單!$B$2:$B$533,0)),"")</f>
        <v>A</v>
      </c>
      <c r="E522" s="15" t="inlineStr">
        <is>
          <t>https://www.tradingview.com/chart/Q1c5VWwD/?symbol=wm</t>
        </is>
      </c>
    </row>
    <row r="523">
      <c r="A523" s="15" t="n">
        <v>522</v>
      </c>
      <c r="B523" s="34" t="inlineStr">
        <is>
          <t>WMB</t>
        </is>
      </c>
      <c r="C523" s="15" t="inlineStr">
        <is>
          <t>The Williams Companies, Inc.</t>
        </is>
      </c>
      <c r="D523" s="15" t="str">
        <f>IFERROR(INDEX(觀察名單!$AA$2:$AA$533,MATCH($B523,觀察名單!$B$2:$B$533,0)),"")</f>
        <v>A</v>
      </c>
      <c r="E523" s="15" t="inlineStr">
        <is>
          <t>https://www.tradingview.com/chart/Q1c5VWwD/?symbol=wmb</t>
        </is>
      </c>
    </row>
    <row r="524">
      <c r="A524" s="15" t="n">
        <v>523</v>
      </c>
      <c r="B524" s="34" t="inlineStr">
        <is>
          <t>WMT</t>
        </is>
      </c>
      <c r="C524" s="15" t="inlineStr">
        <is>
          <t>Walmart Inc.</t>
        </is>
      </c>
      <c r="D524" s="15" t="str">
        <f>IFERROR(INDEX(觀察名單!$AA$2:$AA$533,MATCH($B524,觀察名單!$B$2:$B$533,0)),"")</f>
        <v>A</v>
      </c>
      <c r="E524" s="15" t="inlineStr">
        <is>
          <t>https://www.tradingview.com/chart/Q1c5VWwD/?symbol=wmt</t>
        </is>
      </c>
    </row>
    <row r="525">
      <c r="A525" s="15" t="n">
        <v>524</v>
      </c>
      <c r="B525" s="34" t="inlineStr">
        <is>
          <t>WTRG</t>
        </is>
      </c>
      <c r="C525" s="15" t="inlineStr">
        <is>
          <t>Essential Utilities, Inc.</t>
        </is>
      </c>
      <c r="D525" s="15" t="str">
        <f>IFERROR(INDEX(觀察名單!$AA$2:$AA$533,MATCH($B525,觀察名單!$B$2:$B$533,0)),"")</f>
        <v>A</v>
      </c>
      <c r="E525" s="15" t="inlineStr">
        <is>
          <t>https://www.tradingview.com/chart/Q1c5VWwD/?symbol=wtrg</t>
        </is>
      </c>
    </row>
    <row r="526">
      <c r="A526" s="15" t="n">
        <v>525</v>
      </c>
      <c r="B526" s="34" t="inlineStr">
        <is>
          <t>WTW</t>
        </is>
      </c>
      <c r="C526" s="15" t="inlineStr">
        <is>
          <t>Willis Towers Watson Public Limited Company</t>
        </is>
      </c>
      <c r="D526" s="15" t="str">
        <f>IFERROR(INDEX(觀察名單!$AA$2:$AA$533,MATCH($B526,觀察名單!$B$2:$B$533,0)),"")</f>
        <v>A</v>
      </c>
      <c r="E526" s="15" t="inlineStr">
        <is>
          <t>https://www.tradingview.com/chart/Q1c5VWwD/?symbol=wtw</t>
        </is>
      </c>
    </row>
    <row r="527">
      <c r="A527" s="15" t="n">
        <v>526</v>
      </c>
      <c r="B527" s="34" t="inlineStr">
        <is>
          <t>XEL</t>
        </is>
      </c>
      <c r="C527" s="15" t="inlineStr">
        <is>
          <t>Xcel Energy Inc.</t>
        </is>
      </c>
      <c r="D527" s="15" t="str">
        <f>IFERROR(INDEX(觀察名單!$AA$2:$AA$533,MATCH($B527,觀察名單!$B$2:$B$533,0)),"")</f>
        <v>A</v>
      </c>
      <c r="E527" s="15" t="inlineStr">
        <is>
          <t>https://www.tradingview.com/chart/Q1c5VWwD/?symbol=xel</t>
        </is>
      </c>
    </row>
    <row r="528">
      <c r="A528" s="15" t="n">
        <v>527</v>
      </c>
      <c r="B528" s="34" t="inlineStr">
        <is>
          <t>XOM</t>
        </is>
      </c>
      <c r="C528" s="15" t="inlineStr">
        <is>
          <t>ExxonMobil Holdings Corporation</t>
        </is>
      </c>
      <c r="D528" s="15" t="str">
        <f>IFERROR(INDEX(觀察名單!$AA$2:$AA$533,MATCH($B528,觀察名單!$B$2:$B$533,0)),"")</f>
        <v>A</v>
      </c>
      <c r="E528" s="15" t="inlineStr">
        <is>
          <t>https://www.tradingview.com/chart/Q1c5VWwD/?symbol=xom</t>
        </is>
      </c>
    </row>
    <row r="529">
      <c r="A529" s="15" t="n">
        <v>528</v>
      </c>
      <c r="B529" s="34" t="inlineStr">
        <is>
          <t>XPO</t>
        </is>
      </c>
      <c r="C529" s="15" t="inlineStr">
        <is>
          <t>XPO, Inc.</t>
        </is>
      </c>
      <c r="D529" s="15" t="str">
        <f>IFERROR(INDEX(觀察名單!$AA$2:$AA$533,MATCH($B529,觀察名單!$B$2:$B$533,0)),"")</f>
        <v>A</v>
      </c>
      <c r="E529" s="15" t="inlineStr">
        <is>
          <t>https://www.tradingview.com/chart/Q1c5VWwD/?symbol=xpo</t>
        </is>
      </c>
    </row>
    <row r="530">
      <c r="A530" s="15" t="n">
        <v>529</v>
      </c>
      <c r="B530" s="34" t="inlineStr">
        <is>
          <t>YUM</t>
        </is>
      </c>
      <c r="C530" s="15" t="inlineStr">
        <is>
          <t>Yum! Brands, Inc.</t>
        </is>
      </c>
      <c r="D530" s="15" t="str">
        <f>IFERROR(INDEX(觀察名單!$AA$2:$AA$533,MATCH($B530,觀察名單!$B$2:$B$533,0)),"")</f>
        <v>A</v>
      </c>
      <c r="E530" s="15" t="inlineStr">
        <is>
          <t>https://www.tradingview.com/chart/Q1c5VWwD/?symbol=yum</t>
        </is>
      </c>
    </row>
    <row r="531">
      <c r="A531" s="15" t="n">
        <v>530</v>
      </c>
      <c r="B531" s="34" t="inlineStr">
        <is>
          <t>Z</t>
        </is>
      </c>
      <c r="C531" s="15" t="inlineStr">
        <is>
          <t>Zillow Group, Inc.</t>
        </is>
      </c>
      <c r="D531" s="15" t="str">
        <f>IFERROR(INDEX(觀察名單!$AA$2:$AA$533,MATCH($B531,觀察名單!$B$2:$B$533,0)),"")</f>
        <v>B</v>
      </c>
      <c r="E531" s="15" t="inlineStr">
        <is>
          <t>https://www.tradingview.com/chart/Q1c5VWwD/?symbol=z</t>
        </is>
      </c>
    </row>
    <row r="532">
      <c r="A532" s="15" t="n">
        <v>531</v>
      </c>
      <c r="B532" s="34" t="inlineStr">
        <is>
          <t>ZION</t>
        </is>
      </c>
      <c r="C532" s="15" t="inlineStr">
        <is>
          <t>Zions Bancorporation, National Association</t>
        </is>
      </c>
      <c r="D532" s="15" t="str">
        <f>IFERROR(INDEX(觀察名單!$AA$2:$AA$533,MATCH($B532,觀察名單!$B$2:$B$533,0)),"")</f>
        <v>—</v>
      </c>
      <c r="E532" s="15" t="inlineStr">
        <is>
          <t>https://www.tradingview.com/chart/Q1c5VWwD/?symbol=zion</t>
        </is>
      </c>
    </row>
    <row r="533">
      <c r="A533" s="15" t="n">
        <v>532</v>
      </c>
      <c r="B533" s="34" t="inlineStr">
        <is>
          <t>ZS</t>
        </is>
      </c>
      <c r="C533" s="15" t="inlineStr">
        <is>
          <t>Zscaler, Inc.</t>
        </is>
      </c>
      <c r="D533" s="15" t="str">
        <f>IFERROR(INDEX(觀察名單!$AA$2:$AA$533,MATCH($B533,觀察名單!$B$2:$B$533,0)),"")</f>
        <v>C</v>
      </c>
      <c r="E533" s="15" t="inlineStr">
        <is>
          <t>https://www.tradingview.com/chart/Q1c5VWwD/?symbol=zs</t>
        </is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40" customWidth="1" min="3" max="3"/>
    <col width="60" customWidth="1" min="4" max="4"/>
  </cols>
  <sheetData>
    <row r="1">
      <c r="A1" s="5" t="inlineStr">
        <is>
          <t>類別</t>
        </is>
      </c>
      <c r="B1" s="5" t="inlineStr">
        <is>
          <t>來源</t>
        </is>
      </c>
      <c r="C1" s="5" t="inlineStr">
        <is>
          <t>用途</t>
        </is>
      </c>
      <c r="D1" s="5" t="inlineStr">
        <is>
          <t>備註 / 連結</t>
        </is>
      </c>
    </row>
    <row r="2" ht="34" customHeight="1">
      <c r="A2" s="35" t="inlineStr">
        <is>
          <t>財報數字</t>
        </is>
      </c>
      <c r="B2" s="35" t="inlineStr">
        <is>
          <t>Yahoo Finance（yfinance income_stmt / quarterly_income_stmt）</t>
        </is>
      </c>
      <c r="C2" s="35" t="inlineStr">
        <is>
          <t>營收、毛利、營業利益、淨利、年度數字</t>
        </is>
      </c>
      <c r="D2" s="35" t="inlineStr">
        <is>
          <t>由 GitHub Actions runner 拉取（研究容器無法連 Yahoo），檔案 data/yahoo/fundamentals_income.csv</t>
        </is>
      </c>
    </row>
    <row r="3" ht="34" customHeight="1">
      <c r="A3" s="35" t="inlineStr">
        <is>
          <t>公司資料</t>
        </is>
      </c>
      <c r="B3" s="35" t="inlineStr">
        <is>
          <t>Yahoo Finance（yfinance info）</t>
        </is>
      </c>
      <c r="C3" s="35" t="inlineStr">
        <is>
          <t>公司名稱、呈報幣別、行業分類</t>
        </is>
      </c>
      <c r="D3" s="35" t="inlineStr">
        <is>
          <t>data/yahoo/fundamentals_profile.csv</t>
        </is>
      </c>
    </row>
    <row r="4" ht="34" customHeight="1">
      <c r="A4" s="35" t="inlineStr">
        <is>
          <t>成分股名單</t>
        </is>
      </c>
      <c r="B4" s="35" t="inlineStr">
        <is>
          <t>Sub-Sector 資金流向 Watchlist R4.00</t>
        </is>
      </c>
      <c r="C4" s="35" t="inlineStr">
        <is>
          <t>C 欄子板塊歸屬（491 隻）</t>
        </is>
      </c>
      <c r="D4" s="35" t="inlineStr">
        <is>
          <t>計分視窗至 2026-09-04 收盤；data/subsector_flow4.json</t>
        </is>
      </c>
    </row>
    <row r="5" ht="34" customHeight="1">
      <c r="A5" s="35" t="inlineStr">
        <is>
          <t>成分股名單</t>
        </is>
      </c>
      <c r="B5" s="35" t="inlineStr">
        <is>
          <t>AI Sector 資金流向 Watchlist R5.00</t>
        </is>
      </c>
      <c r="C5" s="35" t="inlineStr">
        <is>
          <t>E 欄 AI 小群組歸屬（111 隻）</t>
        </is>
      </c>
      <c r="D5" s="35" t="inlineStr">
        <is>
          <t>計分視窗至 2026-09-04 收盤；data/ai_flow5.json</t>
        </is>
      </c>
    </row>
    <row r="6" ht="34" customHeight="1">
      <c r="A6" s="35" t="inlineStr">
        <is>
          <t>圖表</t>
        </is>
      </c>
      <c r="B6" s="35" t="inlineStr">
        <is>
          <t>TradingView</t>
        </is>
      </c>
      <c r="C6" s="35" t="inlineStr">
        <is>
          <t>B 欄與「圖表連結」分頁</t>
        </is>
      </c>
      <c r="D6" s="35" t="inlineStr">
        <is>
          <t>沿用 layout /chart/Q1c5VWwD/</t>
        </is>
      </c>
    </row>
    <row r="7" ht="34" customHeight="1">
      <c r="A7" s="35" t="inlineStr">
        <is>
          <t>免責</t>
        </is>
      </c>
      <c r="B7" s="35" t="inlineStr">
        <is>
          <t>—</t>
        </is>
      </c>
      <c r="C7" s="35" t="inlineStr">
        <is>
          <t>—</t>
        </is>
      </c>
      <c r="D7" s="35" t="inlineStr">
        <is>
          <t>本表為公開資料整理與研究參考，非投資建議；財務數據以各公司正式公告為準。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2026-09-07T02:18:36Z</dcterms:created>
  <dcterms:modified xsi:type="dcterms:W3CDTF">2026-09-07T02:18:38Z</dcterms:modified>
</cp:coreProperties>
</file>